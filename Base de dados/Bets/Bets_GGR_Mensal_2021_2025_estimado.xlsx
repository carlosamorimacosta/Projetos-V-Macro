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d47fb7dc7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mensal" sheetId="1" r:id="R514b6dfe955c4e0b"/>
    <x:sheet xmlns:r="http://schemas.openxmlformats.org/officeDocument/2006/relationships" name="H2_anuais" sheetId="2" r:id="Rb24b2a61b05d415d"/>
    <x:sheet xmlns:r="http://schemas.openxmlformats.org/officeDocument/2006/relationships" name="H2_mensal" sheetId="3" r:id="R42fc946809d0473e"/>
    <x:sheet xmlns:r="http://schemas.openxmlformats.org/officeDocument/2006/relationships" name="BCB_proxy" sheetId="4" r:id="R6857ee58a1f24b8f"/>
    <x:sheet xmlns:r="http://schemas.openxmlformats.org/officeDocument/2006/relationships" name="Validacao" sheetId="5" r:id="R5ce68c9300ab4906"/>
    <x:sheet xmlns:r="http://schemas.openxmlformats.org/officeDocument/2006/relationships" name="Metodologia" sheetId="6" r:id="R8a5ec3684a5e49b9"/>
    <x:sheet xmlns:r="http://schemas.openxmlformats.org/officeDocument/2006/relationships" name="Fontes" sheetId="7" r:id="Re3a12236ed2f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%"/>
    <x:numFmt numFmtId="202" formatCode="yyyy-mm-dd"/>
    <x:numFmt numFmtId="203" formatCode="0.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243B5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3" fillId="3" borderId="0" xfId="0" applyNumberFormat="1" applyFont="1" applyFill="1" applyBorder="1" applyAlignment="1">
      <x:alignment horizontal="center" vertical="center" wrapText="1"/>
    </x:xf>
    <x:xf numFmtId="200" fontId="3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3" fillId="3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/>
    <x:xf numFmtId="201" fontId="3" fillId="3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horizontal="center" vertical="top" wrapText="1"/>
    </x:xf>
    <x:xf numFmtId="200" fontId="3" fillId="3" borderId="0" xfId="0" applyNumberFormat="1" applyFont="1" applyFill="1" applyBorder="1" applyAlignment="1">
      <x:alignment horizontal="center" vertical="top" wrapText="1"/>
    </x:xf>
    <x:xf numFmtId="201" fontId="3" fillId="3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horizontal="center" vertical="top" wrapText="1"/>
    </x:xf>
    <x:xf numFmtId="200" fontId="3" fillId="3" borderId="1" xfId="0" applyNumberFormat="1" applyFont="1" applyFill="1" applyBorder="1" applyAlignment="1">
      <x:alignment horizontal="center" vertical="top" wrapText="1"/>
    </x:xf>
    <x:xf numFmtId="201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0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64baeb5004b2d" /><Relationship Type="http://schemas.openxmlformats.org/officeDocument/2006/relationships/theme" Target="/xl/theme/theme1.xml" Id="R2e6d8994a5f54b12" /><Relationship Type="http://schemas.openxmlformats.org/officeDocument/2006/relationships/sharedStrings" Target="/xl/sharedStrings.xml" Id="R74fc39c3e546410a" /><Relationship Type="http://schemas.openxmlformats.org/officeDocument/2006/relationships/worksheet" Target="/xl/worksheets/sheet1.xml" Id="R514b6dfe955c4e0b" /><Relationship Type="http://schemas.openxmlformats.org/officeDocument/2006/relationships/worksheet" Target="/xl/worksheets/sheet2.xml" Id="Rb24b2a61b05d415d" /><Relationship Type="http://schemas.openxmlformats.org/officeDocument/2006/relationships/worksheet" Target="/xl/worksheets/sheet3.xml" Id="R42fc946809d0473e" /><Relationship Type="http://schemas.openxmlformats.org/officeDocument/2006/relationships/worksheet" Target="/xl/worksheets/sheet4.xml" Id="R6857ee58a1f24b8f" /><Relationship Type="http://schemas.openxmlformats.org/officeDocument/2006/relationships/worksheet" Target="/xl/worksheets/sheet5.xml" Id="R5ce68c9300ab4906" /><Relationship Type="http://schemas.openxmlformats.org/officeDocument/2006/relationships/worksheet" Target="/xl/worksheets/sheet6.xml" Id="R8a5ec3684a5e49b9" /><Relationship Type="http://schemas.openxmlformats.org/officeDocument/2006/relationships/worksheet" Target="/xl/worksheets/sheet7.xml" Id="Re3a12236ed2f4b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ca32be99c44a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GGR mensal das bets — série para o modelo</a:t>
            </a:r>
          </a:p>
        </c:rich>
      </c:tx>
    </c:title>
    <c:plotArea>
      <c:lineChart>
        <c:grouping val="standard"/>
        <c:ser>
          <c:idx val="0"/>
          <c:order val="0"/>
          <c:tx>
            <c:v>Ano</c:v>
          </c:tx>
          <c:marker>
            <c:symbol val="none"/>
          </c:marker>
          <c:cat>
            <c:strRef>
              <c:f>'Base_mensal'!$A$4:$A$63</c:f>
              <c:strCache>
                <c:ptCount val="0"/>
              </c:strCache>
            </c:strRef>
          </c:cat>
          <c:val>
            <c:numRef>
              <c:f>'Base_mensal'!$B$4:$B$63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Mês</c:v>
          </c:tx>
          <c:marker>
            <c:symbol val="none"/>
          </c:marker>
          <c:cat>
            <c:strRef>
              <c:f>'Base_mensal'!$A$4:$A$63</c:f>
              <c:strCache>
                <c:ptCount val="0"/>
              </c:strCache>
            </c:strRef>
          </c:cat>
          <c:val>
            <c:numRef>
              <c:f>'Base_mensal'!$C$4:$C$63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GGR_bets_R$bi</c:v>
          </c:tx>
          <c:marker>
            <c:symbol val="none"/>
          </c:marker>
          <c:cat>
            <c:strRef>
              <c:f>'Base_mensal'!$A$4:$A$63</c:f>
              <c:strCache>
                <c:ptCount val="0"/>
              </c:strCache>
            </c:strRef>
          </c:cat>
          <c:val>
            <c:numRef>
              <c:f>'Base_mensal'!$D$4:$D$63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ca32be99c44a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seBetsMensal" displayName="BaseBetsMensal" ref="A3:I63" headerRowCount="1" totalsRowCount="0" totalsRowShown="0">
  <x:tableColumns count="9">
    <x:tableColumn id="1" name="Data"/>
    <x:tableColumn id="2" name="Ano"/>
    <x:tableColumn id="3" name="Mês"/>
    <x:tableColumn id="4" name="GGR_bets_R$bi"/>
    <x:tableColumn id="5" name="Tipo_dado"/>
    <x:tableColumn id="6" name="Fonte_nível"/>
    <x:tableColumn id="7" name="Fonte_distribuição_mensal"/>
    <x:tableColumn id="8" name="Qualidade"/>
    <x:tableColumn id="9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bb1c853288429e" /><Relationship Type="http://schemas.openxmlformats.org/officeDocument/2006/relationships/table" Target="/xl/tables/table1.xml" Id="R8199fdae37fc4a64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8" hidden="0" customWidth="1"/>
  </x:cols>
  <x:sheetData>
    <x:row r="1">
      <x:c r="A1" s="48" t="str">
        <x:v>Base mensal estimada de GGR das bets — Brasil, 2021M01–2025M12</x:v>
      </x:c>
      <x:c r="B1" s="48"/>
      <x:c r="C1" s="48"/>
      <x:c r="D1" s="48"/>
      <x:c r="E1" s="48"/>
      <x:c r="F1" s="48"/>
      <x:c r="G1" s="48"/>
      <x:c r="H1" s="48"/>
      <x:c r="I1" s="48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Data</x:v>
      </x:c>
      <x:c r="B3" s="50" t="str">
        <x:v>Ano</x:v>
      </x:c>
      <x:c r="C3" s="50" t="str">
        <x:v>Mês</x:v>
      </x:c>
      <x:c r="D3" s="50" t="str">
        <x:v>GGR_bets_R$bi</x:v>
      </x:c>
      <x:c r="E3" s="50" t="str">
        <x:v>Tipo_dado</x:v>
      </x:c>
      <x:c r="F3" s="50" t="str">
        <x:v>Fonte_nível</x:v>
      </x:c>
      <x:c r="G3" s="50" t="str">
        <x:v>Fonte_distribuição_mensal</x:v>
      </x:c>
      <x:c r="H3" s="50" t="str">
        <x:v>Qualidade</x:v>
      </x:c>
      <x:c r="I3" s="50" t="str">
        <x:v>Observação</x:v>
      </x:c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1" t="n">
        <x:v>44197</x:v>
      </x:c>
      <x:c r="B4" s="52" t="n">
        <x:v>2021</x:v>
      </x:c>
      <x:c r="C4" s="52" t="str">
        <x:v>Jan</x:v>
      </x:c>
      <x:c r="D4" s="53" t="n">
        <x:f>H2_anuais!$B$4*H2_mensal!$F$4</x:f>
        <x:v>0.6252904672079608</x:v>
      </x:c>
      <x:c r="E4" s="52" t="str">
        <x:v>Estimado por sazonalização</x:v>
      </x:c>
      <x:c r="F4" s="52" t="str">
        <x:v>H2 anual</x:v>
      </x:c>
      <x:c r="G4" s="52" t="str">
        <x:v>Share médio H2 2024-25</x:v>
      </x:c>
      <x:c r="H4" s="52" t="str">
        <x:v>Média</x:v>
      </x:c>
      <x:c r="I4" s="52" t="str">
        <x:v>Total anual H2 preservado; distribuição intra-anual estimada.</x:v>
      </x:c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1" t="n">
        <x:v>44228</x:v>
      </x:c>
      <x:c r="B5" s="52" t="n">
        <x:v>2021</x:v>
      </x:c>
      <x:c r="C5" s="52" t="str">
        <x:v>Fev</x:v>
      </x:c>
      <x:c r="D5" s="53" t="n">
        <x:f>H2_anuais!$B$4*H2_mensal!$F$5</x:f>
        <x:v>0.6814702424888597</x:v>
      </x:c>
      <x:c r="E5" s="52" t="str">
        <x:v>Estimado por sazonalização</x:v>
      </x:c>
      <x:c r="F5" s="52" t="str">
        <x:v>H2 anual</x:v>
      </x:c>
      <x:c r="G5" s="52" t="str">
        <x:v>Share médio H2 2024-25</x:v>
      </x:c>
      <x:c r="H5" s="52" t="str">
        <x:v>Média</x:v>
      </x:c>
      <x:c r="I5" s="52" t="str">
        <x:v>Total anual H2 preservado; distribuição intra-anual estimada.</x:v>
      </x:c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1" t="n">
        <x:v>44256</x:v>
      </x:c>
      <x:c r="B6" s="52" t="n">
        <x:v>2021</x:v>
      </x:c>
      <x:c r="C6" s="52" t="str">
        <x:v>Mar</x:v>
      </x:c>
      <x:c r="D6" s="53" t="n">
        <x:f>H2_anuais!$B$4*H2_mensal!$F$6</x:f>
        <x:v>0.702998988490664</x:v>
      </x:c>
      <x:c r="E6" s="52" t="str">
        <x:v>Estimado por sazonalização</x:v>
      </x:c>
      <x:c r="F6" s="52" t="str">
        <x:v>H2 anual</x:v>
      </x:c>
      <x:c r="G6" s="52" t="str">
        <x:v>Share médio H2 2024-25</x:v>
      </x:c>
      <x:c r="H6" s="52" t="str">
        <x:v>Média</x:v>
      </x:c>
      <x:c r="I6" s="52" t="str">
        <x:v>Total anual H2 preservado; distribuição intra-anual estimada.</x:v>
      </x:c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1" t="n">
        <x:v>44287</x:v>
      </x:c>
      <x:c r="B7" s="52" t="n">
        <x:v>2021</x:v>
      </x:c>
      <x:c r="C7" s="52" t="str">
        <x:v>Abr</x:v>
      </x:c>
      <x:c r="D7" s="53" t="n">
        <x:f>H2_anuais!$B$4*H2_mensal!$F$7</x:f>
        <x:v>0.7835096640148719</x:v>
      </x:c>
      <x:c r="E7" s="52" t="str">
        <x:v>Estimado por sazonalização</x:v>
      </x:c>
      <x:c r="F7" s="52" t="str">
        <x:v>H2 anual</x:v>
      </x:c>
      <x:c r="G7" s="52" t="str">
        <x:v>Share médio H2 2024-25</x:v>
      </x:c>
      <x:c r="H7" s="52" t="str">
        <x:v>Média</x:v>
      </x:c>
      <x:c r="I7" s="52" t="str">
        <x:v>Total anual H2 preservado; distribuição intra-anual estimada.</x:v>
      </x:c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1" t="n">
        <x:v>44317</x:v>
      </x:c>
      <x:c r="B8" s="52" t="n">
        <x:v>2021</x:v>
      </x:c>
      <x:c r="C8" s="52" t="str">
        <x:v>Mai</x:v>
      </x:c>
      <x:c r="D8" s="53" t="n">
        <x:f>H2_anuais!$B$4*H2_mensal!$F$8</x:f>
        <x:v>0.8265671560184805</x:v>
      </x:c>
      <x:c r="E8" s="52" t="str">
        <x:v>Estimado por sazonalização</x:v>
      </x:c>
      <x:c r="F8" s="52" t="str">
        <x:v>H2 anual</x:v>
      </x:c>
      <x:c r="G8" s="52" t="str">
        <x:v>Share médio H2 2024-25</x:v>
      </x:c>
      <x:c r="H8" s="52" t="str">
        <x:v>Média</x:v>
      </x:c>
      <x:c r="I8" s="52" t="str">
        <x:v>Total anual H2 preservado; distribuição intra-anual estimada.</x:v>
      </x:c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51" t="n">
        <x:v>44348</x:v>
      </x:c>
      <x:c r="B9" s="52" t="n">
        <x:v>2021</x:v>
      </x:c>
      <x:c r="C9" s="52" t="str">
        <x:v>Jun</x:v>
      </x:c>
      <x:c r="D9" s="53" t="n">
        <x:f>H2_anuais!$B$4*H2_mensal!$F$9</x:f>
        <x:v>0.8134448727411903</x:v>
      </x:c>
      <x:c r="E9" s="52" t="str">
        <x:v>Estimado por sazonalização</x:v>
      </x:c>
      <x:c r="F9" s="52" t="str">
        <x:v>H2 anual</x:v>
      </x:c>
      <x:c r="G9" s="52" t="str">
        <x:v>Share médio H2 2024-25</x:v>
      </x:c>
      <x:c r="H9" s="52" t="str">
        <x:v>Média</x:v>
      </x:c>
      <x:c r="I9" s="52" t="str">
        <x:v>Total anual H2 preservado; distribuição intra-anual estimada.</x:v>
      </x:c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51" t="n">
        <x:v>44378</x:v>
      </x:c>
      <x:c r="B10" s="52" t="n">
        <x:v>2021</x:v>
      </x:c>
      <x:c r="C10" s="52" t="str">
        <x:v>Jul</x:v>
      </x:c>
      <x:c r="D10" s="53" t="n">
        <x:f>H2_anuais!$B$4*H2_mensal!$F$10</x:f>
        <x:v>0.8658656606249487</x:v>
      </x:c>
      <x:c r="E10" s="52" t="str">
        <x:v>Estimado por sazonalização</x:v>
      </x:c>
      <x:c r="F10" s="52" t="str">
        <x:v>H2 anual</x:v>
      </x:c>
      <x:c r="G10" s="52" t="str">
        <x:v>Share médio H2 2024-25</x:v>
      </x:c>
      <x:c r="H10" s="52" t="str">
        <x:v>Média</x:v>
      </x:c>
      <x:c r="I10" s="52" t="str">
        <x:v>Total anual H2 preservado; distribuição intra-anual estimada.</x:v>
      </x:c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51" t="n">
        <x:v>44409</x:v>
      </x:c>
      <x:c r="B11" s="52" t="n">
        <x:v>2021</x:v>
      </x:c>
      <x:c r="C11" s="52" t="str">
        <x:v>Ago</x:v>
      </x:c>
      <x:c r="D11" s="53" t="n">
        <x:f>H2_anuais!$B$4*H2_mensal!$F$11</x:f>
        <x:v>0.8967577025069029</x:v>
      </x:c>
      <x:c r="E11" s="52" t="str">
        <x:v>Estimado por sazonalização</x:v>
      </x:c>
      <x:c r="F11" s="52" t="str">
        <x:v>H2 anual</x:v>
      </x:c>
      <x:c r="G11" s="52" t="str">
        <x:v>Share médio H2 2024-25</x:v>
      </x:c>
      <x:c r="H11" s="52" t="str">
        <x:v>Média</x:v>
      </x:c>
      <x:c r="I11" s="52" t="str">
        <x:v>Total anual H2 preservado; distribuição intra-anual estimada.</x:v>
      </x:c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51" t="n">
        <x:v>44440</x:v>
      </x:c>
      <x:c r="B12" s="52" t="n">
        <x:v>2021</x:v>
      </x:c>
      <x:c r="C12" s="52" t="str">
        <x:v>Set</x:v>
      </x:c>
      <x:c r="D12" s="53" t="n">
        <x:f>H2_anuais!$B$4*H2_mensal!$F$12</x:f>
        <x:v>0.920131769594576</x:v>
      </x:c>
      <x:c r="E12" s="52" t="str">
        <x:v>Estimado por sazonalização</x:v>
      </x:c>
      <x:c r="F12" s="52" t="str">
        <x:v>H2 anual</x:v>
      </x:c>
      <x:c r="G12" s="52" t="str">
        <x:v>Share médio H2 2024-25</x:v>
      </x:c>
      <x:c r="H12" s="52" t="str">
        <x:v>Média</x:v>
      </x:c>
      <x:c r="I12" s="52" t="str">
        <x:v>Total anual H2 preservado; distribuição intra-anual estimada.</x:v>
      </x:c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51" t="n">
        <x:v>44470</x:v>
      </x:c>
      <x:c r="B13" s="52" t="n">
        <x:v>2021</x:v>
      </x:c>
      <x:c r="C13" s="52" t="str">
        <x:v>Out</x:v>
      </x:c>
      <x:c r="D13" s="53" t="n">
        <x:f>H2_anuais!$B$4*H2_mensal!$F$13</x:f>
        <x:v>0.9884769949971295</x:v>
      </x:c>
      <x:c r="E13" s="52" t="str">
        <x:v>Estimado por sazonalização</x:v>
      </x:c>
      <x:c r="F13" s="52" t="str">
        <x:v>H2 anual</x:v>
      </x:c>
      <x:c r="G13" s="52" t="str">
        <x:v>Share médio H2 2024-25</x:v>
      </x:c>
      <x:c r="H13" s="52" t="str">
        <x:v>Média</x:v>
      </x:c>
      <x:c r="I13" s="52" t="str">
        <x:v>Total anual H2 preservado; distribuição intra-anual estimada.</x:v>
      </x:c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51" t="n">
        <x:v>44501</x:v>
      </x:c>
      <x:c r="B14" s="52" t="n">
        <x:v>2021</x:v>
      </x:c>
      <x:c r="C14" s="52" t="str">
        <x:v>Nov</x:v>
      </x:c>
      <x:c r="D14" s="53" t="n">
        <x:f>H2_anuais!$B$4*H2_mensal!$F$14</x:f>
        <x:v>0.9538259657180348</x:v>
      </x:c>
      <x:c r="E14" s="52" t="str">
        <x:v>Estimado por sazonalização</x:v>
      </x:c>
      <x:c r="F14" s="52" t="str">
        <x:v>H2 anual</x:v>
      </x:c>
      <x:c r="G14" s="52" t="str">
        <x:v>Share médio H2 2024-25</x:v>
      </x:c>
      <x:c r="H14" s="52" t="str">
        <x:v>Média</x:v>
      </x:c>
      <x:c r="I14" s="52" t="str">
        <x:v>Total anual H2 preservado; distribuição intra-anual estimada.</x:v>
      </x:c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51" t="n">
        <x:v>44531</x:v>
      </x:c>
      <x:c r="B15" s="52" t="n">
        <x:v>2021</x:v>
      </x:c>
      <x:c r="C15" s="52" t="str">
        <x:v>Dez</x:v>
      </x:c>
      <x:c r="D15" s="53" t="n">
        <x:f>H2_anuais!$B$4*H2_mensal!$F$15</x:f>
        <x:v>0.9416605155963803</x:v>
      </x:c>
      <x:c r="E15" s="52" t="str">
        <x:v>Estimado por sazonalização</x:v>
      </x:c>
      <x:c r="F15" s="52" t="str">
        <x:v>H2 anual</x:v>
      </x:c>
      <x:c r="G15" s="52" t="str">
        <x:v>Share médio H2 2024-25</x:v>
      </x:c>
      <x:c r="H15" s="52" t="str">
        <x:v>Média</x:v>
      </x:c>
      <x:c r="I15" s="52" t="str">
        <x:v>Total anual H2 preservado; distribuição intra-anual estimada.</x:v>
      </x:c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51" t="n">
        <x:v>44562</x:v>
      </x:c>
      <x:c r="B16" s="52" t="n">
        <x:v>2022</x:v>
      </x:c>
      <x:c r="C16" s="52" t="str">
        <x:v>Jan</x:v>
      </x:c>
      <x:c r="D16" s="53" t="n">
        <x:f>H2_anuais!$B$5*H2_mensal!$F$4</x:f>
        <x:v>1.0004647475327373</x:v>
      </x:c>
      <x:c r="E16" s="52" t="str">
        <x:v>Estimado por sazonalização</x:v>
      </x:c>
      <x:c r="F16" s="52" t="str">
        <x:v>H2 anual</x:v>
      </x:c>
      <x:c r="G16" s="52" t="str">
        <x:v>Share médio H2 2024-25</x:v>
      </x:c>
      <x:c r="H16" s="52" t="str">
        <x:v>Média</x:v>
      </x:c>
      <x:c r="I16" s="52" t="str">
        <x:v>Total anual H2 preservado; distribuição intra-anual estimada.</x:v>
      </x:c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51" t="n">
        <x:v>44593</x:v>
      </x:c>
      <x:c r="B17" s="52" t="n">
        <x:v>2022</x:v>
      </x:c>
      <x:c r="C17" s="52" t="str">
        <x:v>Fev</x:v>
      </x:c>
      <x:c r="D17" s="53" t="n">
        <x:f>H2_anuais!$B$5*H2_mensal!$F$5</x:f>
        <x:v>1.0903523879821755</x:v>
      </x:c>
      <x:c r="E17" s="52" t="str">
        <x:v>Estimado por sazonalização</x:v>
      </x:c>
      <x:c r="F17" s="52" t="str">
        <x:v>H2 anual</x:v>
      </x:c>
      <x:c r="G17" s="52" t="str">
        <x:v>Share médio H2 2024-25</x:v>
      </x:c>
      <x:c r="H17" s="52" t="str">
        <x:v>Média</x:v>
      </x:c>
      <x:c r="I17" s="52" t="str">
        <x:v>Total anual H2 preservado; distribuição intra-anual estimada.</x:v>
      </x:c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51" t="n">
        <x:v>44621</x:v>
      </x:c>
      <x:c r="B18" s="52" t="n">
        <x:v>2022</x:v>
      </x:c>
      <x:c r="C18" s="52" t="str">
        <x:v>Mar</x:v>
      </x:c>
      <x:c r="D18" s="53" t="n">
        <x:f>H2_anuais!$B$5*H2_mensal!$F$6</x:f>
        <x:v>1.1247983815850624</x:v>
      </x:c>
      <x:c r="E18" s="52" t="str">
        <x:v>Estimado por sazonalização</x:v>
      </x:c>
      <x:c r="F18" s="52" t="str">
        <x:v>H2 anual</x:v>
      </x:c>
      <x:c r="G18" s="52" t="str">
        <x:v>Share médio H2 2024-25</x:v>
      </x:c>
      <x:c r="H18" s="52" t="str">
        <x:v>Média</x:v>
      </x:c>
      <x:c r="I18" s="52" t="str">
        <x:v>Total anual H2 preservado; distribuição intra-anual estimada.</x:v>
      </x:c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51" t="n">
        <x:v>44652</x:v>
      </x:c>
      <x:c r="B19" s="52" t="n">
        <x:v>2022</x:v>
      </x:c>
      <x:c r="C19" s="52" t="str">
        <x:v>Abr</x:v>
      </x:c>
      <x:c r="D19" s="53" t="n">
        <x:f>H2_anuais!$B$5*H2_mensal!$F$7</x:f>
        <x:v>1.253615462423795</x:v>
      </x:c>
      <x:c r="E19" s="52" t="str">
        <x:v>Estimado por sazonalização</x:v>
      </x:c>
      <x:c r="F19" s="52" t="str">
        <x:v>H2 anual</x:v>
      </x:c>
      <x:c r="G19" s="52" t="str">
        <x:v>Share médio H2 2024-25</x:v>
      </x:c>
      <x:c r="H19" s="52" t="str">
        <x:v>Média</x:v>
      </x:c>
      <x:c r="I19" s="52" t="str">
        <x:v>Total anual H2 preservado; distribuição intra-anual estimada.</x:v>
      </x:c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51" t="n">
        <x:v>44682</x:v>
      </x:c>
      <x:c r="B20" s="52" t="n">
        <x:v>2022</x:v>
      </x:c>
      <x:c r="C20" s="52" t="str">
        <x:v>Mai</x:v>
      </x:c>
      <x:c r="D20" s="53" t="n">
        <x:f>H2_anuais!$B$5*H2_mensal!$F$8</x:f>
        <x:v>1.3225074496295688</x:v>
      </x:c>
      <x:c r="E20" s="52" t="str">
        <x:v>Estimado por sazonalização</x:v>
      </x:c>
      <x:c r="F20" s="52" t="str">
        <x:v>H2 anual</x:v>
      </x:c>
      <x:c r="G20" s="52" t="str">
        <x:v>Share médio H2 2024-25</x:v>
      </x:c>
      <x:c r="H20" s="52" t="str">
        <x:v>Média</x:v>
      </x:c>
      <x:c r="I20" s="52" t="str">
        <x:v>Total anual H2 preservado; distribuição intra-anual estimada.</x:v>
      </x:c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51" t="n">
        <x:v>44713</x:v>
      </x:c>
      <x:c r="B21" s="52" t="n">
        <x:v>2022</x:v>
      </x:c>
      <x:c r="C21" s="52" t="str">
        <x:v>Jun</x:v>
      </x:c>
      <x:c r="D21" s="53" t="n">
        <x:f>H2_anuais!$B$5*H2_mensal!$F$9</x:f>
        <x:v>1.3015117963859044</x:v>
      </x:c>
      <x:c r="E21" s="52" t="str">
        <x:v>Estimado por sazonalização</x:v>
      </x:c>
      <x:c r="F21" s="52" t="str">
        <x:v>H2 anual</x:v>
      </x:c>
      <x:c r="G21" s="52" t="str">
        <x:v>Share médio H2 2024-25</x:v>
      </x:c>
      <x:c r="H21" s="52" t="str">
        <x:v>Média</x:v>
      </x:c>
      <x:c r="I21" s="52" t="str">
        <x:v>Total anual H2 preservado; distribuição intra-anual estimada.</x:v>
      </x:c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51" t="n">
        <x:v>44743</x:v>
      </x:c>
      <x:c r="B22" s="52" t="n">
        <x:v>2022</x:v>
      </x:c>
      <x:c r="C22" s="52" t="str">
        <x:v>Jul</x:v>
      </x:c>
      <x:c r="D22" s="53" t="n">
        <x:f>H2_anuais!$B$5*H2_mensal!$F$10</x:f>
        <x:v>1.385385056999918</x:v>
      </x:c>
      <x:c r="E22" s="52" t="str">
        <x:v>Estimado por sazonalização</x:v>
      </x:c>
      <x:c r="F22" s="52" t="str">
        <x:v>H2 anual</x:v>
      </x:c>
      <x:c r="G22" s="52" t="str">
        <x:v>Share médio H2 2024-25</x:v>
      </x:c>
      <x:c r="H22" s="52" t="str">
        <x:v>Média</x:v>
      </x:c>
      <x:c r="I22" s="52" t="str">
        <x:v>Total anual H2 preservado; distribuição intra-anual estimada.</x:v>
      </x:c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51" t="n">
        <x:v>44774</x:v>
      </x:c>
      <x:c r="B23" s="52" t="n">
        <x:v>2022</x:v>
      </x:c>
      <x:c r="C23" s="52" t="str">
        <x:v>Ago</x:v>
      </x:c>
      <x:c r="D23" s="53" t="n">
        <x:f>H2_anuais!$B$5*H2_mensal!$F$11</x:f>
        <x:v>1.4348123240110446</x:v>
      </x:c>
      <x:c r="E23" s="52" t="str">
        <x:v>Estimado por sazonalização</x:v>
      </x:c>
      <x:c r="F23" s="52" t="str">
        <x:v>H2 anual</x:v>
      </x:c>
      <x:c r="G23" s="52" t="str">
        <x:v>Share médio H2 2024-25</x:v>
      </x:c>
      <x:c r="H23" s="52" t="str">
        <x:v>Média</x:v>
      </x:c>
      <x:c r="I23" s="52" t="str">
        <x:v>Total anual H2 preservado; distribuição intra-anual estimada.</x:v>
      </x:c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51" t="n">
        <x:v>44805</x:v>
      </x:c>
      <x:c r="B24" s="52" t="n">
        <x:v>2022</x:v>
      </x:c>
      <x:c r="C24" s="52" t="str">
        <x:v>Set</x:v>
      </x:c>
      <x:c r="D24" s="53" t="n">
        <x:f>H2_anuais!$B$5*H2_mensal!$F$12</x:f>
        <x:v>1.4722108313513216</x:v>
      </x:c>
      <x:c r="E24" s="52" t="str">
        <x:v>Estimado por sazonalização</x:v>
      </x:c>
      <x:c r="F24" s="52" t="str">
        <x:v>H2 anual</x:v>
      </x:c>
      <x:c r="G24" s="52" t="str">
        <x:v>Share médio H2 2024-25</x:v>
      </x:c>
      <x:c r="H24" s="52" t="str">
        <x:v>Média</x:v>
      </x:c>
      <x:c r="I24" s="52" t="str">
        <x:v>Total anual H2 preservado; distribuição intra-anual estimada.</x:v>
      </x:c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51" t="n">
        <x:v>44835</x:v>
      </x:c>
      <x:c r="B25" s="52" t="n">
        <x:v>2022</x:v>
      </x:c>
      <x:c r="C25" s="52" t="str">
        <x:v>Out</x:v>
      </x:c>
      <x:c r="D25" s="53" t="n">
        <x:f>H2_anuais!$B$5*H2_mensal!$F$13</x:f>
        <x:v>1.5815631919954072</x:v>
      </x:c>
      <x:c r="E25" s="52" t="str">
        <x:v>Estimado por sazonalização</x:v>
      </x:c>
      <x:c r="F25" s="52" t="str">
        <x:v>H2 anual</x:v>
      </x:c>
      <x:c r="G25" s="52" t="str">
        <x:v>Share médio H2 2024-25</x:v>
      </x:c>
      <x:c r="H25" s="52" t="str">
        <x:v>Média</x:v>
      </x:c>
      <x:c r="I25" s="52" t="str">
        <x:v>Total anual H2 preservado; distribuição intra-anual estimada.</x:v>
      </x:c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51" t="n">
        <x:v>44866</x:v>
      </x:c>
      <x:c r="B26" s="52" t="n">
        <x:v>2022</x:v>
      </x:c>
      <x:c r="C26" s="52" t="str">
        <x:v>Nov</x:v>
      </x:c>
      <x:c r="D26" s="53" t="n">
        <x:f>H2_anuais!$B$5*H2_mensal!$F$14</x:f>
        <x:v>1.5261215451488557</x:v>
      </x:c>
      <x:c r="E26" s="52" t="str">
        <x:v>Estimado por sazonalização</x:v>
      </x:c>
      <x:c r="F26" s="52" t="str">
        <x:v>H2 anual</x:v>
      </x:c>
      <x:c r="G26" s="52" t="str">
        <x:v>Share médio H2 2024-25</x:v>
      </x:c>
      <x:c r="H26" s="52" t="str">
        <x:v>Média</x:v>
      </x:c>
      <x:c r="I26" s="52" t="str">
        <x:v>Total anual H2 preservado; distribuição intra-anual estimada.</x:v>
      </x:c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51" t="n">
        <x:v>44896</x:v>
      </x:c>
      <x:c r="B27" s="52" t="n">
        <x:v>2022</x:v>
      </x:c>
      <x:c r="C27" s="52" t="str">
        <x:v>Dez</x:v>
      </x:c>
      <x:c r="D27" s="53" t="n">
        <x:f>H2_anuais!$B$5*H2_mensal!$F$15</x:f>
        <x:v>1.5066568249542085</x:v>
      </x:c>
      <x:c r="E27" s="52" t="str">
        <x:v>Estimado por sazonalização</x:v>
      </x:c>
      <x:c r="F27" s="52" t="str">
        <x:v>H2 anual</x:v>
      </x:c>
      <x:c r="G27" s="52" t="str">
        <x:v>Share médio H2 2024-25</x:v>
      </x:c>
      <x:c r="H27" s="52" t="str">
        <x:v>Média</x:v>
      </x:c>
      <x:c r="I27" s="52" t="str">
        <x:v>Total anual H2 preservado; distribuição intra-anual estimada.</x:v>
      </x:c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51" t="n">
        <x:v>44927</x:v>
      </x:c>
      <x:c r="B28" s="52" t="n">
        <x:v>2023</x:v>
      </x:c>
      <x:c r="C28" s="52" t="str">
        <x:v>Jan</x:v>
      </x:c>
      <x:c r="D28" s="53" t="n">
        <x:f>H2_anuais!$B$6*BCB_proxy!$E$4</x:f>
        <x:v>1.8118829415150306</x:v>
      </x:c>
      <x:c r="E28" s="52" t="str">
        <x:v>Estimado com indicador BCB</x:v>
      </x:c>
      <x:c r="F28" s="52" t="str">
        <x:v>H2 anual</x:v>
      </x:c>
      <x:c r="G28" s="52" t="str">
        <x:v>BCB SGS 22790</x:v>
      </x:c>
      <x:c r="H28" s="52" t="str">
        <x:v>Média-alta</x:v>
      </x:c>
      <x:c r="I28" s="52" t="str">
        <x:v>Total anual H2 preservado; pesos mensais derivados do excesso da SGS 22790 vs 2022.</x:v>
      </x:c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51" t="n">
        <x:v>44958</x:v>
      </x:c>
      <x:c r="B29" s="52" t="n">
        <x:v>2023</x:v>
      </x:c>
      <x:c r="C29" s="52" t="str">
        <x:v>Fev</x:v>
      </x:c>
      <x:c r="D29" s="53" t="n">
        <x:f>H2_anuais!$B$6*BCB_proxy!$E$5</x:f>
        <x:v>1.7648426085801565</x:v>
      </x:c>
      <x:c r="E29" s="52" t="str">
        <x:v>Estimado com indicador BCB</x:v>
      </x:c>
      <x:c r="F29" s="52" t="str">
        <x:v>H2 anual</x:v>
      </x:c>
      <x:c r="G29" s="52" t="str">
        <x:v>BCB SGS 22790</x:v>
      </x:c>
      <x:c r="H29" s="52" t="str">
        <x:v>Média-alta</x:v>
      </x:c>
      <x:c r="I29" s="52" t="str">
        <x:v>Total anual H2 preservado; pesos mensais derivados do excesso da SGS 22790 vs 2022.</x:v>
      </x:c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51" t="n">
        <x:v>44986</x:v>
      </x:c>
      <x:c r="B30" s="52" t="n">
        <x:v>2023</x:v>
      </x:c>
      <x:c r="C30" s="52" t="str">
        <x:v>Mar</x:v>
      </x:c>
      <x:c r="D30" s="53" t="n">
        <x:f>H2_anuais!$B$6*BCB_proxy!$E$6</x:f>
        <x:v>2.3105104706246955</x:v>
      </x:c>
      <x:c r="E30" s="52" t="str">
        <x:v>Estimado com indicador BCB</x:v>
      </x:c>
      <x:c r="F30" s="52" t="str">
        <x:v>H2 anual</x:v>
      </x:c>
      <x:c r="G30" s="52" t="str">
        <x:v>BCB SGS 22790</x:v>
      </x:c>
      <x:c r="H30" s="52" t="str">
        <x:v>Média-alta</x:v>
      </x:c>
      <x:c r="I30" s="52" t="str">
        <x:v>Total anual H2 preservado; pesos mensais derivados do excesso da SGS 22790 vs 2022.</x:v>
      </x:c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51" t="n">
        <x:v>45017</x:v>
      </x:c>
      <x:c r="B31" s="52" t="n">
        <x:v>2023</x:v>
      </x:c>
      <x:c r="C31" s="52" t="str">
        <x:v>Abr</x:v>
      </x:c>
      <x:c r="D31" s="53" t="n">
        <x:f>H2_anuais!$B$6*BCB_proxy!$E$7</x:f>
        <x:v>2.0941249391242747</x:v>
      </x:c>
      <x:c r="E31" s="52" t="str">
        <x:v>Estimado com indicador BCB</x:v>
      </x:c>
      <x:c r="F31" s="52" t="str">
        <x:v>H2 anual</x:v>
      </x:c>
      <x:c r="G31" s="52" t="str">
        <x:v>BCB SGS 22790</x:v>
      </x:c>
      <x:c r="H31" s="52" t="str">
        <x:v>Média-alta</x:v>
      </x:c>
      <x:c r="I31" s="52" t="str">
        <x:v>Total anual H2 preservado; pesos mensais derivados do excesso da SGS 22790 vs 2022.</x:v>
      </x:c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51" t="n">
        <x:v>45047</x:v>
      </x:c>
      <x:c r="B32" s="52" t="n">
        <x:v>2023</x:v>
      </x:c>
      <x:c r="C32" s="52" t="str">
        <x:v>Mai</x:v>
      </x:c>
      <x:c r="D32" s="53" t="n">
        <x:f>H2_anuais!$B$6*BCB_proxy!$E$8</x:f>
        <x:v>2.3127241333510424</x:v>
      </x:c>
      <x:c r="E32" s="52" t="str">
        <x:v>Estimado com indicador BCB</x:v>
      </x:c>
      <x:c r="F32" s="52" t="str">
        <x:v>H2 anual</x:v>
      </x:c>
      <x:c r="G32" s="52" t="str">
        <x:v>BCB SGS 22790</x:v>
      </x:c>
      <x:c r="H32" s="52" t="str">
        <x:v>Média-alta</x:v>
      </x:c>
      <x:c r="I32" s="52" t="str">
        <x:v>Total anual H2 preservado; pesos mensais derivados do excesso da SGS 22790 vs 2022.</x:v>
      </x:c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51" t="n">
        <x:v>45078</x:v>
      </x:c>
      <x:c r="B33" s="52" t="n">
        <x:v>2023</x:v>
      </x:c>
      <x:c r="C33" s="52" t="str">
        <x:v>Jun</x:v>
      </x:c>
      <x:c r="D33" s="53" t="n">
        <x:f>H2_anuais!$B$6*BCB_proxy!$E$9</x:f>
        <x:v>2.1151547350245714</x:v>
      </x:c>
      <x:c r="E33" s="52" t="str">
        <x:v>Estimado com indicador BCB</x:v>
      </x:c>
      <x:c r="F33" s="52" t="str">
        <x:v>H2 anual</x:v>
      </x:c>
      <x:c r="G33" s="52" t="str">
        <x:v>BCB SGS 22790</x:v>
      </x:c>
      <x:c r="H33" s="52" t="str">
        <x:v>Média-alta</x:v>
      </x:c>
      <x:c r="I33" s="52" t="str">
        <x:v>Total anual H2 preservado; pesos mensais derivados do excesso da SGS 22790 vs 2022.</x:v>
      </x:c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51" t="n">
        <x:v>45108</x:v>
      </x:c>
      <x:c r="B34" s="52" t="n">
        <x:v>2023</x:v>
      </x:c>
      <x:c r="C34" s="52" t="str">
        <x:v>Jul</x:v>
      </x:c>
      <x:c r="D34" s="53" t="n">
        <x:f>H2_anuais!$B$6*BCB_proxy!$E$10</x:f>
        <x:v>2.100212511621729</x:v>
      </x:c>
      <x:c r="E34" s="52" t="str">
        <x:v>Estimado com indicador BCB</x:v>
      </x:c>
      <x:c r="F34" s="52" t="str">
        <x:v>H2 anual</x:v>
      </x:c>
      <x:c r="G34" s="52" t="str">
        <x:v>BCB SGS 22790</x:v>
      </x:c>
      <x:c r="H34" s="52" t="str">
        <x:v>Média-alta</x:v>
      </x:c>
      <x:c r="I34" s="52" t="str">
        <x:v>Total anual H2 preservado; pesos mensais derivados do excesso da SGS 22790 vs 2022.</x:v>
      </x:c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51" t="n">
        <x:v>45139</x:v>
      </x:c>
      <x:c r="B35" s="52" t="n">
        <x:v>2023</x:v>
      </x:c>
      <x:c r="C35" s="52" t="str">
        <x:v>Ago</x:v>
      </x:c>
      <x:c r="D35" s="53" t="n">
        <x:f>H2_anuais!$B$6*BCB_proxy!$E$11</x:f>
        <x:v>2.1793509540886347</x:v>
      </x:c>
      <x:c r="E35" s="52" t="str">
        <x:v>Estimado com indicador BCB</x:v>
      </x:c>
      <x:c r="F35" s="52" t="str">
        <x:v>H2 anual</x:v>
      </x:c>
      <x:c r="G35" s="52" t="str">
        <x:v>BCB SGS 22790</x:v>
      </x:c>
      <x:c r="H35" s="52" t="str">
        <x:v>Média-alta</x:v>
      </x:c>
      <x:c r="I35" s="52" t="str">
        <x:v>Total anual H2 preservado; pesos mensais derivados do excesso da SGS 22790 vs 2022.</x:v>
      </x:c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51" t="n">
        <x:v>45170</x:v>
      </x:c>
      <x:c r="B36" s="52" t="n">
        <x:v>2023</x:v>
      </x:c>
      <x:c r="C36" s="52" t="str">
        <x:v>Set</x:v>
      </x:c>
      <x:c r="D36" s="53" t="n">
        <x:f>H2_anuais!$B$6*BCB_proxy!$E$12</x:f>
        <x:v>1.996723779165006</x:v>
      </x:c>
      <x:c r="E36" s="52" t="str">
        <x:v>Estimado com indicador BCB</x:v>
      </x:c>
      <x:c r="F36" s="52" t="str">
        <x:v>H2 anual</x:v>
      </x:c>
      <x:c r="G36" s="52" t="str">
        <x:v>BCB SGS 22790</x:v>
      </x:c>
      <x:c r="H36" s="52" t="str">
        <x:v>Média-alta</x:v>
      </x:c>
      <x:c r="I36" s="52" t="str">
        <x:v>Total anual H2 preservado; pesos mensais derivados do excesso da SGS 22790 vs 2022.</x:v>
      </x:c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51" t="n">
        <x:v>45200</x:v>
      </x:c>
      <x:c r="B37" s="52" t="n">
        <x:v>2023</x:v>
      </x:c>
      <x:c r="C37" s="52" t="str">
        <x:v>Out</x:v>
      </x:c>
      <x:c r="D37" s="53" t="n">
        <x:f>H2_anuais!$B$6*BCB_proxy!$E$13</x:f>
        <x:v>2.1638553150042057</x:v>
      </x:c>
      <x:c r="E37" s="52" t="str">
        <x:v>Estimado com indicador BCB</x:v>
      </x:c>
      <x:c r="F37" s="52" t="str">
        <x:v>H2 anual</x:v>
      </x:c>
      <x:c r="G37" s="52" t="str">
        <x:v>BCB SGS 22790</x:v>
      </x:c>
      <x:c r="H37" s="52" t="str">
        <x:v>Média-alta</x:v>
      </x:c>
      <x:c r="I37" s="52" t="str">
        <x:v>Total anual H2 preservado; pesos mensais derivados do excesso da SGS 22790 vs 2022.</x:v>
      </x:c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51" t="n">
        <x:v>45231</x:v>
      </x:c>
      <x:c r="B38" s="52" t="n">
        <x:v>2023</x:v>
      </x:c>
      <x:c r="C38" s="52" t="str">
        <x:v>Nov</x:v>
      </x:c>
      <x:c r="D38" s="53" t="n">
        <x:f>H2_anuais!$B$6*BCB_proxy!$E$14</x:f>
        <x:v>2.3038694824456543</x:v>
      </x:c>
      <x:c r="E38" s="52" t="str">
        <x:v>Estimado com indicador BCB</x:v>
      </x:c>
      <x:c r="F38" s="52" t="str">
        <x:v>H2 anual</x:v>
      </x:c>
      <x:c r="G38" s="52" t="str">
        <x:v>BCB SGS 22790</x:v>
      </x:c>
      <x:c r="H38" s="52" t="str">
        <x:v>Média-alta</x:v>
      </x:c>
      <x:c r="I38" s="52" t="str">
        <x:v>Total anual H2 preservado; pesos mensais derivados do excesso da SGS 22790 vs 2022.</x:v>
      </x:c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51" t="n">
        <x:v>45261</x:v>
      </x:c>
      <x:c r="B39" s="52" t="n">
        <x:v>2023</x:v>
      </x:c>
      <x:c r="C39" s="52" t="str">
        <x:v>Dez</x:v>
      </x:c>
      <x:c r="D39" s="53" t="n">
        <x:f>H2_anuais!$B$6*BCB_proxy!$E$15</x:f>
        <x:v>1.846748129454996</x:v>
      </x:c>
      <x:c r="E39" s="52" t="str">
        <x:v>Estimado com indicador BCB</x:v>
      </x:c>
      <x:c r="F39" s="52" t="str">
        <x:v>H2 anual</x:v>
      </x:c>
      <x:c r="G39" s="52" t="str">
        <x:v>BCB SGS 22790</x:v>
      </x:c>
      <x:c r="H39" s="52" t="str">
        <x:v>Média-alta</x:v>
      </x:c>
      <x:c r="I39" s="52" t="str">
        <x:v>Total anual H2 preservado; pesos mensais derivados do excesso da SGS 22790 vs 2022.</x:v>
      </x:c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51" t="n">
        <x:v>45292</x:v>
      </x:c>
      <x:c r="B40" s="52" t="n">
        <x:v>2024</x:v>
      </x:c>
      <x:c r="C40" s="52" t="str">
        <x:v>Jan</x:v>
      </x:c>
      <x:c r="D40" s="53" t="n">
        <x:f>H2_mensal!$B$4</x:f>
        <x:v>2.6</x:v>
      </x:c>
      <x:c r="E40" s="52" t="str">
        <x:v>Estimativa mensal publicada</x:v>
      </x:c>
      <x:c r="F40" s="52" t="str">
        <x:v>H2 mensal</x:v>
      </x:c>
      <x:c r="G40" s="52" t="str">
        <x:v>H2 mensal</x:v>
      </x:c>
      <x:c r="H40" s="52" t="str">
        <x:v>Alta (dentro da base estimada H2)</x:v>
      </x:c>
      <x:c r="I40" s="52" t="str">
        <x:v>Valor mensal publicado diretamente pela H2.</x:v>
      </x:c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51" t="n">
        <x:v>45323</x:v>
      </x:c>
      <x:c r="B41" s="52" t="n">
        <x:v>2024</x:v>
      </x:c>
      <x:c r="C41" s="52" t="str">
        <x:v>Fev</x:v>
      </x:c>
      <x:c r="D41" s="53" t="n">
        <x:f>H2_mensal!$B$5</x:f>
        <x:v>2.6</x:v>
      </x:c>
      <x:c r="E41" s="52" t="str">
        <x:v>Estimativa mensal publicada</x:v>
      </x:c>
      <x:c r="F41" s="52" t="str">
        <x:v>H2 mensal</x:v>
      </x:c>
      <x:c r="G41" s="52" t="str">
        <x:v>H2 mensal</x:v>
      </x:c>
      <x:c r="H41" s="52" t="str">
        <x:v>Alta (dentro da base estimada H2)</x:v>
      </x:c>
      <x:c r="I41" s="52" t="str">
        <x:v>Valor mensal publicado diretamente pela H2.</x:v>
      </x:c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51" t="n">
        <x:v>45352</x:v>
      </x:c>
      <x:c r="B42" s="52" t="n">
        <x:v>2024</x:v>
      </x:c>
      <x:c r="C42" s="52" t="str">
        <x:v>Mar</x:v>
      </x:c>
      <x:c r="D42" s="53" t="n">
        <x:f>H2_mensal!$B$6</x:f>
        <x:v>2.7</x:v>
      </x:c>
      <x:c r="E42" s="52" t="str">
        <x:v>Estimativa mensal publicada</x:v>
      </x:c>
      <x:c r="F42" s="52" t="str">
        <x:v>H2 mensal</x:v>
      </x:c>
      <x:c r="G42" s="52" t="str">
        <x:v>H2 mensal</x:v>
      </x:c>
      <x:c r="H42" s="52" t="str">
        <x:v>Alta (dentro da base estimada H2)</x:v>
      </x:c>
      <x:c r="I42" s="52" t="str">
        <x:v>Valor mensal publicado diretamente pela H2.</x:v>
      </x:c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51" t="n">
        <x:v>45383</x:v>
      </x:c>
      <x:c r="B43" s="52" t="n">
        <x:v>2024</x:v>
      </x:c>
      <x:c r="C43" s="52" t="str">
        <x:v>Abr</x:v>
      </x:c>
      <x:c r="D43" s="53" t="n">
        <x:f>H2_mensal!$B$7</x:f>
        <x:v>2.9</x:v>
      </x:c>
      <x:c r="E43" s="52" t="str">
        <x:v>Estimativa mensal publicada</x:v>
      </x:c>
      <x:c r="F43" s="52" t="str">
        <x:v>H2 mensal</x:v>
      </x:c>
      <x:c r="G43" s="52" t="str">
        <x:v>H2 mensal</x:v>
      </x:c>
      <x:c r="H43" s="52" t="str">
        <x:v>Alta (dentro da base estimada H2)</x:v>
      </x:c>
      <x:c r="I43" s="52" t="str">
        <x:v>Valor mensal publicado diretamente pela H2.</x:v>
      </x:c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51" t="n">
        <x:v>45413</x:v>
      </x:c>
      <x:c r="B44" s="52" t="n">
        <x:v>2024</x:v>
      </x:c>
      <x:c r="C44" s="52" t="str">
        <x:v>Mai</x:v>
      </x:c>
      <x:c r="D44" s="53" t="n">
        <x:f>H2_mensal!$B$8</x:f>
        <x:v>3.1</x:v>
      </x:c>
      <x:c r="E44" s="52" t="str">
        <x:v>Estimativa mensal publicada</x:v>
      </x:c>
      <x:c r="F44" s="52" t="str">
        <x:v>H2 mensal</x:v>
      </x:c>
      <x:c r="G44" s="52" t="str">
        <x:v>H2 mensal</x:v>
      </x:c>
      <x:c r="H44" s="52" t="str">
        <x:v>Alta (dentro da base estimada H2)</x:v>
      </x:c>
      <x:c r="I44" s="52" t="str">
        <x:v>Valor mensal publicado diretamente pela H2.</x:v>
      </x:c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51" t="n">
        <x:v>45444</x:v>
      </x:c>
      <x:c r="B45" s="52" t="n">
        <x:v>2024</x:v>
      </x:c>
      <x:c r="C45" s="52" t="str">
        <x:v>Jun</x:v>
      </x:c>
      <x:c r="D45" s="53" t="n">
        <x:f>H2_mensal!$B$9</x:f>
        <x:v>3.3</x:v>
      </x:c>
      <x:c r="E45" s="52" t="str">
        <x:v>Estimativa mensal publicada</x:v>
      </x:c>
      <x:c r="F45" s="52" t="str">
        <x:v>H2 mensal</x:v>
      </x:c>
      <x:c r="G45" s="52" t="str">
        <x:v>H2 mensal</x:v>
      </x:c>
      <x:c r="H45" s="52" t="str">
        <x:v>Alta (dentro da base estimada H2)</x:v>
      </x:c>
      <x:c r="I45" s="52" t="str">
        <x:v>Valor mensal publicado diretamente pela H2.</x:v>
      </x:c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51" t="n">
        <x:v>45474</x:v>
      </x:c>
      <x:c r="B46" s="52" t="n">
        <x:v>2024</x:v>
      </x:c>
      <x:c r="C46" s="52" t="str">
        <x:v>Jul</x:v>
      </x:c>
      <x:c r="D46" s="53" t="n">
        <x:f>H2_mensal!$B$10</x:f>
        <x:v>3.5</x:v>
      </x:c>
      <x:c r="E46" s="52" t="str">
        <x:v>Estimativa mensal publicada</x:v>
      </x:c>
      <x:c r="F46" s="52" t="str">
        <x:v>H2 mensal</x:v>
      </x:c>
      <x:c r="G46" s="52" t="str">
        <x:v>H2 mensal</x:v>
      </x:c>
      <x:c r="H46" s="52" t="str">
        <x:v>Alta (dentro da base estimada H2)</x:v>
      </x:c>
      <x:c r="I46" s="52" t="str">
        <x:v>Valor mensal publicado diretamente pela H2.</x:v>
      </x:c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51" t="n">
        <x:v>45505</x:v>
      </x:c>
      <x:c r="B47" s="52" t="n">
        <x:v>2024</x:v>
      </x:c>
      <x:c r="C47" s="52" t="str">
        <x:v>Ago</x:v>
      </x:c>
      <x:c r="D47" s="53" t="n">
        <x:f>H2_mensal!$B$11</x:f>
        <x:v>3.6</x:v>
      </x:c>
      <x:c r="E47" s="52" t="str">
        <x:v>Estimativa mensal publicada</x:v>
      </x:c>
      <x:c r="F47" s="52" t="str">
        <x:v>H2 mensal</x:v>
      </x:c>
      <x:c r="G47" s="52" t="str">
        <x:v>H2 mensal</x:v>
      </x:c>
      <x:c r="H47" s="52" t="str">
        <x:v>Alta (dentro da base estimada H2)</x:v>
      </x:c>
      <x:c r="I47" s="52" t="str">
        <x:v>Valor mensal publicado diretamente pela H2.</x:v>
      </x:c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51" t="n">
        <x:v>45536</x:v>
      </x:c>
      <x:c r="B48" s="52" t="n">
        <x:v>2024</x:v>
      </x:c>
      <x:c r="C48" s="52" t="str">
        <x:v>Set</x:v>
      </x:c>
      <x:c r="D48" s="53" t="n">
        <x:f>H2_mensal!$B$12</x:f>
        <x:v>4.1</x:v>
      </x:c>
      <x:c r="E48" s="52" t="str">
        <x:v>Estimativa mensal publicada</x:v>
      </x:c>
      <x:c r="F48" s="52" t="str">
        <x:v>H2 mensal</x:v>
      </x:c>
      <x:c r="G48" s="52" t="str">
        <x:v>H2 mensal</x:v>
      </x:c>
      <x:c r="H48" s="52" t="str">
        <x:v>Alta (dentro da base estimada H2)</x:v>
      </x:c>
      <x:c r="I48" s="52" t="str">
        <x:v>Valor mensal publicado diretamente pela H2.</x:v>
      </x:c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51" t="n">
        <x:v>45566</x:v>
      </x:c>
      <x:c r="B49" s="52" t="n">
        <x:v>2024</x:v>
      </x:c>
      <x:c r="C49" s="52" t="str">
        <x:v>Out</x:v>
      </x:c>
      <x:c r="D49" s="53" t="n">
        <x:f>H2_mensal!$B$13</x:f>
        <x:v>4.2</x:v>
      </x:c>
      <x:c r="E49" s="52" t="str">
        <x:v>Estimativa mensal publicada</x:v>
      </x:c>
      <x:c r="F49" s="52" t="str">
        <x:v>H2 mensal</x:v>
      </x:c>
      <x:c r="G49" s="52" t="str">
        <x:v>H2 mensal</x:v>
      </x:c>
      <x:c r="H49" s="52" t="str">
        <x:v>Alta (dentro da base estimada H2)</x:v>
      </x:c>
      <x:c r="I49" s="52" t="str">
        <x:v>Valor mensal publicado diretamente pela H2.</x:v>
      </x:c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51" t="n">
        <x:v>45597</x:v>
      </x:c>
      <x:c r="B50" s="52" t="n">
        <x:v>2024</x:v>
      </x:c>
      <x:c r="C50" s="52" t="str">
        <x:v>Nov</x:v>
      </x:c>
      <x:c r="D50" s="53" t="n">
        <x:f>H2_mensal!$B$14</x:f>
        <x:v>4.3</x:v>
      </x:c>
      <x:c r="E50" s="52" t="str">
        <x:v>Estimativa mensal publicada</x:v>
      </x:c>
      <x:c r="F50" s="52" t="str">
        <x:v>H2 mensal</x:v>
      </x:c>
      <x:c r="G50" s="52" t="str">
        <x:v>H2 mensal</x:v>
      </x:c>
      <x:c r="H50" s="52" t="str">
        <x:v>Alta (dentro da base estimada H2)</x:v>
      </x:c>
      <x:c r="I50" s="52" t="str">
        <x:v>Valor mensal publicado diretamente pela H2.</x:v>
      </x:c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51" t="n">
        <x:v>45627</x:v>
      </x:c>
      <x:c r="B51" s="52" t="n">
        <x:v>2024</x:v>
      </x:c>
      <x:c r="C51" s="52" t="str">
        <x:v>Dez</x:v>
      </x:c>
      <x:c r="D51" s="53" t="n">
        <x:f>H2_mensal!$B$15</x:f>
        <x:v>4.2</x:v>
      </x:c>
      <x:c r="E51" s="52" t="str">
        <x:v>Estimativa mensal publicada</x:v>
      </x:c>
      <x:c r="F51" s="52" t="str">
        <x:v>H2 mensal</x:v>
      </x:c>
      <x:c r="G51" s="52" t="str">
        <x:v>H2 mensal</x:v>
      </x:c>
      <x:c r="H51" s="52" t="str">
        <x:v>Alta (dentro da base estimada H2)</x:v>
      </x:c>
      <x:c r="I51" s="52" t="str">
        <x:v>Valor mensal publicado diretamente pela H2.</x:v>
      </x:c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51" t="n">
        <x:v>45658</x:v>
      </x:c>
      <x:c r="B52" s="52" t="n">
        <x:v>2025</x:v>
      </x:c>
      <x:c r="C52" s="52" t="str">
        <x:v>Jan</x:v>
      </x:c>
      <x:c r="D52" s="53" t="n">
        <x:f>H2_mensal!$D$4</x:f>
        <x:v>3.3</x:v>
      </x:c>
      <x:c r="E52" s="52" t="str">
        <x:v>Estimativa mensal publicada</x:v>
      </x:c>
      <x:c r="F52" s="52" t="str">
        <x:v>H2 mensal</x:v>
      </x:c>
      <x:c r="G52" s="52" t="str">
        <x:v>H2 mensal</x:v>
      </x:c>
      <x:c r="H52" s="52" t="str">
        <x:v>Alta (dentro da base estimada H2)</x:v>
      </x:c>
      <x:c r="I52" s="52" t="str">
        <x:v>Valor mensal publicado diretamente pela H2.</x:v>
      </x:c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51" t="n">
        <x:v>45689</x:v>
      </x:c>
      <x:c r="B53" s="52" t="n">
        <x:v>2025</x:v>
      </x:c>
      <x:c r="C53" s="52" t="str">
        <x:v>Fev</x:v>
      </x:c>
      <x:c r="D53" s="53" t="n">
        <x:f>H2_mensal!$D$5</x:f>
        <x:v>3.9</x:v>
      </x:c>
      <x:c r="E53" s="52" t="str">
        <x:v>Estimativa mensal publicada</x:v>
      </x:c>
      <x:c r="F53" s="52" t="str">
        <x:v>H2 mensal</x:v>
      </x:c>
      <x:c r="G53" s="52" t="str">
        <x:v>H2 mensal</x:v>
      </x:c>
      <x:c r="H53" s="52" t="str">
        <x:v>Alta (dentro da base estimada H2)</x:v>
      </x:c>
      <x:c r="I53" s="52" t="str">
        <x:v>Valor mensal publicado diretamente pela H2.</x:v>
      </x:c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51" t="n">
        <x:v>45717</x:v>
      </x:c>
      <x:c r="B54" s="52" t="n">
        <x:v>2025</x:v>
      </x:c>
      <x:c r="C54" s="52" t="str">
        <x:v>Mar</x:v>
      </x:c>
      <x:c r="D54" s="53" t="n">
        <x:f>H2_mensal!$D$6</x:f>
        <x:v>4</x:v>
      </x:c>
      <x:c r="E54" s="52" t="str">
        <x:v>Estimativa mensal publicada</x:v>
      </x:c>
      <x:c r="F54" s="52" t="str">
        <x:v>H2 mensal</x:v>
      </x:c>
      <x:c r="G54" s="52" t="str">
        <x:v>H2 mensal</x:v>
      </x:c>
      <x:c r="H54" s="52" t="str">
        <x:v>Alta (dentro da base estimada H2)</x:v>
      </x:c>
      <x:c r="I54" s="52" t="str">
        <x:v>Valor mensal publicado diretamente pela H2.</x:v>
      </x:c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51" t="n">
        <x:v>45748</x:v>
      </x:c>
      <x:c r="B55" s="52" t="n">
        <x:v>2025</x:v>
      </x:c>
      <x:c r="C55" s="52" t="str">
        <x:v>Abr</x:v>
      </x:c>
      <x:c r="D55" s="53" t="n">
        <x:f>H2_mensal!$D$7</x:f>
        <x:v>4.6</x:v>
      </x:c>
      <x:c r="E55" s="52" t="str">
        <x:v>Estimativa mensal publicada</x:v>
      </x:c>
      <x:c r="F55" s="52" t="str">
        <x:v>H2 mensal</x:v>
      </x:c>
      <x:c r="G55" s="52" t="str">
        <x:v>H2 mensal</x:v>
      </x:c>
      <x:c r="H55" s="52" t="str">
        <x:v>Alta (dentro da base estimada H2)</x:v>
      </x:c>
      <x:c r="I55" s="52" t="str">
        <x:v>Valor mensal publicado diretamente pela H2.</x:v>
      </x:c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51" t="n">
        <x:v>45778</x:v>
      </x:c>
      <x:c r="B56" s="52" t="n">
        <x:v>2025</x:v>
      </x:c>
      <x:c r="C56" s="52" t="str">
        <x:v>Mai</x:v>
      </x:c>
      <x:c r="D56" s="53" t="n">
        <x:f>H2_mensal!$D$8</x:f>
        <x:v>4.8</x:v>
      </x:c>
      <x:c r="E56" s="52" t="str">
        <x:v>Estimativa mensal publicada</x:v>
      </x:c>
      <x:c r="F56" s="52" t="str">
        <x:v>H2 mensal</x:v>
      </x:c>
      <x:c r="G56" s="52" t="str">
        <x:v>H2 mensal</x:v>
      </x:c>
      <x:c r="H56" s="52" t="str">
        <x:v>Alta (dentro da base estimada H2)</x:v>
      </x:c>
      <x:c r="I56" s="52" t="str">
        <x:v>Valor mensal publicado diretamente pela H2.</x:v>
      </x:c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51" t="n">
        <x:v>45809</x:v>
      </x:c>
      <x:c r="B57" s="52" t="n">
        <x:v>2025</x:v>
      </x:c>
      <x:c r="C57" s="52" t="str">
        <x:v>Jun</x:v>
      </x:c>
      <x:c r="D57" s="53" t="n">
        <x:f>H2_mensal!$D$9</x:f>
        <x:v>4.4</x:v>
      </x:c>
      <x:c r="E57" s="52" t="str">
        <x:v>Estimativa mensal publicada</x:v>
      </x:c>
      <x:c r="F57" s="52" t="str">
        <x:v>H2 mensal</x:v>
      </x:c>
      <x:c r="G57" s="52" t="str">
        <x:v>H2 mensal</x:v>
      </x:c>
      <x:c r="H57" s="52" t="str">
        <x:v>Alta (dentro da base estimada H2)</x:v>
      </x:c>
      <x:c r="I57" s="52" t="str">
        <x:v>Valor mensal publicado diretamente pela H2.</x:v>
      </x:c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51" t="n">
        <x:v>45839</x:v>
      </x:c>
      <x:c r="B58" s="52" t="n">
        <x:v>2025</x:v>
      </x:c>
      <x:c r="C58" s="52" t="str">
        <x:v>Jul</x:v>
      </x:c>
      <x:c r="D58" s="53" t="n">
        <x:f>H2_mensal!$D$10</x:f>
        <x:v>4.7</x:v>
      </x:c>
      <x:c r="E58" s="52" t="str">
        <x:v>Estimativa mensal publicada</x:v>
      </x:c>
      <x:c r="F58" s="52" t="str">
        <x:v>H2 mensal</x:v>
      </x:c>
      <x:c r="G58" s="52" t="str">
        <x:v>H2 mensal</x:v>
      </x:c>
      <x:c r="H58" s="52" t="str">
        <x:v>Alta (dentro da base estimada H2)</x:v>
      </x:c>
      <x:c r="I58" s="52" t="str">
        <x:v>Valor mensal publicado diretamente pela H2.</x:v>
      </x:c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51" t="n">
        <x:v>45870</x:v>
      </x:c>
      <x:c r="B59" s="52" t="n">
        <x:v>2025</x:v>
      </x:c>
      <x:c r="C59" s="52" t="str">
        <x:v>Ago</x:v>
      </x:c>
      <x:c r="D59" s="53" t="n">
        <x:f>H2_mensal!$D$11</x:f>
        <x:v>4.9</x:v>
      </x:c>
      <x:c r="E59" s="52" t="str">
        <x:v>Estimativa mensal publicada</x:v>
      </x:c>
      <x:c r="F59" s="52" t="str">
        <x:v>H2 mensal</x:v>
      </x:c>
      <x:c r="G59" s="52" t="str">
        <x:v>H2 mensal</x:v>
      </x:c>
      <x:c r="H59" s="52" t="str">
        <x:v>Alta (dentro da base estimada H2)</x:v>
      </x:c>
      <x:c r="I59" s="52" t="str">
        <x:v>Valor mensal publicado diretamente pela H2.</x:v>
      </x:c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51" t="n">
        <x:v>45901</x:v>
      </x:c>
      <x:c r="B60" s="52" t="n">
        <x:v>2025</x:v>
      </x:c>
      <x:c r="C60" s="52" t="str">
        <x:v>Set</x:v>
      </x:c>
      <x:c r="D60" s="53" t="n">
        <x:f>H2_mensal!$D$12</x:f>
        <x:v>4.5</x:v>
      </x:c>
      <x:c r="E60" s="52" t="str">
        <x:v>Estimativa mensal publicada</x:v>
      </x:c>
      <x:c r="F60" s="52" t="str">
        <x:v>H2 mensal</x:v>
      </x:c>
      <x:c r="G60" s="52" t="str">
        <x:v>H2 mensal</x:v>
      </x:c>
      <x:c r="H60" s="52" t="str">
        <x:v>Alta (dentro da base estimada H2)</x:v>
      </x:c>
      <x:c r="I60" s="52" t="str">
        <x:v>Valor mensal publicado diretamente pela H2.</x:v>
      </x:c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51" t="n">
        <x:v>45931</x:v>
      </x:c>
      <x:c r="B61" s="52" t="n">
        <x:v>2025</x:v>
      </x:c>
      <x:c r="C61" s="52" t="str">
        <x:v>Out</x:v>
      </x:c>
      <x:c r="D61" s="53" t="n">
        <x:f>H2_mensal!$D$13</x:f>
        <x:v>5.1</x:v>
      </x:c>
      <x:c r="E61" s="52" t="str">
        <x:v>Estimativa mensal publicada</x:v>
      </x:c>
      <x:c r="F61" s="52" t="str">
        <x:v>H2 mensal</x:v>
      </x:c>
      <x:c r="G61" s="52" t="str">
        <x:v>H2 mensal</x:v>
      </x:c>
      <x:c r="H61" s="52" t="str">
        <x:v>Alta (dentro da base estimada H2)</x:v>
      </x:c>
      <x:c r="I61" s="52" t="str">
        <x:v>Valor mensal publicado diretamente pela H2.</x:v>
      </x:c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51" t="n">
        <x:v>45962</x:v>
      </x:c>
      <x:c r="B62" s="52" t="n">
        <x:v>2025</x:v>
      </x:c>
      <x:c r="C62" s="52" t="str">
        <x:v>Nov</x:v>
      </x:c>
      <x:c r="D62" s="53" t="n">
        <x:f>H2_mensal!$D$14</x:f>
        <x:v>4.6</x:v>
      </x:c>
      <x:c r="E62" s="52" t="str">
        <x:v>Estimativa mensal publicada</x:v>
      </x:c>
      <x:c r="F62" s="52" t="str">
        <x:v>H2 mensal</x:v>
      </x:c>
      <x:c r="G62" s="52" t="str">
        <x:v>H2 mensal</x:v>
      </x:c>
      <x:c r="H62" s="52" t="str">
        <x:v>Alta (dentro da base estimada H2)</x:v>
      </x:c>
      <x:c r="I62" s="52" t="str">
        <x:v>Valor mensal publicado diretamente pela H2.</x:v>
      </x:c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51" t="n">
        <x:v>45992</x:v>
      </x:c>
      <x:c r="B63" s="52" t="n">
        <x:v>2025</x:v>
      </x:c>
      <x:c r="C63" s="52" t="str">
        <x:v>Dez</x:v>
      </x:c>
      <x:c r="D63" s="53" t="n">
        <x:f>H2_mensal!$D$15</x:f>
        <x:v>4.6</x:v>
      </x:c>
      <x:c r="E63" s="52" t="str">
        <x:v>Estimativa mensal publicada</x:v>
      </x:c>
      <x:c r="F63" s="52" t="str">
        <x:v>H2 mensal</x:v>
      </x:c>
      <x:c r="G63" s="52" t="str">
        <x:v>H2 mensal</x:v>
      </x:c>
      <x:c r="H63" s="52" t="str">
        <x:v>Alta (dentro da base estimada H2)</x:v>
      </x:c>
      <x:c r="I63" s="52" t="str">
        <x:v>Valor mensal publicado diretamente pela H2.</x:v>
      </x:c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</x:sheetData>
  <x:mergeCells>
    <x:mergeCell ref="A1:I1"/>
  </x:mergeCells>
  <x:conditionalFormatting sqref="E4:E63">
    <x:cfRule type="expression" dxfId="0" priority="1">
      <x:formula>E4="Estimativa mensal publicada"</x:formula>
    </x:cfRule>
    <x:cfRule type="expression" dxfId="1" priority="2">
      <x:formula>E4="Estimado com indicador BCB"</x:formula>
    </x:cfRule>
    <x:cfRule type="expression" dxfId="2" priority="3">
      <x:formula>E4="Estimado por sazonalização"</x:formula>
    </x:cfRule>
  </x:conditionalFormatting>
  <x:pageMargins left="0.7" right="0.7" top="0.75" bottom="0.75" header="0.3" footer="0.3"/>
  <x:drawing xmlns:r="http://schemas.openxmlformats.org/officeDocument/2006/relationships" r:id="Re5bb1c853288429e"/>
  <x:tableParts count="1">
    <x:tablePart xmlns:r="http://schemas.openxmlformats.org/officeDocument/2006/relationships" r:id="R8199fdae37fc4a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55" hidden="0" customWidth="1"/>
  </x:cols>
  <x:sheetData>
    <x:row r="1">
      <x:c r="A1" s="48" t="str">
        <x:v>GGR anual de apostas e jogos online no Brasil — H2</x:v>
      </x:c>
      <x:c r="B1" s="48"/>
      <x:c r="C1" s="48"/>
      <x:c r="D1" s="48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Ano</x:v>
      </x:c>
      <x:c r="B3" s="50" t="str">
        <x:v>GGR anual (R$ bi)</x:v>
      </x:c>
      <x:c r="C3" s="50" t="str">
        <x:v>Classificação</x:v>
      </x:c>
      <x:c r="D3" s="50" t="str">
        <x:v>Fonte</x:v>
      </x:c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2" t="n">
        <x:v>2021</x:v>
      </x:c>
      <x:c r="B4" s="60" t="n">
        <x:v>10</x:v>
      </x:c>
      <x:c r="C4" s="52" t="str">
        <x:v>Estimativa anual H2</x:v>
      </x:c>
      <x:c r="D4" s="52" t="str">
        <x:v>https://bnldata.com.br/wp-content/uploads/2026/01/Holding-slides-Casa-Brazil-ICE-2026-Presentation.pdf</x:v>
      </x:c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2" t="n">
        <x:v>2022</x:v>
      </x:c>
      <x:c r="B5" s="60" t="n">
        <x:v>16</x:v>
      </x:c>
      <x:c r="C5" s="52" t="str">
        <x:v>Estimativa anual H2</x:v>
      </x:c>
      <x:c r="D5" s="52" t="str">
        <x:v>https://bnldata.com.br/wp-content/uploads/2026/01/Holding-slides-Casa-Brazil-ICE-2026-Presentation.pdf</x:v>
      </x:c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2" t="n">
        <x:v>2023</x:v>
      </x:c>
      <x:c r="B6" s="60" t="n">
        <x:v>25</x:v>
      </x:c>
      <x:c r="C6" s="52" t="str">
        <x:v>Estimativa anual H2</x:v>
      </x:c>
      <x:c r="D6" s="52" t="str">
        <x:v>https://bnldata.com.br/wp-content/uploads/2026/01/Holding-slides-Casa-Brazil-ICE-2026-Presentation.pdf</x:v>
      </x:c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2" t="n">
        <x:v>2024</x:v>
      </x:c>
      <x:c r="B7" s="60" t="n">
        <x:v>41</x:v>
      </x:c>
      <x:c r="C7" s="52" t="str">
        <x:v>Total anual arredondado H2; meses publicados somam 41,1</x:v>
      </x:c>
      <x:c r="D7" s="52" t="str">
        <x:v>https://bnldata.com.br/wp-content/uploads/2026/01/Holding-slides-Casa-Brazil-ICE-2026-Presentation.pdf</x:v>
      </x:c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2" t="n">
        <x:v>2025</x:v>
      </x:c>
      <x:c r="B8" s="60" t="n">
        <x:v>53</x:v>
      </x:c>
      <x:c r="C8" s="52" t="str">
        <x:v>Total anual arredondado H2; meses publicados somam 53,4</x:v>
      </x:c>
      <x:c r="D8" s="52" t="str">
        <x:v>https://bnldata.com.br/wp-content/uploads/2026/01/Holding-slides-Casa-Brazil-ICE-2026-Presentation.pdf</x:v>
      </x:c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48" t="str">
        <x:v>GGR mensal H2 publicado — 2024 e 2025</x:v>
      </x:c>
      <x:c r="B1" s="48"/>
      <x:c r="C1" s="48"/>
      <x:c r="D1" s="48"/>
      <x:c r="E1" s="48"/>
      <x:c r="F1" s="48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Mês</x:v>
      </x:c>
      <x:c r="B3" s="50" t="str">
        <x:v>2024 GGR (R$ bi)</x:v>
      </x:c>
      <x:c r="C3" s="50" t="str">
        <x:v>Share 2024</x:v>
      </x:c>
      <x:c r="D3" s="50" t="str">
        <x:v>2025 GGR (R$ bi)</x:v>
      </x:c>
      <x:c r="E3" s="50" t="str">
        <x:v>Share 2025</x:v>
      </x:c>
      <x:c r="F3" s="50" t="str">
        <x:v>Share médio 2024-25</x:v>
      </x:c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49" t="str">
        <x:v>Jan</x:v>
      </x:c>
      <x:c r="B4" s="62" t="n">
        <x:v>2.6</x:v>
      </x:c>
      <x:c r="C4" s="63" t="n">
        <x:f>B4/$B$16</x:f>
        <x:v>0.06326034063260341</x:v>
      </x:c>
      <x:c r="D4" s="62" t="n">
        <x:v>3.3</x:v>
      </x:c>
      <x:c r="E4" s="63" t="n">
        <x:f>D4/$D$16</x:f>
        <x:v>0.061797752808988755</x:v>
      </x:c>
      <x:c r="F4" s="63" t="n">
        <x:f>(C4+E4)/2</x:f>
        <x:v>0.06252904672079608</x:v>
      </x:c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49" t="str">
        <x:v>Fev</x:v>
      </x:c>
      <x:c r="B5" s="62" t="n">
        <x:v>2.6</x:v>
      </x:c>
      <x:c r="C5" s="63" t="n">
        <x:f>B5/$B$16</x:f>
        <x:v>0.06326034063260341</x:v>
      </x:c>
      <x:c r="D5" s="62" t="n">
        <x:v>3.9</x:v>
      </x:c>
      <x:c r="E5" s="63" t="n">
        <x:f>D5/$D$16</x:f>
        <x:v>0.07303370786516852</x:v>
      </x:c>
      <x:c r="F5" s="63" t="n">
        <x:f>(C5+E5)/2</x:f>
        <x:v>0.06814702424888597</x:v>
      </x:c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49" t="str">
        <x:v>Mar</x:v>
      </x:c>
      <x:c r="B6" s="62" t="n">
        <x:v>2.7</x:v>
      </x:c>
      <x:c r="C6" s="63" t="n">
        <x:f>B6/$B$16</x:f>
        <x:v>0.06569343065693431</x:v>
      </x:c>
      <x:c r="D6" s="62" t="n">
        <x:v>4</x:v>
      </x:c>
      <x:c r="E6" s="63" t="n">
        <x:f>D6/$D$16</x:f>
        <x:v>0.07490636704119849</x:v>
      </x:c>
      <x:c r="F6" s="63" t="n">
        <x:f>(C6+E6)/2</x:f>
        <x:v>0.0702998988490664</x:v>
      </x:c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49" t="str">
        <x:v>Abr</x:v>
      </x:c>
      <x:c r="B7" s="62" t="n">
        <x:v>2.9</x:v>
      </x:c>
      <x:c r="C7" s="63" t="n">
        <x:f>B7/$B$16</x:f>
        <x:v>0.0705596107055961</x:v>
      </x:c>
      <x:c r="D7" s="62" t="n">
        <x:v>4.6</x:v>
      </x:c>
      <x:c r="E7" s="63" t="n">
        <x:f>D7/$D$16</x:f>
        <x:v>0.08614232209737827</x:v>
      </x:c>
      <x:c r="F7" s="63" t="n">
        <x:f>(C7+E7)/2</x:f>
        <x:v>0.07835096640148718</x:v>
      </x:c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49" t="str">
        <x:v>Mai</x:v>
      </x:c>
      <x:c r="B8" s="62" t="n">
        <x:v>3.1</x:v>
      </x:c>
      <x:c r="C8" s="63" t="n">
        <x:f>B8/$B$16</x:f>
        <x:v>0.07542579075425791</x:v>
      </x:c>
      <x:c r="D8" s="62" t="n">
        <x:v>4.8</x:v>
      </x:c>
      <x:c r="E8" s="63" t="n">
        <x:f>D8/$D$16</x:f>
        <x:v>0.08988764044943819</x:v>
      </x:c>
      <x:c r="F8" s="63" t="n">
        <x:f>(C8+E8)/2</x:f>
        <x:v>0.08265671560184805</x:v>
      </x:c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49" t="str">
        <x:v>Jun</x:v>
      </x:c>
      <x:c r="B9" s="62" t="n">
        <x:v>3.3</x:v>
      </x:c>
      <x:c r="C9" s="63" t="n">
        <x:f>B9/$B$16</x:f>
        <x:v>0.08029197080291971</x:v>
      </x:c>
      <x:c r="D9" s="62" t="n">
        <x:v>4.4</x:v>
      </x:c>
      <x:c r="E9" s="63" t="n">
        <x:f>D9/$D$16</x:f>
        <x:v>0.08239700374531835</x:v>
      </x:c>
      <x:c r="F9" s="63" t="n">
        <x:f>(C9+E9)/2</x:f>
        <x:v>0.08134448727411903</x:v>
      </x:c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49" t="str">
        <x:v>Jul</x:v>
      </x:c>
      <x:c r="B10" s="62" t="n">
        <x:v>3.5</x:v>
      </x:c>
      <x:c r="C10" s="63" t="n">
        <x:f>B10/$B$16</x:f>
        <x:v>0.0851581508515815</x:v>
      </x:c>
      <x:c r="D10" s="62" t="n">
        <x:v>4.7</x:v>
      </x:c>
      <x:c r="E10" s="63" t="n">
        <x:f>D10/$D$16</x:f>
        <x:v>0.08801498127340823</x:v>
      </x:c>
      <x:c r="F10" s="63" t="n">
        <x:f>(C10+E10)/2</x:f>
        <x:v>0.08658656606249487</x:v>
      </x:c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49" t="str">
        <x:v>Ago</x:v>
      </x:c>
      <x:c r="B11" s="62" t="n">
        <x:v>3.6</x:v>
      </x:c>
      <x:c r="C11" s="63" t="n">
        <x:f>B11/$B$16</x:f>
        <x:v>0.08759124087591241</x:v>
      </x:c>
      <x:c r="D11" s="62" t="n">
        <x:v>4.9</x:v>
      </x:c>
      <x:c r="E11" s="63" t="n">
        <x:f>D11/$D$16</x:f>
        <x:v>0.09176029962546817</x:v>
      </x:c>
      <x:c r="F11" s="63" t="n">
        <x:f>(C11+E11)/2</x:f>
        <x:v>0.08967577025069029</x:v>
      </x:c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49" t="str">
        <x:v>Set</x:v>
      </x:c>
      <x:c r="B12" s="62" t="n">
        <x:v>4.1</x:v>
      </x:c>
      <x:c r="C12" s="63" t="n">
        <x:f>B12/$B$16</x:f>
        <x:v>0.0997566909975669</x:v>
      </x:c>
      <x:c r="D12" s="62" t="n">
        <x:v>4.5</x:v>
      </x:c>
      <x:c r="E12" s="63" t="n">
        <x:f>D12/$D$16</x:f>
        <x:v>0.08426966292134831</x:v>
      </x:c>
      <x:c r="F12" s="63" t="n">
        <x:f>(C12+E12)/2</x:f>
        <x:v>0.0920131769594576</x:v>
      </x:c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49" t="str">
        <x:v>Out</x:v>
      </x:c>
      <x:c r="B13" s="62" t="n">
        <x:v>4.2</x:v>
      </x:c>
      <x:c r="C13" s="63" t="n">
        <x:f>B13/$B$16</x:f>
        <x:v>0.10218978102189781</x:v>
      </x:c>
      <x:c r="D13" s="62" t="n">
        <x:v>5.1</x:v>
      </x:c>
      <x:c r="E13" s="63" t="n">
        <x:f>D13/$D$16</x:f>
        <x:v>0.09550561797752807</x:v>
      </x:c>
      <x:c r="F13" s="63" t="n">
        <x:f>(C13+E13)/2</x:f>
        <x:v>0.09884769949971295</x:v>
      </x:c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49" t="str">
        <x:v>Nov</x:v>
      </x:c>
      <x:c r="B14" s="62" t="n">
        <x:v>4.3</x:v>
      </x:c>
      <x:c r="C14" s="63" t="n">
        <x:f>B14/$B$16</x:f>
        <x:v>0.10462287104622871</x:v>
      </x:c>
      <x:c r="D14" s="62" t="n">
        <x:v>4.6</x:v>
      </x:c>
      <x:c r="E14" s="63" t="n">
        <x:f>D14/$D$16</x:f>
        <x:v>0.08614232209737827</x:v>
      </x:c>
      <x:c r="F14" s="63" t="n">
        <x:f>(C14+E14)/2</x:f>
        <x:v>0.09538259657180348</x:v>
      </x:c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49" t="str">
        <x:v>Dez</x:v>
      </x:c>
      <x:c r="B15" s="62" t="n">
        <x:v>4.2</x:v>
      </x:c>
      <x:c r="C15" s="63" t="n">
        <x:f>B15/$B$16</x:f>
        <x:v>0.10218978102189781</x:v>
      </x:c>
      <x:c r="D15" s="62" t="n">
        <x:v>4.6</x:v>
      </x:c>
      <x:c r="E15" s="63" t="n">
        <x:f>D15/$D$16</x:f>
        <x:v>0.08614232209737827</x:v>
      </x:c>
      <x:c r="F15" s="63" t="n">
        <x:f>(C15+E15)/2</x:f>
        <x:v>0.09416605155963803</x:v>
      </x:c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64" t="str">
        <x:v>Total</x:v>
      </x:c>
      <x:c r="B16" s="65" t="n">
        <x:f>SUM(B4:B15)</x:f>
        <x:v>41.1</x:v>
      </x:c>
      <x:c r="C16" s="66" t="n">
        <x:f>SUM(C4:C15)</x:f>
        <x:v>1</x:v>
      </x:c>
      <x:c r="D16" s="65" t="n">
        <x:f>SUM(D4:D15)</x:f>
        <x:v>53.400000000000006</x:v>
      </x:c>
      <x:c r="E16" s="66" t="n">
        <x:f>SUM(E4:E15)</x:f>
        <x:v>0.9999999999999999</x:v>
      </x:c>
      <x:c r="F16" s="66" t="n">
        <x:f>SUM(F4:F15)</x:f>
        <x:v>1</x:v>
      </x:c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52" t="str">
        <x:v>Fonte</x:v>
      </x:c>
      <x:c r="B18" s="52" t="str">
        <x:v>https://bnldata.com.br/wp-content/uploads/2026/01/Holding-slides-Casa-Brazil-ICE-2026-Presentation.pdf</x:v>
      </x:c>
      <x:c r="C18" s="52"/>
      <x:c r="D18" s="52"/>
      <x:c r="E18" s="52"/>
      <x:c r="F18" s="52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52" t="str">
        <x:v>Uso no modelo</x:v>
      </x:c>
      <x:c r="B19" s="52" t="str">
        <x:v>2024-25 entram diretamente; o share médio 2024-25 é usado apenas para sazonalizar 2021-22.</x:v>
      </x:c>
      <x:c r="C19" s="52"/>
      <x:c r="D19" s="52"/>
      <x:c r="E19" s="52"/>
      <x:c r="F19" s="52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48" t="str">
        <x:v>Indicadores mensais do BCB usados para 2023</x:v>
      </x:c>
      <x:c r="B1" s="48"/>
      <x:c r="C1" s="48"/>
      <x:c r="D1" s="48"/>
      <x:c r="E1" s="48"/>
      <x:c r="F1" s="48"/>
      <x:c r="G1" s="48"/>
      <x:c r="H1" s="48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Mês</x:v>
      </x:c>
      <x:c r="B3" s="50" t="str">
        <x:v>SGS 22790 - 2022 (US$ mi)</x:v>
      </x:c>
      <x:c r="C3" s="50" t="str">
        <x:v>SGS 22790 - 2023 (US$ mi)</x:v>
      </x:c>
      <x:c r="D3" s="50" t="str">
        <x:v>Excesso 2023 vs 2022</x:v>
      </x:c>
      <x:c r="E3" s="50" t="str">
        <x:v>Peso 2023</x:v>
      </x:c>
      <x:c r="F3" s="50" t="str">
        <x:v>SGS 22790 - 2024 (US$ mi)</x:v>
      </x:c>
      <x:c r="G3" s="50" t="str">
        <x:v>SGS 22848 líquido - 2023 (US$ mi)</x:v>
      </x:c>
      <x:c r="H3" s="50" t="str">
        <x:v>SGS 22848 líquido - 2024 (US$ mi)</x:v>
      </x:c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49" t="str">
        <x:v>Jan</x:v>
      </x:c>
      <x:c r="B4" s="62" t="n">
        <x:v>16.7</x:v>
      </x:c>
      <x:c r="C4" s="62" t="n">
        <x:v>344.1</x:v>
      </x:c>
      <x:c r="D4" s="62" t="n">
        <x:f>MAX(C4-B4,0)</x:f>
        <x:v>327.40000000000003</x:v>
      </x:c>
      <x:c r="E4" s="63" t="n">
        <x:f>D4/$D$16</x:f>
        <x:v>0.07247531766060122</x:v>
      </x:c>
      <x:c r="F4" s="62" t="n">
        <x:v>473.5</x:v>
      </x:c>
      <x:c r="G4" s="62" t="n">
        <x:v>28.9</x:v>
      </x:c>
      <x:c r="H4" s="62" t="n">
        <x:v>129.4</x:v>
      </x:c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49" t="str">
        <x:v>Fev</x:v>
      </x:c>
      <x:c r="B5" s="62" t="n">
        <x:v>18.7</x:v>
      </x:c>
      <x:c r="C5" s="62" t="n">
        <x:v>337.6</x:v>
      </x:c>
      <x:c r="D5" s="62" t="n">
        <x:f>MAX(C5-B5,0)</x:f>
        <x:v>318.90000000000003</x:v>
      </x:c>
      <x:c r="E5" s="63" t="n">
        <x:f>D5/$D$16</x:f>
        <x:v>0.07059370434320626</x:v>
      </x:c>
      <x:c r="F5" s="62" t="n">
        <x:v>353.3</x:v>
      </x:c>
      <x:c r="G5" s="62" t="n">
        <x:v>40.1</x:v>
      </x:c>
      <x:c r="H5" s="62" t="n">
        <x:v>79.3</x:v>
      </x:c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49" t="str">
        <x:v>Mar</x:v>
      </x:c>
      <x:c r="B6" s="62" t="n">
        <x:v>43.5</x:v>
      </x:c>
      <x:c r="C6" s="62" t="n">
        <x:v>461</x:v>
      </x:c>
      <x:c r="D6" s="62" t="n">
        <x:f>MAX(C6-B6,0)</x:f>
        <x:v>417.5</x:v>
      </x:c>
      <x:c r="E6" s="63" t="n">
        <x:f>D6/$D$16</x:f>
        <x:v>0.09242041882498782</x:v>
      </x:c>
      <x:c r="F6" s="62" t="n">
        <x:v>423.4</x:v>
      </x:c>
      <x:c r="G6" s="62" t="n">
        <x:v>71.3</x:v>
      </x:c>
      <x:c r="H6" s="62" t="n">
        <x:v>83.7</x:v>
      </x:c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49" t="str">
        <x:v>Abr</x:v>
      </x:c>
      <x:c r="B7" s="62" t="n">
        <x:v>28</x:v>
      </x:c>
      <x:c r="C7" s="62" t="n">
        <x:v>406.4</x:v>
      </x:c>
      <x:c r="D7" s="62" t="n">
        <x:f>MAX(C7-B7,0)</x:f>
        <x:v>378.4</x:v>
      </x:c>
      <x:c r="E7" s="63" t="n">
        <x:f>D7/$D$16</x:f>
        <x:v>0.08376499756497098</x:v>
      </x:c>
      <x:c r="F7" s="62" t="n">
        <x:v>504.3</x:v>
      </x:c>
      <x:c r="G7" s="62" t="n">
        <x:v>49.7</x:v>
      </x:c>
      <x:c r="H7" s="62" t="n">
        <x:v>136.4</x:v>
      </x:c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49" t="str">
        <x:v>Mai</x:v>
      </x:c>
      <x:c r="B8" s="62" t="n">
        <x:v>51.5</x:v>
      </x:c>
      <x:c r="C8" s="62" t="n">
        <x:v>469.4</x:v>
      </x:c>
      <x:c r="D8" s="62" t="n">
        <x:f>MAX(C8-B8,0)</x:f>
        <x:v>417.9</x:v>
      </x:c>
      <x:c r="E8" s="63" t="n">
        <x:f>D8/$D$16</x:f>
        <x:v>0.0925089653340417</x:v>
      </x:c>
      <x:c r="F8" s="62" t="n">
        <x:v>547</x:v>
      </x:c>
      <x:c r="G8" s="62" t="n">
        <x:v>123.3</x:v>
      </x:c>
      <x:c r="H8" s="62" t="n">
        <x:v>44.5</x:v>
      </x:c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49" t="str">
        <x:v>Jun</x:v>
      </x:c>
      <x:c r="B9" s="62" t="n">
        <x:v>73.3</x:v>
      </x:c>
      <x:c r="C9" s="62" t="n">
        <x:v>455.5</x:v>
      </x:c>
      <x:c r="D9" s="62" t="n">
        <x:f>MAX(C9-B9,0)</x:f>
        <x:v>382.2</x:v>
      </x:c>
      <x:c r="E9" s="63" t="n">
        <x:f>D9/$D$16</x:f>
        <x:v>0.08460618940098286</x:v>
      </x:c>
      <x:c r="F9" s="62" t="n">
        <x:v>475</x:v>
      </x:c>
      <x:c r="G9" s="62" t="n">
        <x:v>248.8</x:v>
      </x:c>
      <x:c r="H9" s="62" t="n">
        <x:v>69</x:v>
      </x:c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49" t="str">
        <x:v>Jul</x:v>
      </x:c>
      <x:c r="B10" s="62" t="n">
        <x:v>57.9</x:v>
      </x:c>
      <x:c r="C10" s="62" t="n">
        <x:v>437.4</x:v>
      </x:c>
      <x:c r="D10" s="62" t="n">
        <x:f>MAX(C10-B10,0)</x:f>
        <x:v>379.5</x:v>
      </x:c>
      <x:c r="E10" s="63" t="n">
        <x:f>D10/$D$16</x:f>
        <x:v>0.08400850046486916</x:v>
      </x:c>
      <x:c r="F10" s="62" t="n">
        <x:v>541.9</x:v>
      </x:c>
      <x:c r="G10" s="62" t="n">
        <x:v>118.5</x:v>
      </x:c>
      <x:c r="H10" s="62" t="n">
        <x:v>146.7</x:v>
      </x:c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49" t="str">
        <x:v>Ago</x:v>
      </x:c>
      <x:c r="B11" s="62" t="n">
        <x:v>35.5</x:v>
      </x:c>
      <x:c r="C11" s="62" t="n">
        <x:v>429.3</x:v>
      </x:c>
      <x:c r="D11" s="62" t="n">
        <x:f>MAX(C11-B11,0)</x:f>
        <x:v>393.8</x:v>
      </x:c>
      <x:c r="E11" s="63" t="n">
        <x:f>D11/$D$16</x:f>
        <x:v>0.0871740381635454</x:v>
      </x:c>
      <x:c r="F11" s="62" t="n">
        <x:v>504.2</x:v>
      </x:c>
      <x:c r="G11" s="62" t="n">
        <x:v>149.4</x:v>
      </x:c>
      <x:c r="H11" s="62" t="n">
        <x:v>117.7</x:v>
      </x:c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49" t="str">
        <x:v>Set</x:v>
      </x:c>
      <x:c r="B12" s="62" t="n">
        <x:v>31.1</x:v>
      </x:c>
      <x:c r="C12" s="62" t="n">
        <x:v>391.9</x:v>
      </x:c>
      <x:c r="D12" s="62" t="n">
        <x:f>MAX(C12-B12,0)</x:f>
        <x:v>360.79999999999995</x:v>
      </x:c>
      <x:c r="E12" s="63" t="n">
        <x:f>D12/$D$16</x:f>
        <x:v>0.07986895116660024</x:v>
      </x:c>
      <x:c r="F12" s="62" t="n">
        <x:v>488.4</x:v>
      </x:c>
      <x:c r="G12" s="62" t="n">
        <x:v>191.8</x:v>
      </x:c>
      <x:c r="H12" s="62" t="n">
        <x:v>113.1</x:v>
      </x:c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49" t="str">
        <x:v>Out</x:v>
      </x:c>
      <x:c r="B13" s="62" t="n">
        <x:v>53.5</x:v>
      </x:c>
      <x:c r="C13" s="62" t="n">
        <x:v>444.5</x:v>
      </x:c>
      <x:c r="D13" s="62" t="n">
        <x:f>MAX(C13-B13,0)</x:f>
        <x:v>391</x:v>
      </x:c>
      <x:c r="E13" s="63" t="n">
        <x:f>D13/$D$16</x:f>
        <x:v>0.08655421260016823</x:v>
      </x:c>
      <x:c r="F13" s="62" t="n">
        <x:v>495.3</x:v>
      </x:c>
      <x:c r="G13" s="62" t="n">
        <x:v>198.3</x:v>
      </x:c>
      <x:c r="H13" s="62" t="n">
        <x:v>174.2</x:v>
      </x:c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49" t="str">
        <x:v>Nov</x:v>
      </x:c>
      <x:c r="B14" s="62" t="n">
        <x:v>36.4</x:v>
      </x:c>
      <x:c r="C14" s="62" t="n">
        <x:v>452.7</x:v>
      </x:c>
      <x:c r="D14" s="62" t="n">
        <x:f>MAX(C14-B14,0)</x:f>
        <x:v>416.3</x:v>
      </x:c>
      <x:c r="E14" s="63" t="n">
        <x:f>D14/$D$16</x:f>
        <x:v>0.09215477929782617</x:v>
      </x:c>
      <x:c r="F14" s="62" t="n">
        <x:v>505.3</x:v>
      </x:c>
      <x:c r="G14" s="62" t="n">
        <x:v>108.6</x:v>
      </x:c>
      <x:c r="H14" s="62" t="n">
        <x:v>119.5</x:v>
      </x:c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49" t="str">
        <x:v>Dez</x:v>
      </x:c>
      <x:c r="B15" s="62" t="n">
        <x:v>33.1</x:v>
      </x:c>
      <x:c r="C15" s="62" t="n">
        <x:v>366.8</x:v>
      </x:c>
      <x:c r="D15" s="62" t="n">
        <x:f>MAX(C15-B15,0)</x:f>
        <x:v>333.7</x:v>
      </x:c>
      <x:c r="E15" s="63" t="n">
        <x:f>D15/$D$16</x:f>
        <x:v>0.07386992517819983</x:v>
      </x:c>
      <x:c r="F15" s="62" t="n">
        <x:v>437.6</x:v>
      </x:c>
      <x:c r="G15" s="62" t="n">
        <x:v>151.2</x:v>
      </x:c>
      <x:c r="H15" s="62" t="n">
        <x:v>222.4</x:v>
      </x:c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64" t="str">
        <x:v>Total</x:v>
      </x:c>
      <x:c r="B16" s="65"/>
      <x:c r="C16" s="65"/>
      <x:c r="D16" s="65" t="n">
        <x:f>SUM(D4:D15)</x:f>
        <x:v>4517.400000000001</x:v>
      </x:c>
      <x:c r="E16" s="66" t="n">
        <x:f>SUM(E4:E15)</x:f>
        <x:v>0.9999999999999998</x:v>
      </x:c>
      <x:c r="F16" s="64"/>
      <x:c r="G16" s="64"/>
      <x:c r="H16" s="64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52" t="str">
        <x:v>Fonte SGS 22790</x:v>
      </x:c>
      <x:c r="B18" s="52" t="str">
        <x:v>https://dadosabertos.bcb.gov.br/dataset/22790-sgs</x:v>
      </x:c>
      <x:c r="C18" s="52"/>
      <x:c r="D18" s="52"/>
      <x:c r="E18" s="52"/>
      <x:c r="F18" s="52"/>
      <x:c r="G18" s="52"/>
      <x:c r="H18" s="52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52" t="str">
        <x:v>Fonte SGS 22848</x:v>
      </x:c>
      <x:c r="B19" s="52" t="str">
        <x:v>https://dadosabertos.bcb.gov.br/dataset/22848-sgs</x:v>
      </x:c>
      <x:c r="C19" s="52"/>
      <x:c r="D19" s="52"/>
      <x:c r="E19" s="52"/>
      <x:c r="F19" s="52"/>
      <x:c r="G19" s="52"/>
      <x:c r="H19" s="52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52" t="str">
        <x:v>Interpretação metodológica</x:v>
      </x:c>
      <x:c r="B20" s="52" t="str">
        <x:v>https://macroattachment.cloud.itau.com.br/attachments/a77e92d9-319f-45ca-b657-6c721241804b/13082024_MACRO_VISAO_Apostas_on-line.pdf</x:v>
      </x:c>
      <x:c r="C20" s="52"/>
      <x:c r="D20" s="52"/>
      <x:c r="E20" s="52"/>
      <x:c r="F20" s="52"/>
      <x:c r="G20" s="52"/>
      <x:c r="H20" s="52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52" t="str">
        <x:v>Regra usada em 2023</x:v>
      </x:c>
      <x:c r="B21" s="52" t="str">
        <x:v>Peso mensal = MAX(SGS22790_2023 - SGS22790_2022, 0) / soma dos excessos. A subtração mês a mês procura retirar a base pré-mudança metodológica; o peso distribui o total anual H2 de R$25 bi.</x:v>
      </x:c>
      <x:c r="C21" s="52"/>
      <x:c r="D21" s="52"/>
      <x:c r="E21" s="52"/>
      <x:c r="F21" s="52"/>
      <x:c r="G21" s="52"/>
      <x:c r="H21" s="52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52" t="str">
        <x:v>Nota</x:v>
      </x:c>
      <x:c r="B22" s="52" t="str">
        <x:v>SGS 22848 é mantida apenas como referência da conta de prêmios/transferências e NÃO entra na fórmula do GGR mensal principal.</x:v>
      </x:c>
      <x:c r="C22" s="52"/>
      <x:c r="D22" s="52"/>
      <x:c r="E22" s="52"/>
      <x:c r="F22" s="52"/>
      <x:c r="G22" s="52"/>
      <x:c r="H22" s="52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32" hidden="0" customWidth="1"/>
    <x:col min="6" max="6" width="48" hidden="0" customWidth="1"/>
  </x:cols>
  <x:sheetData>
    <x:row r="1">
      <x:c r="A1" s="48" t="str">
        <x:v>Validação da série mensal construída</x:v>
      </x:c>
      <x:c r="B1" s="48"/>
      <x:c r="C1" s="48"/>
      <x:c r="D1" s="48"/>
      <x:c r="E1" s="48"/>
      <x:c r="F1" s="48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Ano</x:v>
      </x:c>
      <x:c r="B3" s="50" t="str">
        <x:v>Soma Base_mensal (R$ bi)</x:v>
      </x:c>
      <x:c r="C3" s="50" t="str">
        <x:v>H2 anual ref. (R$ bi)</x:v>
      </x:c>
      <x:c r="D3" s="50" t="str">
        <x:v>Diferença</x:v>
      </x:c>
      <x:c r="E3" s="50" t="str">
        <x:v>Método</x:v>
      </x:c>
      <x:c r="F3" s="50" t="str">
        <x:v>Comentário</x:v>
      </x:c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2" t="n">
        <x:v>2021</x:v>
      </x:c>
      <x:c r="B4" s="53" t="n">
        <x:f>SUM(Base_mensal!D4:D15)</x:f>
        <x:v>10.000000000000002</x:v>
      </x:c>
      <x:c r="C4" s="53" t="n">
        <x:f>H2_anuais!B4</x:f>
        <x:v>10</x:v>
      </x:c>
      <x:c r="D4" s="53" t="n">
        <x:f>B4-C4</x:f>
        <x:v>1.7763568394002505e-15</x:v>
      </x:c>
      <x:c r="E4" s="52" t="str">
        <x:v>H2 anual + sazonalidade média H2 2024-25</x:v>
      </x:c>
      <x:c r="F4" s="52" t="str">
        <x:v>A soma deve coincidir exatamente com o total anual usado como âncora.</x:v>
      </x:c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2" t="n">
        <x:v>2022</x:v>
      </x:c>
      <x:c r="B5" s="53" t="n">
        <x:f>SUM(Base_mensal!D16:D27)</x:f>
        <x:v>16</x:v>
      </x:c>
      <x:c r="C5" s="53" t="n">
        <x:f>H2_anuais!B5</x:f>
        <x:v>16</x:v>
      </x:c>
      <x:c r="D5" s="53" t="n">
        <x:f>B5-C5</x:f>
        <x:v>0</x:v>
      </x:c>
      <x:c r="E5" s="52" t="str">
        <x:v>H2 anual + sazonalidade média H2 2024-25</x:v>
      </x:c>
      <x:c r="F5" s="52" t="str">
        <x:v>A soma deve coincidir exatamente com o total anual usado como âncora.</x:v>
      </x:c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2" t="n">
        <x:v>2023</x:v>
      </x:c>
      <x:c r="B6" s="53" t="n">
        <x:f>SUM(Base_mensal!D28:D39)</x:f>
        <x:v>25</x:v>
      </x:c>
      <x:c r="C6" s="53" t="n">
        <x:f>H2_anuais!B6</x:f>
        <x:v>25</x:v>
      </x:c>
      <x:c r="D6" s="53" t="n">
        <x:f>B6-C6</x:f>
        <x:v>0</x:v>
      </x:c>
      <x:c r="E6" s="52" t="str">
        <x:v>H2 anual + pesos mensais BCB</x:v>
      </x:c>
      <x:c r="F6" s="52" t="str">
        <x:v>A soma deve coincidir exatamente com R$25 bi.</x:v>
      </x:c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2" t="n">
        <x:v>2024</x:v>
      </x:c>
      <x:c r="B7" s="53" t="n">
        <x:f>SUM(Base_mensal!D40:D51)</x:f>
        <x:v>41.1</x:v>
      </x:c>
      <x:c r="C7" s="53" t="n">
        <x:f>H2_anuais!B7</x:f>
        <x:v>41</x:v>
      </x:c>
      <x:c r="D7" s="53" t="n">
        <x:f>B7-C7</x:f>
        <x:v>0.10000000000000142</x:v>
      </x:c>
      <x:c r="E7" s="52" t="str">
        <x:v>H2 mensal publicado</x:v>
      </x:c>
      <x:c r="F7" s="52" t="str">
        <x:v>Diferença frente ao gráfico anual decorre do arredondamento dos valores mensais/anuais publicados.</x:v>
      </x:c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2" t="n">
        <x:v>2025</x:v>
      </x:c>
      <x:c r="B8" s="53" t="n">
        <x:f>SUM(Base_mensal!D52:D63)</x:f>
        <x:v>53.400000000000006</x:v>
      </x:c>
      <x:c r="C8" s="53" t="n">
        <x:f>H2_anuais!B8</x:f>
        <x:v>53</x:v>
      </x:c>
      <x:c r="D8" s="53" t="n">
        <x:f>B8-C8</x:f>
        <x:v>0.4000000000000057</x:v>
      </x:c>
      <x:c r="E8" s="52" t="str">
        <x:v>H2 mensal publicado</x:v>
      </x:c>
      <x:c r="F8" s="52" t="str">
        <x:v>Diferença frente ao gráfico anual decorre do arredondamento dos valores mensais/anuais publicados.</x:v>
      </x:c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50" t="str">
        <x:v>Checagem</x:v>
      </x:c>
      <x:c r="B11" s="50" t="str">
        <x:v>Resultado / interpretação</x:v>
      </x:c>
      <x:c r="C11" s="50"/>
      <x:c r="D11" s="50"/>
      <x:c r="E11" s="50"/>
      <x:c r="F11" s="50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52" t="str">
        <x:v>2021-22</x:v>
      </x:c>
      <x:c r="B12" s="52" t="str">
        <x:v>Não são observações mensais originais; são desagregações de totais anuais H2.</x:v>
      </x:c>
      <x:c r="C12" s="52"/>
      <x:c r="D12" s="52"/>
      <x:c r="E12" s="52"/>
      <x:c r="F12" s="52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52" t="str">
        <x:v>2023</x:v>
      </x:c>
      <x:c r="B13" s="52" t="str">
        <x:v>Mensalização usa a mudança metodológica do BCB como indicador de formato intra-anual.</x:v>
      </x:c>
      <x:c r="C13" s="52"/>
      <x:c r="D13" s="52"/>
      <x:c r="E13" s="52"/>
      <x:c r="F13" s="52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52" t="str">
        <x:v>2024-25</x:v>
      </x:c>
      <x:c r="B14" s="52" t="str">
        <x:v>São valores mensais diretamente publicados pela H2 (ainda assim, estimativas da H2, não GGR oficial observado).</x:v>
      </x:c>
      <x:c r="C14" s="52"/>
      <x:c r="D14" s="52"/>
      <x:c r="E14" s="52"/>
      <x:c r="F14" s="52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52" t="str">
        <x:v>2026</x:v>
      </x:c>
      <x:c r="B15" s="52" t="str">
        <x:v>Não incluído na série principal para evitar misturar H2 total com GGR apenas do mercado regulado/estimativas ou projeções.</x:v>
      </x:c>
      <x:c r="C15" s="52"/>
      <x:c r="D15" s="52"/>
      <x:c r="E15" s="52"/>
      <x:c r="F15" s="52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52" t="str">
        <x:v>Uso recomendado</x:v>
      </x:c>
      <x:c r="B16" s="52" t="str">
        <x:v>Tratar a série como variável estimada e realizar robustez excluindo 2021-22 e/ou usando somente 2023-25.</x:v>
      </x:c>
      <x:c r="C16" s="52"/>
      <x:c r="D16" s="52"/>
      <x:c r="E16" s="52"/>
      <x:c r="F16" s="52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48" t="str">
        <x:v>Metodologia de construção da série mensal</x:v>
      </x:c>
      <x:c r="B1" s="48"/>
      <x:c r="C1" s="48"/>
      <x:c r="D1" s="48"/>
      <x:c r="E1" s="48"/>
      <x:c r="F1" s="48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Etapa</x:v>
      </x:c>
      <x:c r="B3" s="50" t="str">
        <x:v>Período</x:v>
      </x:c>
      <x:c r="C3" s="50" t="str">
        <x:v>Procedimento</x:v>
      </x:c>
      <x:c r="D3" s="50" t="str">
        <x:v>Fórmula</x:v>
      </x:c>
      <x:c r="E3" s="50" t="str">
        <x:v>Vantagem</x:v>
      </x:c>
      <x:c r="F3" s="50" t="str">
        <x:v>Limitação</x:v>
      </x:c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2" t="n">
        <x:v>1</x:v>
      </x:c>
      <x:c r="B4" s="52" t="str">
        <x:v>2021-2022</x:v>
      </x:c>
      <x:c r="C4" s="52" t="str">
        <x:v>Usar o GGR anual H2 e distribuir pelos 12 meses conforme a participação média mensal observada em 2024 e 2025.</x:v>
      </x:c>
      <x:c r="D4" s="52" t="str">
        <x:v>GGR(m,t) = GGR_anual(t) × média[share_m,2024 ; share_m,2025]</x:v>
      </x:c>
      <x:c r="E4" s="52" t="str">
        <x:v>Evita repetir GGR/12 e incorpora um perfil mensal observado.</x:v>
      </x:c>
      <x:c r="F4" s="52" t="str">
        <x:v>A sazonalidade de 2024-25 é aplicada retrospectivamente; os meses de 2021-22 continuam estimados.</x:v>
      </x:c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2" t="n">
        <x:v>2</x:v>
      </x:c>
      <x:c r="B5" s="52" t="str">
        <x:v>2023</x:v>
      </x:c>
      <x:c r="C5" s="52" t="str">
        <x:v>Usar GGR anual H2 de R$25 bi. O peso mensal vem do excesso da SGS 22790 de 2023 sobre o mesmo mês de 2022.</x:v>
      </x:c>
      <x:c r="D5" s="52" t="str">
        <x:v>peso_m = max(SGS22790_2023,m − SGS22790_2022,m, 0) / Σ excessos; GGR_m = 25 × peso_m</x:v>
      </x:c>
      <x:c r="E5" s="52" t="str">
        <x:v>Explora a mudança metodológica do BCB em jan/2023 que passou a registrar taxas de serviços de apostas nessa rubrica.</x:v>
      </x:c>
      <x:c r="F5" s="52" t="str">
        <x:v>SGS 22790 não é uma série pura de bets; é usada apenas como indicador intra-anual.</x:v>
      </x:c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2" t="n">
        <x:v>3</x:v>
      </x:c>
      <x:c r="B6" s="52" t="str">
        <x:v>2024-2025</x:v>
      </x:c>
      <x:c r="C6" s="52" t="str">
        <x:v>Usar diretamente os 24 valores mensais publicados pela H2.</x:v>
      </x:c>
      <x:c r="D6" s="52" t="str">
        <x:v>GGR_m = valor mensal H2</x:v>
      </x:c>
      <x:c r="E6" s="52" t="str">
        <x:v>Não exige desagregação temporal.</x:v>
      </x:c>
      <x:c r="F6" s="52" t="str">
        <x:v>Os números são estimativas H2 e os valores do gráfico são arredondados.</x:v>
      </x:c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2" t="n">
        <x:v>4</x:v>
      </x:c>
      <x:c r="B7" s="52" t="str">
        <x:v>Toda a série</x:v>
      </x:c>
      <x:c r="C7" s="52" t="str">
        <x:v>Manter flags de origem e qualidade para que o ARDL reconheça que parte da regressora é estimada.</x:v>
      </x:c>
      <x:c r="D7" s="52" t="str">
        <x:v>Ver colunas Tipo_dado, Fonte_nível e Fonte-distribuição.</x:v>
      </x:c>
      <x:c r="E7" s="52" t="str">
        <x:v>Torna a base auditável e facilita testes de robustez.</x:v>
      </x:c>
      <x:c r="F7" s="52" t="str">
        <x:v>Uma série estimada não cria a mesma informação estatística de uma série mensal integralmente observada.</x:v>
      </x:c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50" t="str">
        <x:v>Recomendação econométrica</x:v>
      </x:c>
      <x:c r="B10" s="50"/>
      <x:c r="C10" s="50"/>
      <x:c r="D10" s="50"/>
      <x:c r="E10" s="50"/>
      <x:c r="F10" s="50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52" t="str">
        <x:v>1</x:v>
      </x:c>
      <x:c r="B11" s="52" t="str">
        <x:v>Modelo principal</x:v>
      </x:c>
      <x:c r="C11" s="52" t="str">
        <x:v>Pode usar 2021M01–2025M12, mas identificar a variável como GGR mensal estimado.</x:v>
      </x:c>
      <x:c r="D11" s="52"/>
      <x:c r="E11" s="52"/>
      <x:c r="F11" s="52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52" t="str">
        <x:v>2</x:v>
      </x:c>
      <x:c r="B12" s="52" t="str">
        <x:v>Robustez A</x:v>
      </x:c>
      <x:c r="C12" s="52" t="str">
        <x:v>Reestimar usando 2023M01–2025M12, período em que existe indicador mensal BCB ou H2 mensal.</x:v>
      </x:c>
      <x:c r="D12" s="52"/>
      <x:c r="E12" s="52"/>
      <x:c r="F12" s="52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52" t="str">
        <x:v>3</x:v>
      </x:c>
      <x:c r="B13" s="52" t="str">
        <x:v>Robustez B</x:v>
      </x:c>
      <x:c r="C13" s="52" t="str">
        <x:v>Reestimar usando somente 2024M01–2025M12 para verificar se o sinal das bets depende da desagregação.</x:v>
      </x:c>
      <x:c r="D13" s="52"/>
      <x:c r="E13" s="52"/>
      <x:c r="F13" s="52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52" t="str">
        <x:v>4</x:v>
      </x:c>
      <x:c r="B14" s="52" t="str">
        <x:v>Inferência</x:v>
      </x:c>
      <x:c r="C14" s="52" t="str">
        <x:v>Não interpretar significância como se todos os 60 meses fossem GGR observado diretamente.</x:v>
      </x:c>
      <x:c r="D14" s="52"/>
      <x:c r="E14" s="52"/>
      <x:c r="F14" s="52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55" hidden="0" customWidth="1"/>
    <x:col min="4" max="4" width="45" hidden="0" customWidth="1"/>
  </x:cols>
  <x:sheetData>
    <x:row r="1">
      <x:c r="A1" s="48" t="str">
        <x:v>Fontes e uso na construção</x:v>
      </x:c>
      <x:c r="B1" s="48"/>
      <x:c r="C1" s="48"/>
      <x:c r="D1" s="48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  <x:c r="S2" s="49"/>
      <x:c r="T2" s="49"/>
      <x:c r="U2" s="49"/>
      <x:c r="V2" s="49"/>
      <x:c r="W2" s="49"/>
      <x:c r="X2" s="49"/>
      <x:c r="Y2" s="49"/>
      <x:c r="Z2" s="49"/>
    </x:row>
    <x:row r="3">
      <x:c r="A3" s="50" t="str">
        <x:v>Fonte</x:v>
      </x:c>
      <x:c r="B3" s="50" t="str">
        <x:v>Conteúdo usado</x:v>
      </x:c>
      <x:c r="C3" s="50" t="str">
        <x:v>URL</x:v>
      </x:c>
      <x:c r="D3" s="50" t="str">
        <x:v>Observação</x:v>
      </x:c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>
      <x:c r="A4" s="52" t="str">
        <x:v>H2 Gambling Capital — ICE 2026</x:v>
      </x:c>
      <x:c r="B4" s="52" t="str">
        <x:v>GGR anual 2021-25 e GGR mensal 2024-25</x:v>
      </x:c>
      <x:c r="C4" s="52" t="str">
        <x:v>https://bnldata.com.br/wp-content/uploads/2026/01/Holding-slides-Casa-Brazil-ICE-2026-Presentation.pdf</x:v>
      </x:c>
      <x:c r="D4" s="52" t="str">
        <x:v>Fonte principal para o nível do GGR e para os meses diretamente publicados.</x:v>
      </x:c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  <x:c r="Q4" s="49"/>
      <x:c r="R4" s="49"/>
      <x:c r="S4" s="49"/>
      <x:c r="T4" s="49"/>
      <x:c r="U4" s="49"/>
      <x:c r="V4" s="49"/>
      <x:c r="W4" s="49"/>
      <x:c r="X4" s="49"/>
      <x:c r="Y4" s="49"/>
      <x:c r="Z4" s="49"/>
    </x:row>
    <x:row r="5">
      <x:c r="A5" s="52" t="str">
        <x:v>Banco Central — SGS 22790</x:v>
      </x:c>
      <x:c r="B5" s="52" t="str">
        <x:v>Indicador mensal de despesas com serviços culturais, pessoais e recreativos</x:v>
      </x:c>
      <x:c r="C5" s="52" t="str">
        <x:v>https://dadosabertos.bcb.gov.br/dataset/22790-sgs</x:v>
      </x:c>
      <x:c r="D5" s="52" t="str">
        <x:v>Usado apenas para distribuir 2023 dentro do ano.</x:v>
      </x:c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  <x:c r="Q5" s="49"/>
      <x:c r="R5" s="49"/>
      <x:c r="S5" s="49"/>
      <x:c r="T5" s="49"/>
      <x:c r="U5" s="49"/>
      <x:c r="V5" s="49"/>
      <x:c r="W5" s="49"/>
      <x:c r="X5" s="49"/>
      <x:c r="Y5" s="49"/>
      <x:c r="Z5" s="49"/>
    </x:row>
    <x:row r="6">
      <x:c r="A6" s="52" t="str">
        <x:v>Banco Central — SGS 22848</x:v>
      </x:c>
      <x:c r="B6" s="52" t="str">
        <x:v>Renda secundária, outras transferências, líquido</x:v>
      </x:c>
      <x:c r="C6" s="52" t="str">
        <x:v>https://dadosabertos.bcb.gov.br/dataset/22848-sgs</x:v>
      </x:c>
      <x:c r="D6" s="52" t="str">
        <x:v>Mantido como referência da conta de prêmios; não entra no GGR principal.</x:v>
      </x:c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  <x:c r="Q6" s="49"/>
      <x:c r="R6" s="49"/>
      <x:c r="S6" s="49"/>
      <x:c r="T6" s="49"/>
      <x:c r="U6" s="49"/>
      <x:c r="V6" s="49"/>
      <x:c r="W6" s="49"/>
      <x:c r="X6" s="49"/>
      <x:c r="Y6" s="49"/>
      <x:c r="Z6" s="49"/>
    </x:row>
    <x:row r="7">
      <x:c r="A7" s="52" t="str">
        <x:v>Itaú Macro Visão — 13/08/2024</x:v>
      </x:c>
      <x:c r="B7" s="52" t="str">
        <x:v>Interpretação da mudança metodológica do Balanço de Pagamentos a partir de jan/2023</x:v>
      </x:c>
      <x:c r="C7" s="52" t="str">
        <x:v>https://macroattachment.cloud.itau.com.br/attachments/a77e92d9-319f-45ca-b657-6c721241804b/13082024_MACRO_VISAO_Apostas_on-line.pdf</x:v>
      </x:c>
      <x:c r="D7" s="52" t="str">
        <x:v>Justifica o uso do BCB como indicador relacionado às apostas no período pós-jan/2023.</x:v>
      </x:c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  <x:c r="Q7" s="49"/>
      <x:c r="R7" s="49"/>
      <x:c r="S7" s="49"/>
      <x:c r="T7" s="49"/>
      <x:c r="U7" s="49"/>
      <x:c r="V7" s="49"/>
      <x:c r="W7" s="49"/>
      <x:c r="X7" s="49"/>
      <x:c r="Y7" s="49"/>
      <x:c r="Z7" s="49"/>
    </x:row>
    <x:row r="8">
      <x:c r="A8" s="52" t="str">
        <x:v>BCB Estudo Especial 119/2024</x:v>
      </x:c>
      <x:c r="B8" s="52" t="str">
        <x:v>Validação do tamanho e relevância dos fluxos de apostas via Pix em 2024</x:v>
      </x:c>
      <x:c r="C8" s="52" t="str">
        <x:v>https://bcb.gov.br/conteudo/relatorioinflacao/EstudosEspeciais/EE119_Analise_tecnica_sobre_o_mercado_de_apostas_online_no_Brasil_e_o_perfil_dos_apostadores.pdf</x:v>
      </x:c>
      <x:c r="D8" s="52" t="str">
        <x:v>Fonte de validação externa; turnover via Pix não é GGR.</x:v>
      </x:c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  <x:c r="Q8" s="49"/>
      <x:c r="R8" s="49"/>
      <x:c r="S8" s="49"/>
      <x:c r="T8" s="49"/>
      <x:c r="U8" s="49"/>
      <x:c r="V8" s="49"/>
      <x:c r="W8" s="49"/>
      <x:c r="X8" s="49"/>
      <x:c r="Y8" s="49"/>
      <x:c r="Z8" s="49"/>
    </x:row>
    <x:row r="9">
      <x:c r="A9" s="49"/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  <x:c r="Q10" s="49"/>
      <x:c r="R10" s="49"/>
      <x:c r="S10" s="49"/>
      <x:c r="T10" s="49"/>
      <x:c r="U10" s="49"/>
      <x:c r="V10" s="49"/>
      <x:c r="W10" s="49"/>
      <x:c r="X10" s="49"/>
      <x:c r="Y10" s="49"/>
      <x:c r="Z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  <x:c r="Q11" s="49"/>
      <x:c r="R11" s="49"/>
      <x:c r="S11" s="49"/>
      <x:c r="T11" s="49"/>
      <x:c r="U11" s="49"/>
      <x:c r="V11" s="49"/>
      <x:c r="W11" s="49"/>
      <x:c r="X11" s="49"/>
      <x:c r="Y11" s="49"/>
      <x:c r="Z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  <x:c r="Q12" s="49"/>
      <x:c r="R12" s="49"/>
      <x:c r="S12" s="49"/>
      <x:c r="T12" s="49"/>
      <x:c r="U12" s="49"/>
      <x:c r="V12" s="49"/>
      <x:c r="W12" s="49"/>
      <x:c r="X12" s="49"/>
      <x:c r="Y12" s="49"/>
      <x:c r="Z12" s="49"/>
    </x:row>
    <x:row r="13">
      <x:c r="A13" s="49"/>
      <x:c r="B13" s="49"/>
      <x:c r="C13" s="49"/>
      <x:c r="D13" s="49"/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  <x:c r="Q13" s="49"/>
      <x:c r="R13" s="49"/>
      <x:c r="S13" s="49"/>
      <x:c r="T13" s="49"/>
      <x:c r="U13" s="49"/>
      <x:c r="V13" s="49"/>
      <x:c r="W13" s="49"/>
      <x:c r="X13" s="49"/>
      <x:c r="Y13" s="49"/>
      <x:c r="Z13" s="49"/>
    </x:row>
    <x:row r="14">
      <x:c r="A14" s="49"/>
      <x:c r="B14" s="49"/>
      <x:c r="C14" s="49"/>
      <x:c r="D14" s="49"/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  <x:c r="Q14" s="49"/>
      <x:c r="R14" s="49"/>
      <x:c r="S14" s="49"/>
      <x:c r="T14" s="49"/>
      <x:c r="U14" s="49"/>
      <x:c r="V14" s="49"/>
      <x:c r="W14" s="49"/>
      <x:c r="X14" s="49"/>
      <x:c r="Y14" s="49"/>
      <x:c r="Z14" s="49"/>
    </x:row>
    <x:row r="15">
      <x:c r="A15" s="49"/>
      <x:c r="B15" s="49"/>
      <x:c r="C15" s="49"/>
      <x:c r="D15" s="49"/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  <x:c r="Q15" s="49"/>
      <x:c r="R15" s="49"/>
      <x:c r="S15" s="49"/>
      <x:c r="T15" s="49"/>
      <x:c r="U15" s="49"/>
      <x:c r="V15" s="49"/>
      <x:c r="W15" s="49"/>
      <x:c r="X15" s="49"/>
      <x:c r="Y15" s="49"/>
      <x:c r="Z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  <x:c r="Q16" s="49"/>
      <x:c r="R16" s="49"/>
      <x:c r="S16" s="49"/>
      <x:c r="T16" s="49"/>
      <x:c r="U16" s="49"/>
      <x:c r="V16" s="49"/>
      <x:c r="W16" s="49"/>
      <x:c r="X16" s="49"/>
      <x:c r="Y16" s="49"/>
      <x:c r="Z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  <x:c r="Q17" s="49"/>
      <x:c r="R17" s="49"/>
      <x:c r="S17" s="49"/>
      <x:c r="T17" s="49"/>
      <x:c r="U17" s="49"/>
      <x:c r="V17" s="49"/>
      <x:c r="W17" s="49"/>
      <x:c r="X17" s="49"/>
      <x:c r="Y17" s="49"/>
      <x:c r="Z17" s="49"/>
    </x:row>
    <x:row r="18">
      <x:c r="A18" s="49"/>
      <x:c r="B18" s="49"/>
      <x:c r="C18" s="49"/>
      <x:c r="D18" s="49"/>
      <x:c r="E18" s="49"/>
      <x:c r="F18" s="49"/>
      <x:c r="G18" s="49"/>
      <x:c r="H18" s="49"/>
      <x:c r="I18" s="49"/>
      <x:c r="J18" s="49"/>
      <x:c r="K18" s="49"/>
      <x:c r="L18" s="49"/>
      <x:c r="M18" s="49"/>
      <x:c r="N18" s="49"/>
      <x:c r="O18" s="49"/>
      <x:c r="P18" s="49"/>
      <x:c r="Q18" s="49"/>
      <x:c r="R18" s="49"/>
      <x:c r="S18" s="49"/>
      <x:c r="T18" s="49"/>
      <x:c r="U18" s="49"/>
      <x:c r="V18" s="49"/>
      <x:c r="W18" s="49"/>
      <x:c r="X18" s="49"/>
      <x:c r="Y18" s="49"/>
      <x:c r="Z18" s="49"/>
    </x:row>
    <x:row r="19">
      <x:c r="A19" s="49"/>
      <x:c r="B19" s="49"/>
      <x:c r="C19" s="49"/>
      <x:c r="D19" s="49"/>
      <x:c r="E19" s="49"/>
      <x:c r="F19" s="49"/>
      <x:c r="G19" s="49"/>
      <x:c r="H19" s="49"/>
      <x:c r="I19" s="49"/>
      <x:c r="J19" s="49"/>
      <x:c r="K19" s="49"/>
      <x:c r="L19" s="49"/>
      <x:c r="M19" s="49"/>
      <x:c r="N19" s="49"/>
      <x:c r="O19" s="49"/>
      <x:c r="P19" s="49"/>
      <x:c r="Q19" s="49"/>
      <x:c r="R19" s="49"/>
      <x:c r="S19" s="49"/>
      <x:c r="T19" s="49"/>
      <x:c r="U19" s="49"/>
      <x:c r="V19" s="49"/>
      <x:c r="W19" s="49"/>
      <x:c r="X19" s="49"/>
      <x:c r="Y19" s="49"/>
      <x:c r="Z19" s="49"/>
    </x:row>
    <x:row r="20">
      <x:c r="A20" s="49"/>
      <x:c r="B20" s="49"/>
      <x:c r="C20" s="49"/>
      <x:c r="D20" s="49"/>
      <x:c r="E20" s="49"/>
      <x:c r="F20" s="49"/>
      <x:c r="G20" s="49"/>
      <x:c r="H20" s="49"/>
      <x:c r="I20" s="49"/>
      <x:c r="J20" s="49"/>
      <x:c r="K20" s="49"/>
      <x:c r="L20" s="49"/>
      <x:c r="M20" s="49"/>
      <x:c r="N20" s="49"/>
      <x:c r="O20" s="49"/>
      <x:c r="P20" s="49"/>
      <x:c r="Q20" s="49"/>
      <x:c r="R20" s="49"/>
      <x:c r="S20" s="49"/>
      <x:c r="T20" s="49"/>
      <x:c r="U20" s="49"/>
      <x:c r="V20" s="49"/>
      <x:c r="W20" s="49"/>
      <x:c r="X20" s="49"/>
      <x:c r="Y20" s="49"/>
      <x:c r="Z20" s="49"/>
    </x:row>
    <x:row r="21">
      <x:c r="A21" s="49"/>
      <x:c r="B21" s="49"/>
      <x:c r="C21" s="49"/>
      <x:c r="D21" s="49"/>
      <x:c r="E21" s="49"/>
      <x:c r="F21" s="49"/>
      <x:c r="G21" s="49"/>
      <x:c r="H21" s="49"/>
      <x:c r="I21" s="49"/>
      <x:c r="J21" s="49"/>
      <x:c r="K21" s="49"/>
      <x:c r="L21" s="49"/>
      <x:c r="M21" s="49"/>
      <x:c r="N21" s="49"/>
      <x:c r="O21" s="49"/>
      <x:c r="P21" s="49"/>
      <x:c r="Q21" s="49"/>
      <x:c r="R21" s="49"/>
      <x:c r="S21" s="49"/>
      <x:c r="T21" s="49"/>
      <x:c r="U21" s="49"/>
      <x:c r="V21" s="49"/>
      <x:c r="W21" s="49"/>
      <x:c r="X21" s="49"/>
      <x:c r="Y21" s="49"/>
      <x:c r="Z21" s="49"/>
    </x:row>
    <x:row r="22">
      <x:c r="A22" s="49"/>
      <x:c r="B22" s="49"/>
      <x:c r="C22" s="49"/>
      <x:c r="D22" s="49"/>
      <x:c r="E22" s="49"/>
      <x:c r="F22" s="49"/>
      <x:c r="G22" s="49"/>
      <x:c r="H22" s="49"/>
      <x:c r="I22" s="49"/>
      <x:c r="J22" s="49"/>
      <x:c r="K22" s="49"/>
      <x:c r="L22" s="49"/>
      <x:c r="M22" s="49"/>
      <x:c r="N22" s="49"/>
      <x:c r="O22" s="49"/>
      <x:c r="P22" s="49"/>
      <x:c r="Q22" s="49"/>
      <x:c r="R22" s="49"/>
      <x:c r="S22" s="49"/>
      <x:c r="T22" s="49"/>
      <x:c r="U22" s="49"/>
      <x:c r="V22" s="49"/>
      <x:c r="W22" s="49"/>
      <x:c r="X22" s="49"/>
      <x:c r="Y22" s="49"/>
      <x:c r="Z22" s="49"/>
    </x:row>
    <x:row r="23">
      <x:c r="A23" s="49"/>
      <x:c r="B23" s="49"/>
      <x:c r="C23" s="49"/>
      <x:c r="D23" s="49"/>
      <x:c r="E23" s="49"/>
      <x:c r="F23" s="49"/>
      <x:c r="G23" s="49"/>
      <x:c r="H23" s="49"/>
      <x:c r="I23" s="49"/>
      <x:c r="J23" s="49"/>
      <x:c r="K23" s="49"/>
      <x:c r="L23" s="49"/>
      <x:c r="M23" s="49"/>
      <x:c r="N23" s="49"/>
      <x:c r="O23" s="49"/>
      <x:c r="P23" s="49"/>
      <x:c r="Q23" s="49"/>
      <x:c r="R23" s="49"/>
      <x:c r="S23" s="49"/>
      <x:c r="T23" s="49"/>
      <x:c r="U23" s="49"/>
      <x:c r="V23" s="49"/>
      <x:c r="W23" s="49"/>
      <x:c r="X23" s="49"/>
      <x:c r="Y23" s="49"/>
      <x:c r="Z23" s="49"/>
    </x:row>
    <x:row r="24">
      <x:c r="A24" s="49"/>
      <x:c r="B24" s="49"/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49"/>
      <x:c r="S24" s="49"/>
      <x:c r="T24" s="49"/>
      <x:c r="U24" s="49"/>
      <x:c r="V24" s="49"/>
      <x:c r="W24" s="49"/>
      <x:c r="X24" s="49"/>
      <x:c r="Y24" s="49"/>
      <x:c r="Z24" s="49"/>
    </x:row>
    <x:row r="25">
      <x:c r="A25" s="49"/>
      <x:c r="B25" s="49"/>
      <x:c r="C25" s="49"/>
      <x:c r="D25" s="49"/>
      <x:c r="E25" s="49"/>
      <x:c r="F25" s="49"/>
      <x:c r="G25" s="49"/>
      <x:c r="H25" s="49"/>
      <x:c r="I25" s="49"/>
      <x:c r="J25" s="49"/>
      <x:c r="K25" s="49"/>
      <x:c r="L25" s="49"/>
      <x:c r="M25" s="49"/>
      <x:c r="N25" s="49"/>
      <x:c r="O25" s="49"/>
      <x:c r="P25" s="49"/>
      <x:c r="Q25" s="49"/>
      <x:c r="R25" s="49"/>
      <x:c r="S25" s="49"/>
      <x:c r="T25" s="49"/>
      <x:c r="U25" s="49"/>
      <x:c r="V25" s="49"/>
      <x:c r="W25" s="49"/>
      <x:c r="X25" s="49"/>
      <x:c r="Y25" s="49"/>
      <x:c r="Z25" s="49"/>
    </x:row>
    <x:row r="26">
      <x:c r="A26" s="49"/>
      <x:c r="B26" s="49"/>
      <x:c r="C26" s="49"/>
      <x:c r="D26" s="49"/>
      <x:c r="E26" s="49"/>
      <x:c r="F26" s="49"/>
      <x:c r="G26" s="49"/>
      <x:c r="H26" s="49"/>
      <x:c r="I26" s="49"/>
      <x:c r="J26" s="49"/>
      <x:c r="K26" s="49"/>
      <x:c r="L26" s="49"/>
      <x:c r="M26" s="49"/>
      <x:c r="N26" s="49"/>
      <x:c r="O26" s="49"/>
      <x:c r="P26" s="49"/>
      <x:c r="Q26" s="49"/>
      <x:c r="R26" s="49"/>
      <x:c r="S26" s="49"/>
      <x:c r="T26" s="49"/>
      <x:c r="U26" s="49"/>
      <x:c r="V26" s="49"/>
      <x:c r="W26" s="49"/>
      <x:c r="X26" s="49"/>
      <x:c r="Y26" s="49"/>
      <x:c r="Z26" s="49"/>
    </x:row>
    <x:row r="27">
      <x:c r="A27" s="49"/>
      <x:c r="B27" s="49"/>
      <x:c r="C27" s="49"/>
      <x:c r="D27" s="49"/>
      <x:c r="E27" s="49"/>
      <x:c r="F27" s="49"/>
      <x:c r="G27" s="49"/>
      <x:c r="H27" s="49"/>
      <x:c r="I27" s="49"/>
      <x:c r="J27" s="49"/>
      <x:c r="K27" s="49"/>
      <x:c r="L27" s="49"/>
      <x:c r="M27" s="49"/>
      <x:c r="N27" s="49"/>
      <x:c r="O27" s="49"/>
      <x:c r="P27" s="49"/>
      <x:c r="Q27" s="49"/>
      <x:c r="R27" s="49"/>
      <x:c r="S27" s="49"/>
      <x:c r="T27" s="49"/>
      <x:c r="U27" s="49"/>
      <x:c r="V27" s="49"/>
      <x:c r="W27" s="49"/>
      <x:c r="X27" s="49"/>
      <x:c r="Y27" s="49"/>
      <x:c r="Z27" s="49"/>
    </x:row>
    <x:row r="28">
      <x:c r="A28" s="49"/>
      <x:c r="B28" s="49"/>
      <x:c r="C28" s="49"/>
      <x:c r="D28" s="49"/>
      <x:c r="E28" s="49"/>
      <x:c r="F28" s="49"/>
      <x:c r="G28" s="49"/>
      <x:c r="H28" s="49"/>
      <x:c r="I28" s="49"/>
      <x:c r="J28" s="49"/>
      <x:c r="K28" s="49"/>
      <x:c r="L28" s="49"/>
      <x:c r="M28" s="49"/>
      <x:c r="N28" s="49"/>
      <x:c r="O28" s="49"/>
      <x:c r="P28" s="49"/>
      <x:c r="Q28" s="49"/>
      <x:c r="R28" s="49"/>
      <x:c r="S28" s="49"/>
      <x:c r="T28" s="49"/>
      <x:c r="U28" s="49"/>
      <x:c r="V28" s="49"/>
      <x:c r="W28" s="49"/>
      <x:c r="X28" s="49"/>
      <x:c r="Y28" s="49"/>
      <x:c r="Z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  <x:c r="M29" s="49"/>
      <x:c r="N29" s="49"/>
      <x:c r="O29" s="49"/>
      <x:c r="P29" s="49"/>
      <x:c r="Q29" s="49"/>
      <x:c r="R29" s="49"/>
      <x:c r="S29" s="49"/>
      <x:c r="T29" s="49"/>
      <x:c r="U29" s="49"/>
      <x:c r="V29" s="49"/>
      <x:c r="W29" s="49"/>
      <x:c r="X29" s="49"/>
      <x:c r="Y29" s="49"/>
      <x:c r="Z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  <x:row r="81">
      <x:c r="A81" s="49"/>
      <x:c r="B81" s="49"/>
      <x:c r="C81" s="49"/>
      <x:c r="D81" s="49"/>
      <x:c r="E81" s="49"/>
      <x:c r="F81" s="49"/>
      <x:c r="G81" s="49"/>
      <x:c r="H81" s="49"/>
      <x:c r="I81" s="49"/>
      <x:c r="J81" s="49"/>
      <x:c r="K81" s="49"/>
      <x:c r="L81" s="49"/>
      <x:c r="M81" s="49"/>
      <x:c r="N81" s="49"/>
      <x:c r="O81" s="49"/>
      <x:c r="P81" s="49"/>
      <x:c r="Q81" s="49"/>
      <x:c r="R81" s="49"/>
      <x:c r="S81" s="49"/>
      <x:c r="T81" s="49"/>
      <x:c r="U81" s="49"/>
      <x:c r="V81" s="49"/>
      <x:c r="W81" s="49"/>
      <x:c r="X81" s="49"/>
      <x:c r="Y81" s="49"/>
      <x:c r="Z81" s="49"/>
    </x:row>
    <x:row r="82">
      <x:c r="A82" s="49"/>
      <x:c r="B82" s="49"/>
      <x:c r="C82" s="49"/>
      <x:c r="D82" s="49"/>
      <x:c r="E82" s="49"/>
      <x:c r="F82" s="49"/>
      <x:c r="G82" s="49"/>
      <x:c r="H82" s="49"/>
      <x:c r="I82" s="49"/>
      <x:c r="J82" s="49"/>
      <x:c r="K82" s="49"/>
      <x:c r="L82" s="49"/>
      <x:c r="M82" s="49"/>
      <x:c r="N82" s="49"/>
      <x:c r="O82" s="49"/>
      <x:c r="P82" s="49"/>
      <x:c r="Q82" s="49"/>
      <x:c r="R82" s="49"/>
      <x:c r="S82" s="49"/>
      <x:c r="T82" s="49"/>
      <x:c r="U82" s="49"/>
      <x:c r="V82" s="49"/>
      <x:c r="W82" s="49"/>
      <x:c r="X82" s="49"/>
      <x:c r="Y82" s="49"/>
      <x:c r="Z82" s="49"/>
    </x:row>
    <x:row r="83">
      <x:c r="A83" s="49"/>
      <x:c r="B83" s="49"/>
      <x:c r="C83" s="49"/>
      <x:c r="D83" s="49"/>
      <x:c r="E83" s="49"/>
      <x:c r="F83" s="49"/>
      <x:c r="G83" s="49"/>
      <x:c r="H83" s="49"/>
      <x:c r="I83" s="49"/>
      <x:c r="J83" s="49"/>
      <x:c r="K83" s="49"/>
      <x:c r="L83" s="49"/>
      <x:c r="M83" s="49"/>
      <x:c r="N83" s="49"/>
      <x:c r="O83" s="49"/>
      <x:c r="P83" s="49"/>
      <x:c r="Q83" s="49"/>
      <x:c r="R83" s="49"/>
      <x:c r="S83" s="49"/>
      <x:c r="T83" s="49"/>
      <x:c r="U83" s="49"/>
      <x:c r="V83" s="49"/>
      <x:c r="W83" s="49"/>
      <x:c r="X83" s="49"/>
      <x:c r="Y83" s="49"/>
      <x:c r="Z83" s="49"/>
    </x:row>
    <x:row r="84">
      <x:c r="A84" s="49"/>
      <x:c r="B84" s="49"/>
      <x:c r="C84" s="49"/>
      <x:c r="D84" s="49"/>
      <x:c r="E84" s="49"/>
      <x:c r="F84" s="49"/>
      <x:c r="G84" s="49"/>
      <x:c r="H84" s="49"/>
      <x:c r="I84" s="49"/>
      <x:c r="J84" s="49"/>
      <x:c r="K84" s="49"/>
      <x:c r="L84" s="49"/>
      <x:c r="M84" s="49"/>
      <x:c r="N84" s="49"/>
      <x:c r="O84" s="49"/>
      <x:c r="P84" s="49"/>
      <x:c r="Q84" s="49"/>
      <x:c r="R84" s="49"/>
      <x:c r="S84" s="49"/>
      <x:c r="T84" s="49"/>
      <x:c r="U84" s="49"/>
      <x:c r="V84" s="49"/>
      <x:c r="W84" s="49"/>
      <x:c r="X84" s="49"/>
      <x:c r="Y84" s="49"/>
      <x:c r="Z84" s="49"/>
    </x:row>
    <x:row r="85">
      <x:c r="A85" s="49"/>
      <x:c r="B85" s="49"/>
      <x:c r="C85" s="49"/>
      <x:c r="D85" s="49"/>
      <x:c r="E85" s="49"/>
      <x:c r="F85" s="49"/>
      <x:c r="G85" s="49"/>
      <x:c r="H85" s="49"/>
      <x:c r="I85" s="49"/>
      <x:c r="J85" s="49"/>
      <x:c r="K85" s="49"/>
      <x:c r="L85" s="49"/>
      <x:c r="M85" s="49"/>
      <x:c r="N85" s="49"/>
      <x:c r="O85" s="49"/>
      <x:c r="P85" s="49"/>
      <x:c r="Q85" s="49"/>
      <x:c r="R85" s="49"/>
      <x:c r="S85" s="49"/>
      <x:c r="T85" s="49"/>
      <x:c r="U85" s="49"/>
      <x:c r="V85" s="49"/>
      <x:c r="W85" s="49"/>
      <x:c r="X85" s="49"/>
      <x:c r="Y85" s="49"/>
      <x:c r="Z85" s="49"/>
    </x:row>
    <x:row r="86">
      <x:c r="A86" s="49"/>
      <x:c r="B86" s="49"/>
      <x:c r="C86" s="49"/>
      <x:c r="D86" s="49"/>
      <x:c r="E86" s="49"/>
      <x:c r="F86" s="49"/>
      <x:c r="G86" s="49"/>
      <x:c r="H86" s="49"/>
      <x:c r="I86" s="49"/>
      <x:c r="J86" s="49"/>
      <x:c r="K86" s="49"/>
      <x:c r="L86" s="49"/>
      <x:c r="M86" s="49"/>
      <x:c r="N86" s="49"/>
      <x:c r="O86" s="49"/>
      <x:c r="P86" s="49"/>
      <x:c r="Q86" s="49"/>
      <x:c r="R86" s="49"/>
      <x:c r="S86" s="49"/>
      <x:c r="T86" s="49"/>
      <x:c r="U86" s="49"/>
      <x:c r="V86" s="49"/>
      <x:c r="W86" s="49"/>
      <x:c r="X86" s="49"/>
      <x:c r="Y86" s="49"/>
      <x:c r="Z86" s="49"/>
    </x:row>
    <x:row r="87">
      <x:c r="A87" s="49"/>
      <x:c r="B87" s="49"/>
      <x:c r="C87" s="49"/>
      <x:c r="D87" s="49"/>
      <x:c r="E87" s="49"/>
      <x:c r="F87" s="49"/>
      <x:c r="G87" s="49"/>
      <x:c r="H87" s="49"/>
      <x:c r="I87" s="49"/>
      <x:c r="J87" s="49"/>
      <x:c r="K87" s="49"/>
      <x:c r="L87" s="49"/>
      <x:c r="M87" s="49"/>
      <x:c r="N87" s="49"/>
      <x:c r="O87" s="49"/>
      <x:c r="P87" s="49"/>
      <x:c r="Q87" s="49"/>
      <x:c r="R87" s="49"/>
      <x:c r="S87" s="49"/>
      <x:c r="T87" s="49"/>
      <x:c r="U87" s="49"/>
      <x:c r="V87" s="49"/>
      <x:c r="W87" s="49"/>
      <x:c r="X87" s="49"/>
      <x:c r="Y87" s="49"/>
      <x:c r="Z87" s="49"/>
    </x:row>
    <x:row r="88">
      <x:c r="A88" s="49"/>
      <x:c r="B88" s="49"/>
      <x:c r="C88" s="49"/>
      <x:c r="D88" s="49"/>
      <x:c r="E88" s="49"/>
      <x:c r="F88" s="49"/>
      <x:c r="G88" s="49"/>
      <x:c r="H88" s="49"/>
      <x:c r="I88" s="49"/>
      <x:c r="J88" s="49"/>
      <x:c r="K88" s="49"/>
      <x:c r="L88" s="49"/>
      <x:c r="M88" s="49"/>
      <x:c r="N88" s="49"/>
      <x:c r="O88" s="49"/>
      <x:c r="P88" s="49"/>
      <x:c r="Q88" s="49"/>
      <x:c r="R88" s="49"/>
      <x:c r="S88" s="49"/>
      <x:c r="T88" s="49"/>
      <x:c r="U88" s="49"/>
      <x:c r="V88" s="49"/>
      <x:c r="W88" s="49"/>
      <x:c r="X88" s="49"/>
      <x:c r="Y88" s="49"/>
      <x:c r="Z88" s="49"/>
    </x:row>
    <x:row r="89">
      <x:c r="A89" s="49"/>
      <x:c r="B89" s="49"/>
      <x:c r="C89" s="49"/>
      <x:c r="D89" s="49"/>
      <x:c r="E89" s="49"/>
      <x:c r="F89" s="49"/>
      <x:c r="G89" s="49"/>
      <x:c r="H89" s="49"/>
      <x:c r="I89" s="49"/>
      <x:c r="J89" s="49"/>
      <x:c r="K89" s="49"/>
      <x:c r="L89" s="49"/>
      <x:c r="M89" s="49"/>
      <x:c r="N89" s="49"/>
      <x:c r="O89" s="49"/>
      <x:c r="P89" s="49"/>
      <x:c r="Q89" s="49"/>
      <x:c r="R89" s="49"/>
      <x:c r="S89" s="49"/>
      <x:c r="T89" s="49"/>
      <x:c r="U89" s="49"/>
      <x:c r="V89" s="49"/>
      <x:c r="W89" s="49"/>
      <x:c r="X89" s="49"/>
      <x:c r="Y89" s="49"/>
      <x:c r="Z89" s="49"/>
    </x:row>
    <x:row r="90">
      <x:c r="A90" s="49"/>
      <x:c r="B90" s="49"/>
      <x:c r="C90" s="49"/>
      <x:c r="D90" s="49"/>
      <x:c r="E90" s="49"/>
      <x:c r="F90" s="49"/>
      <x:c r="G90" s="49"/>
      <x:c r="H90" s="49"/>
      <x:c r="I90" s="49"/>
      <x:c r="J90" s="49"/>
      <x:c r="K90" s="49"/>
      <x:c r="L90" s="49"/>
      <x:c r="M90" s="49"/>
      <x:c r="N90" s="49"/>
      <x:c r="O90" s="49"/>
      <x:c r="P90" s="49"/>
      <x:c r="Q90" s="49"/>
      <x:c r="R90" s="49"/>
      <x:c r="S90" s="49"/>
      <x:c r="T90" s="49"/>
      <x:c r="U90" s="49"/>
      <x:c r="V90" s="49"/>
      <x:c r="W90" s="49"/>
      <x:c r="X90" s="49"/>
      <x:c r="Y90" s="49"/>
      <x:c r="Z90" s="49"/>
    </x:row>
    <x:row r="91">
      <x:c r="A91" s="49"/>
      <x:c r="B91" s="49"/>
      <x:c r="C91" s="49"/>
      <x:c r="D91" s="49"/>
      <x:c r="E91" s="49"/>
      <x:c r="F91" s="49"/>
      <x:c r="G91" s="49"/>
      <x:c r="H91" s="49"/>
      <x:c r="I91" s="49"/>
      <x:c r="J91" s="49"/>
      <x:c r="K91" s="49"/>
      <x:c r="L91" s="49"/>
      <x:c r="M91" s="49"/>
      <x:c r="N91" s="49"/>
      <x:c r="O91" s="49"/>
      <x:c r="P91" s="49"/>
      <x:c r="Q91" s="49"/>
      <x:c r="R91" s="49"/>
      <x:c r="S91" s="49"/>
      <x:c r="T91" s="49"/>
      <x:c r="U91" s="49"/>
      <x:c r="V91" s="49"/>
      <x:c r="W91" s="49"/>
      <x:c r="X91" s="49"/>
      <x:c r="Y91" s="49"/>
      <x:c r="Z91" s="49"/>
    </x:row>
    <x:row r="92">
      <x:c r="A92" s="49"/>
      <x:c r="B92" s="49"/>
      <x:c r="C92" s="49"/>
      <x:c r="D92" s="49"/>
      <x:c r="E92" s="49"/>
      <x:c r="F92" s="49"/>
      <x:c r="G92" s="49"/>
      <x:c r="H92" s="49"/>
      <x:c r="I92" s="49"/>
      <x:c r="J92" s="49"/>
      <x:c r="K92" s="49"/>
      <x:c r="L92" s="49"/>
      <x:c r="M92" s="49"/>
      <x:c r="N92" s="49"/>
      <x:c r="O92" s="49"/>
      <x:c r="P92" s="49"/>
      <x:c r="Q92" s="49"/>
      <x:c r="R92" s="49"/>
      <x:c r="S92" s="49"/>
      <x:c r="T92" s="49"/>
      <x:c r="U92" s="49"/>
      <x:c r="V92" s="49"/>
      <x:c r="W92" s="49"/>
      <x:c r="X92" s="49"/>
      <x:c r="Y92" s="49"/>
      <x:c r="Z92" s="49"/>
    </x:row>
    <x:row r="93">
      <x:c r="A93" s="49"/>
      <x:c r="B93" s="49"/>
      <x:c r="C93" s="49"/>
      <x:c r="D93" s="49"/>
      <x:c r="E93" s="49"/>
      <x:c r="F93" s="49"/>
      <x:c r="G93" s="49"/>
      <x:c r="H93" s="49"/>
      <x:c r="I93" s="49"/>
      <x:c r="J93" s="49"/>
      <x:c r="K93" s="49"/>
      <x:c r="L93" s="49"/>
      <x:c r="M93" s="49"/>
      <x:c r="N93" s="49"/>
      <x:c r="O93" s="49"/>
      <x:c r="P93" s="49"/>
      <x:c r="Q93" s="49"/>
      <x:c r="R93" s="49"/>
      <x:c r="S93" s="49"/>
      <x:c r="T93" s="49"/>
      <x:c r="U93" s="49"/>
      <x:c r="V93" s="49"/>
      <x:c r="W93" s="49"/>
      <x:c r="X93" s="49"/>
      <x:c r="Y93" s="49"/>
      <x:c r="Z93" s="49"/>
    </x:row>
    <x:row r="94">
      <x:c r="A94" s="49"/>
      <x:c r="B94" s="49"/>
      <x:c r="C94" s="49"/>
      <x:c r="D94" s="49"/>
      <x:c r="E94" s="49"/>
      <x:c r="F94" s="49"/>
      <x:c r="G94" s="49"/>
      <x:c r="H94" s="49"/>
      <x:c r="I94" s="49"/>
      <x:c r="J94" s="49"/>
      <x:c r="K94" s="49"/>
      <x:c r="L94" s="49"/>
      <x:c r="M94" s="49"/>
      <x:c r="N94" s="49"/>
      <x:c r="O94" s="49"/>
      <x:c r="P94" s="49"/>
      <x:c r="Q94" s="49"/>
      <x:c r="R94" s="49"/>
      <x:c r="S94" s="49"/>
      <x:c r="T94" s="49"/>
      <x:c r="U94" s="49"/>
      <x:c r="V94" s="49"/>
      <x:c r="W94" s="49"/>
      <x:c r="X94" s="49"/>
      <x:c r="Y94" s="49"/>
      <x:c r="Z94" s="49"/>
    </x:row>
    <x:row r="95">
      <x:c r="A95" s="49"/>
      <x:c r="B95" s="49"/>
      <x:c r="C95" s="49"/>
      <x:c r="D95" s="49"/>
      <x:c r="E95" s="49"/>
      <x:c r="F95" s="49"/>
      <x:c r="G95" s="49"/>
      <x:c r="H95" s="49"/>
      <x:c r="I95" s="49"/>
      <x:c r="J95" s="49"/>
      <x:c r="K95" s="49"/>
      <x:c r="L95" s="49"/>
      <x:c r="M95" s="49"/>
      <x:c r="N95" s="49"/>
      <x:c r="O95" s="49"/>
      <x:c r="P95" s="49"/>
      <x:c r="Q95" s="49"/>
      <x:c r="R95" s="49"/>
      <x:c r="S95" s="49"/>
      <x:c r="T95" s="49"/>
      <x:c r="U95" s="49"/>
      <x:c r="V95" s="49"/>
      <x:c r="W95" s="49"/>
      <x:c r="X95" s="49"/>
      <x:c r="Y95" s="49"/>
      <x:c r="Z95" s="49"/>
    </x:row>
    <x:row r="96">
      <x:c r="A96" s="49"/>
      <x:c r="B96" s="49"/>
      <x:c r="C96" s="49"/>
      <x:c r="D96" s="49"/>
      <x:c r="E96" s="49"/>
      <x:c r="F96" s="49"/>
      <x:c r="G96" s="49"/>
      <x:c r="H96" s="49"/>
      <x:c r="I96" s="49"/>
      <x:c r="J96" s="49"/>
      <x:c r="K96" s="49"/>
      <x:c r="L96" s="49"/>
      <x:c r="M96" s="49"/>
      <x:c r="N96" s="49"/>
      <x:c r="O96" s="49"/>
      <x:c r="P96" s="49"/>
      <x:c r="Q96" s="49"/>
      <x:c r="R96" s="49"/>
      <x:c r="S96" s="49"/>
      <x:c r="T96" s="49"/>
      <x:c r="U96" s="49"/>
      <x:c r="V96" s="49"/>
      <x:c r="W96" s="49"/>
      <x:c r="X96" s="49"/>
      <x:c r="Y96" s="49"/>
      <x:c r="Z96" s="49"/>
    </x:row>
    <x:row r="97">
      <x:c r="A97" s="49"/>
      <x:c r="B97" s="49"/>
      <x:c r="C97" s="49"/>
      <x:c r="D97" s="49"/>
      <x:c r="E97" s="49"/>
      <x:c r="F97" s="49"/>
      <x:c r="G97" s="49"/>
      <x:c r="H97" s="49"/>
      <x:c r="I97" s="49"/>
      <x:c r="J97" s="49"/>
      <x:c r="K97" s="49"/>
      <x:c r="L97" s="49"/>
      <x:c r="M97" s="49"/>
      <x:c r="N97" s="49"/>
      <x:c r="O97" s="49"/>
      <x:c r="P97" s="49"/>
      <x:c r="Q97" s="49"/>
      <x:c r="R97" s="49"/>
      <x:c r="S97" s="49"/>
      <x:c r="T97" s="49"/>
      <x:c r="U97" s="49"/>
      <x:c r="V97" s="49"/>
      <x:c r="W97" s="49"/>
      <x:c r="X97" s="49"/>
      <x:c r="Y97" s="49"/>
      <x:c r="Z97" s="49"/>
    </x:row>
    <x:row r="98">
      <x:c r="A98" s="49"/>
      <x:c r="B98" s="49"/>
      <x:c r="C98" s="49"/>
      <x:c r="D98" s="49"/>
      <x:c r="E98" s="49"/>
      <x:c r="F98" s="49"/>
      <x:c r="G98" s="49"/>
      <x:c r="H98" s="49"/>
      <x:c r="I98" s="49"/>
      <x:c r="J98" s="49"/>
      <x:c r="K98" s="49"/>
      <x:c r="L98" s="49"/>
      <x:c r="M98" s="49"/>
      <x:c r="N98" s="49"/>
      <x:c r="O98" s="49"/>
      <x:c r="P98" s="49"/>
      <x:c r="Q98" s="49"/>
      <x:c r="R98" s="49"/>
      <x:c r="S98" s="49"/>
      <x:c r="T98" s="49"/>
      <x:c r="U98" s="49"/>
      <x:c r="V98" s="49"/>
      <x:c r="W98" s="49"/>
      <x:c r="X98" s="49"/>
      <x:c r="Y98" s="49"/>
      <x:c r="Z98" s="49"/>
    </x:row>
    <x:row r="99">
      <x:c r="A99" s="49"/>
      <x:c r="B99" s="49"/>
      <x:c r="C99" s="49"/>
      <x:c r="D99" s="49"/>
      <x:c r="E99" s="49"/>
      <x:c r="F99" s="49"/>
      <x:c r="G99" s="49"/>
      <x:c r="H99" s="49"/>
      <x:c r="I99" s="49"/>
      <x:c r="J99" s="49"/>
      <x:c r="K99" s="49"/>
      <x:c r="L99" s="49"/>
      <x:c r="M99" s="49"/>
      <x:c r="N99" s="49"/>
      <x:c r="O99" s="49"/>
      <x:c r="P99" s="49"/>
      <x:c r="Q99" s="49"/>
      <x:c r="R99" s="49"/>
      <x:c r="S99" s="49"/>
      <x:c r="T99" s="49"/>
      <x:c r="U99" s="49"/>
      <x:c r="V99" s="49"/>
      <x:c r="W99" s="49"/>
      <x:c r="X99" s="49"/>
      <x:c r="Y99" s="49"/>
      <x:c r="Z99" s="49"/>
    </x:row>
    <x:row r="100">
      <x:c r="A100" s="49"/>
      <x:c r="B100" s="49"/>
      <x:c r="C100" s="49"/>
      <x:c r="D100" s="49"/>
      <x:c r="E100" s="49"/>
      <x:c r="F100" s="49"/>
      <x:c r="G100" s="49"/>
      <x:c r="H100" s="49"/>
      <x:c r="I100" s="49"/>
      <x:c r="J100" s="49"/>
      <x:c r="K100" s="49"/>
      <x:c r="L100" s="49"/>
      <x:c r="M100" s="49"/>
      <x:c r="N100" s="49"/>
      <x:c r="O100" s="49"/>
      <x:c r="P100" s="49"/>
      <x:c r="Q100" s="49"/>
      <x:c r="R100" s="49"/>
      <x:c r="S100" s="49"/>
      <x:c r="T100" s="49"/>
      <x:c r="U100" s="49"/>
      <x:c r="V100" s="49"/>
      <x:c r="W100" s="49"/>
      <x:c r="X100" s="49"/>
      <x:c r="Y100" s="49"/>
      <x:c r="Z100" s="49"/>
    </x:row>
  </x:sheetData>
  <x:mergeCells>
    <x:mergeCell ref="A1:D1"/>
  </x:mergeCells>
  <x:pageMargins left="0.7" right="0.7" top="0.75" bottom="0.75" header="0.3" footer="0.3"/>
</x:worksheet>
</file>