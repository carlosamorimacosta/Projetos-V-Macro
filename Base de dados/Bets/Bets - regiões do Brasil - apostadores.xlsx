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Projetos V - Macro\Base de dados\"/>
    </mc:Choice>
  </mc:AlternateContent>
  <xr:revisionPtr revIDLastSave="0" documentId="13_ncr:1_{B5636AF4-D417-44AF-8A1F-988ED5A5CEEE}" xr6:coauthVersionLast="47" xr6:coauthVersionMax="47" xr10:uidLastSave="{00000000-0000-0000-0000-000000000000}"/>
  <bookViews>
    <workbookView xWindow="-110" yWindow="-110" windowWidth="19420" windowHeight="11500" xr2:uid="{01A4AA2C-FD2A-4C6D-B46F-B128C58EF56E}"/>
  </bookViews>
  <sheets>
    <sheet name="Klavi - 2025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H3" i="1"/>
  <c r="G3" i="1"/>
  <c r="F3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4" i="1"/>
  <c r="E5" i="1"/>
  <c r="E6" i="1"/>
  <c r="E3" i="1"/>
  <c r="D44" i="1"/>
  <c r="E44" i="1"/>
  <c r="F44" i="1"/>
  <c r="G44" i="1"/>
  <c r="H44" i="1"/>
  <c r="I44" i="1"/>
  <c r="J44" i="1"/>
  <c r="K44" i="1"/>
  <c r="C44" i="1"/>
  <c r="C43" i="1"/>
  <c r="D43" i="1"/>
  <c r="E43" i="1"/>
  <c r="F43" i="1"/>
  <c r="G43" i="1"/>
  <c r="H43" i="1"/>
  <c r="I43" i="1"/>
  <c r="J43" i="1"/>
  <c r="K43" i="1"/>
  <c r="K42" i="1"/>
  <c r="J42" i="1"/>
  <c r="I42" i="1"/>
  <c r="H42" i="1"/>
  <c r="G42" i="1"/>
  <c r="F42" i="1"/>
  <c r="E42" i="1"/>
  <c r="D42" i="1"/>
  <c r="C42" i="1"/>
  <c r="B42" i="1"/>
</calcChain>
</file>

<file path=xl/sharedStrings.xml><?xml version="1.0" encoding="utf-8"?>
<sst xmlns="http://schemas.openxmlformats.org/spreadsheetml/2006/main" count="112" uniqueCount="82">
  <si>
    <t>Posição</t>
  </si>
  <si>
    <t>Estado</t>
  </si>
  <si>
    <t>1º</t>
  </si>
  <si>
    <t>Tocantins</t>
  </si>
  <si>
    <t>2º</t>
  </si>
  <si>
    <t>Acre</t>
  </si>
  <si>
    <t>3º</t>
  </si>
  <si>
    <t>Mato Grosso</t>
  </si>
  <si>
    <t>4º</t>
  </si>
  <si>
    <t>Rondônia</t>
  </si>
  <si>
    <t>5º</t>
  </si>
  <si>
    <t>Mato Grosso do Sul</t>
  </si>
  <si>
    <t>6º</t>
  </si>
  <si>
    <t>Paraná</t>
  </si>
  <si>
    <t>7º</t>
  </si>
  <si>
    <t>Distrito Federal</t>
  </si>
  <si>
    <t>8º</t>
  </si>
  <si>
    <t>Roraima</t>
  </si>
  <si>
    <t>9º</t>
  </si>
  <si>
    <t>Amapá</t>
  </si>
  <si>
    <t>10º</t>
  </si>
  <si>
    <t>Espírito Santo</t>
  </si>
  <si>
    <t>11º</t>
  </si>
  <si>
    <t>Maranhão</t>
  </si>
  <si>
    <t>12º</t>
  </si>
  <si>
    <t>Goiás</t>
  </si>
  <si>
    <t>13º</t>
  </si>
  <si>
    <t>Santa Catarina</t>
  </si>
  <si>
    <t>14º</t>
  </si>
  <si>
    <t>Pará</t>
  </si>
  <si>
    <t>15º</t>
  </si>
  <si>
    <t>Rio Grande do Sul</t>
  </si>
  <si>
    <t>16º</t>
  </si>
  <si>
    <t>Piauí</t>
  </si>
  <si>
    <t>17º</t>
  </si>
  <si>
    <t>Amazonas</t>
  </si>
  <si>
    <t>18º</t>
  </si>
  <si>
    <t>São Paulo</t>
  </si>
  <si>
    <t>19º</t>
  </si>
  <si>
    <t>Rio de Janeiro</t>
  </si>
  <si>
    <t>20º</t>
  </si>
  <si>
    <t>Minas Gerais</t>
  </si>
  <si>
    <t>21º</t>
  </si>
  <si>
    <t>Paraíba</t>
  </si>
  <si>
    <t>22º</t>
  </si>
  <si>
    <t>Rio Grande do Norte</t>
  </si>
  <si>
    <t>23º</t>
  </si>
  <si>
    <t>Bahia</t>
  </si>
  <si>
    <t>24º</t>
  </si>
  <si>
    <t>Alagoas</t>
  </si>
  <si>
    <t>25º</t>
  </si>
  <si>
    <t>Pernambuco</t>
  </si>
  <si>
    <t>26º</t>
  </si>
  <si>
    <t>Sergipe</t>
  </si>
  <si>
    <t>27º</t>
  </si>
  <si>
    <t>Ceará</t>
  </si>
  <si>
    <t xml:space="preserve">Fonte: Klavi </t>
  </si>
  <si>
    <t>Distribuição da população que, nos últimos 30 dias, gastou em apostas esportivas por meio de aplicativos de bet ou sites na internet em cada unidade da Federação" - Brasil - 2024</t>
  </si>
  <si>
    <t>Fonte: Data Senado</t>
  </si>
  <si>
    <t>Unidade da Federação</t>
  </si>
  <si>
    <t>Estimativa</t>
  </si>
  <si>
    <t>Margem de erro</t>
  </si>
  <si>
    <t>População estimada</t>
  </si>
  <si>
    <t>Brasil</t>
  </si>
  <si>
    <t>±1,0%</t>
  </si>
  <si>
    <t>±3,7%</t>
  </si>
  <si>
    <t>±3,8%</t>
  </si>
  <si>
    <t>±5,6%</t>
  </si>
  <si>
    <t>±4,4%</t>
  </si>
  <si>
    <t>±5,9%</t>
  </si>
  <si>
    <t>±4,2%</t>
  </si>
  <si>
    <t>±4,0%</t>
  </si>
  <si>
    <t>±3,5%</t>
  </si>
  <si>
    <t>±3,3%</t>
  </si>
  <si>
    <t>±2,9%</t>
  </si>
  <si>
    <t>±3,2%</t>
  </si>
  <si>
    <t>±3,4%</t>
  </si>
  <si>
    <t>GGR Operações Offshore</t>
  </si>
  <si>
    <t>GGR Operações Nacionais</t>
  </si>
  <si>
    <t>Total</t>
  </si>
  <si>
    <t>Crescimento (%)</t>
  </si>
  <si>
    <t>Percentual de cada estado que aposta em Bets - 2021 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</si>
</sst>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9" fontId="1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960C-138D-4827-9CAE-92998EC664A7}">
  <dimension ref="A1:K44"/>
  <sheetViews>
    <sheetView tabSelected="1" workbookViewId="0">
      <selection activeCell="B2" sqref="B2"/>
    </sheetView>
  </sheetViews>
  <sheetFormatPr defaultRowHeight="14.5" x14ac:dyDescent="0.35"/>
  <cols>
    <col min="1" max="9" width="15.453125" customWidth="1"/>
  </cols>
  <sheetData>
    <row r="1" spans="1:8" ht="15" thickBot="1" x14ac:dyDescent="0.4">
      <c r="A1" t="s">
        <v>81</v>
      </c>
      <c r="C1" s="6"/>
    </row>
    <row r="2" spans="1:8" ht="15" thickBot="1" x14ac:dyDescent="0.4">
      <c r="A2" s="6" t="s">
        <v>0</v>
      </c>
      <c r="B2" s="7" t="s">
        <v>1</v>
      </c>
      <c r="C2">
        <v>2026</v>
      </c>
      <c r="D2">
        <v>2025</v>
      </c>
      <c r="E2">
        <v>2024</v>
      </c>
      <c r="F2">
        <v>2023</v>
      </c>
      <c r="G2">
        <v>2022</v>
      </c>
      <c r="H2">
        <v>2021</v>
      </c>
    </row>
    <row r="3" spans="1:8" x14ac:dyDescent="0.35">
      <c r="A3" s="1" t="s">
        <v>2</v>
      </c>
      <c r="B3" s="4" t="s">
        <v>3</v>
      </c>
      <c r="C3" s="15">
        <f>D3*(1+$G$43)</f>
        <v>0.47601932367149752</v>
      </c>
      <c r="D3" s="5">
        <v>0.45200000000000001</v>
      </c>
      <c r="E3" s="15">
        <f>D3/(1+$F$43)</f>
        <v>0.3908599033816425</v>
      </c>
      <c r="F3" s="15">
        <f>E3/(1+$E$43)</f>
        <v>0.24237681159420291</v>
      </c>
      <c r="G3" s="15">
        <f>F3/(1+$D$43)</f>
        <v>0.16595169082125605</v>
      </c>
      <c r="H3" s="15">
        <f>G3/(1+$C$43)</f>
        <v>0.10917874396135266</v>
      </c>
    </row>
    <row r="4" spans="1:8" x14ac:dyDescent="0.35">
      <c r="A4" s="1" t="s">
        <v>4</v>
      </c>
      <c r="B4" s="4" t="s">
        <v>5</v>
      </c>
      <c r="C4" s="15">
        <f t="shared" ref="C4:C29" si="0">D4*(1+$G$43)</f>
        <v>0.46864734299516897</v>
      </c>
      <c r="D4" s="5">
        <v>0.44500000000000001</v>
      </c>
      <c r="E4" s="15">
        <f t="shared" ref="E4:E29" si="1">D4/(1+$F$43)</f>
        <v>0.38480676328502417</v>
      </c>
      <c r="F4" s="15">
        <f t="shared" ref="F4:F29" si="2">E4/(1+$E$43)</f>
        <v>0.2386231884057971</v>
      </c>
      <c r="G4" s="15">
        <f t="shared" ref="G4:G29" si="3">F4/(1+$D$43)</f>
        <v>0.16338164251207729</v>
      </c>
      <c r="H4" s="15">
        <f t="shared" ref="H4:H29" si="4">G4/(1+$C$43)</f>
        <v>0.107487922705314</v>
      </c>
    </row>
    <row r="5" spans="1:8" x14ac:dyDescent="0.35">
      <c r="A5" s="1" t="s">
        <v>6</v>
      </c>
      <c r="B5" s="4" t="s">
        <v>7</v>
      </c>
      <c r="C5" s="15">
        <f t="shared" si="0"/>
        <v>0.4665410628019323</v>
      </c>
      <c r="D5" s="5">
        <v>0.443</v>
      </c>
      <c r="E5" s="15">
        <f t="shared" si="1"/>
        <v>0.38307729468599033</v>
      </c>
      <c r="F5" s="15">
        <f t="shared" si="2"/>
        <v>0.23755072463768115</v>
      </c>
      <c r="G5" s="15">
        <f t="shared" si="3"/>
        <v>0.16264734299516909</v>
      </c>
      <c r="H5" s="15">
        <f t="shared" si="4"/>
        <v>0.1070048309178744</v>
      </c>
    </row>
    <row r="6" spans="1:8" x14ac:dyDescent="0.35">
      <c r="A6" s="1" t="s">
        <v>8</v>
      </c>
      <c r="B6" s="4" t="s">
        <v>9</v>
      </c>
      <c r="C6" s="15">
        <f t="shared" si="0"/>
        <v>0.4633816425120772</v>
      </c>
      <c r="D6" s="5">
        <v>0.44</v>
      </c>
      <c r="E6" s="15">
        <f t="shared" si="1"/>
        <v>0.38048309178743961</v>
      </c>
      <c r="F6" s="15">
        <f t="shared" si="2"/>
        <v>0.23594202898550726</v>
      </c>
      <c r="G6" s="15">
        <f t="shared" si="3"/>
        <v>0.16154589371980677</v>
      </c>
      <c r="H6" s="15">
        <f t="shared" si="4"/>
        <v>0.10628019323671498</v>
      </c>
    </row>
    <row r="7" spans="1:8" ht="29" x14ac:dyDescent="0.35">
      <c r="A7" s="1" t="s">
        <v>10</v>
      </c>
      <c r="B7" s="4" t="s">
        <v>11</v>
      </c>
      <c r="C7" s="15">
        <f t="shared" si="0"/>
        <v>0.44337198067632838</v>
      </c>
      <c r="D7" s="5">
        <v>0.42099999999999999</v>
      </c>
      <c r="E7" s="15">
        <f t="shared" si="1"/>
        <v>0.36405314009661832</v>
      </c>
      <c r="F7" s="15">
        <f t="shared" si="2"/>
        <v>0.22575362318840578</v>
      </c>
      <c r="G7" s="15">
        <f t="shared" si="3"/>
        <v>0.15457004830917873</v>
      </c>
      <c r="H7" s="15">
        <f t="shared" si="4"/>
        <v>0.10169082125603864</v>
      </c>
    </row>
    <row r="8" spans="1:8" x14ac:dyDescent="0.35">
      <c r="A8" s="1" t="s">
        <v>12</v>
      </c>
      <c r="B8" s="4" t="s">
        <v>13</v>
      </c>
      <c r="C8" s="15">
        <f t="shared" si="0"/>
        <v>0.43599999999999989</v>
      </c>
      <c r="D8" s="5">
        <v>0.41399999999999998</v>
      </c>
      <c r="E8" s="15">
        <f t="shared" si="1"/>
        <v>0.35799999999999998</v>
      </c>
      <c r="F8" s="15">
        <f t="shared" si="2"/>
        <v>0.222</v>
      </c>
      <c r="G8" s="15">
        <f t="shared" si="3"/>
        <v>0.152</v>
      </c>
      <c r="H8" s="15">
        <f t="shared" si="4"/>
        <v>9.9999999999999992E-2</v>
      </c>
    </row>
    <row r="9" spans="1:8" x14ac:dyDescent="0.35">
      <c r="A9" s="1" t="s">
        <v>14</v>
      </c>
      <c r="B9" s="4" t="s">
        <v>15</v>
      </c>
      <c r="C9" s="15">
        <f t="shared" si="0"/>
        <v>0.43494685990338156</v>
      </c>
      <c r="D9" s="5">
        <v>0.41299999999999998</v>
      </c>
      <c r="E9" s="15">
        <f t="shared" si="1"/>
        <v>0.35713526570048304</v>
      </c>
      <c r="F9" s="15">
        <f t="shared" si="2"/>
        <v>0.22146376811594201</v>
      </c>
      <c r="G9" s="15">
        <f t="shared" si="3"/>
        <v>0.15163285024154588</v>
      </c>
      <c r="H9" s="15">
        <f t="shared" si="4"/>
        <v>9.9758454106280189E-2</v>
      </c>
    </row>
    <row r="10" spans="1:8" x14ac:dyDescent="0.35">
      <c r="A10" s="1" t="s">
        <v>16</v>
      </c>
      <c r="B10" s="4" t="s">
        <v>17</v>
      </c>
      <c r="C10" s="15">
        <f t="shared" si="0"/>
        <v>0.43389371980676317</v>
      </c>
      <c r="D10" s="5">
        <v>0.41199999999999998</v>
      </c>
      <c r="E10" s="15">
        <f t="shared" si="1"/>
        <v>0.35627053140096615</v>
      </c>
      <c r="F10" s="15">
        <f t="shared" si="2"/>
        <v>0.22092753623188405</v>
      </c>
      <c r="G10" s="15">
        <f t="shared" si="3"/>
        <v>0.15126570048309179</v>
      </c>
      <c r="H10" s="15">
        <f t="shared" si="4"/>
        <v>9.9516908212560387E-2</v>
      </c>
    </row>
    <row r="11" spans="1:8" x14ac:dyDescent="0.35">
      <c r="A11" s="1" t="s">
        <v>18</v>
      </c>
      <c r="B11" s="4" t="s">
        <v>19</v>
      </c>
      <c r="C11" s="15">
        <f t="shared" si="0"/>
        <v>0.43073429951690811</v>
      </c>
      <c r="D11" s="5">
        <v>0.40899999999999997</v>
      </c>
      <c r="E11" s="15">
        <f t="shared" si="1"/>
        <v>0.35367632850241543</v>
      </c>
      <c r="F11" s="15">
        <f t="shared" si="2"/>
        <v>0.21931884057971013</v>
      </c>
      <c r="G11" s="15">
        <f t="shared" si="3"/>
        <v>0.15016425120772947</v>
      </c>
      <c r="H11" s="15">
        <f t="shared" si="4"/>
        <v>9.8792270531400966E-2</v>
      </c>
    </row>
    <row r="12" spans="1:8" x14ac:dyDescent="0.35">
      <c r="A12" s="1" t="s">
        <v>20</v>
      </c>
      <c r="B12" s="4" t="s">
        <v>21</v>
      </c>
      <c r="C12" s="15">
        <f t="shared" si="0"/>
        <v>0.42757487922705306</v>
      </c>
      <c r="D12" s="5">
        <v>0.40600000000000003</v>
      </c>
      <c r="E12" s="15">
        <f t="shared" si="1"/>
        <v>0.35108212560386476</v>
      </c>
      <c r="F12" s="15">
        <f t="shared" si="2"/>
        <v>0.21771014492753626</v>
      </c>
      <c r="G12" s="15">
        <f t="shared" si="3"/>
        <v>0.14906280193236718</v>
      </c>
      <c r="H12" s="15">
        <f t="shared" si="4"/>
        <v>9.806763285024156E-2</v>
      </c>
    </row>
    <row r="13" spans="1:8" x14ac:dyDescent="0.35">
      <c r="A13" s="1" t="s">
        <v>22</v>
      </c>
      <c r="B13" s="4" t="s">
        <v>23</v>
      </c>
      <c r="C13" s="15">
        <f t="shared" si="0"/>
        <v>0.41914975845410624</v>
      </c>
      <c r="D13" s="5">
        <v>0.39800000000000002</v>
      </c>
      <c r="E13" s="15">
        <f t="shared" si="1"/>
        <v>0.34416425120772948</v>
      </c>
      <c r="F13" s="15">
        <f t="shared" si="2"/>
        <v>0.21342028985507247</v>
      </c>
      <c r="G13" s="15">
        <f t="shared" si="3"/>
        <v>0.1461256038647343</v>
      </c>
      <c r="H13" s="15">
        <f t="shared" si="4"/>
        <v>9.61352657004831E-2</v>
      </c>
    </row>
    <row r="14" spans="1:8" x14ac:dyDescent="0.35">
      <c r="A14" s="1" t="s">
        <v>24</v>
      </c>
      <c r="B14" s="4" t="s">
        <v>25</v>
      </c>
      <c r="C14" s="15">
        <f t="shared" si="0"/>
        <v>0.41704347826086952</v>
      </c>
      <c r="D14" s="5">
        <v>0.39600000000000002</v>
      </c>
      <c r="E14" s="15">
        <f t="shared" si="1"/>
        <v>0.34243478260869564</v>
      </c>
      <c r="F14" s="15">
        <f t="shared" si="2"/>
        <v>0.21234782608695651</v>
      </c>
      <c r="G14" s="15">
        <f t="shared" si="3"/>
        <v>0.14539130434782607</v>
      </c>
      <c r="H14" s="15">
        <f t="shared" si="4"/>
        <v>9.5652173913043467E-2</v>
      </c>
    </row>
    <row r="15" spans="1:8" x14ac:dyDescent="0.35">
      <c r="A15" s="1" t="s">
        <v>26</v>
      </c>
      <c r="B15" s="4" t="s">
        <v>27</v>
      </c>
      <c r="C15" s="15">
        <f t="shared" si="0"/>
        <v>0.41704347826086952</v>
      </c>
      <c r="D15" s="5">
        <v>0.39600000000000002</v>
      </c>
      <c r="E15" s="15">
        <f t="shared" si="1"/>
        <v>0.34243478260869564</v>
      </c>
      <c r="F15" s="15">
        <f t="shared" si="2"/>
        <v>0.21234782608695651</v>
      </c>
      <c r="G15" s="15">
        <f t="shared" si="3"/>
        <v>0.14539130434782607</v>
      </c>
      <c r="H15" s="15">
        <f t="shared" si="4"/>
        <v>9.5652173913043467E-2</v>
      </c>
    </row>
    <row r="16" spans="1:8" x14ac:dyDescent="0.35">
      <c r="A16" s="1" t="s">
        <v>28</v>
      </c>
      <c r="B16" s="4" t="s">
        <v>29</v>
      </c>
      <c r="C16" s="15">
        <f t="shared" si="0"/>
        <v>0.40967149758454102</v>
      </c>
      <c r="D16" s="5">
        <v>0.38900000000000001</v>
      </c>
      <c r="E16" s="15">
        <f t="shared" si="1"/>
        <v>0.33638164251207731</v>
      </c>
      <c r="F16" s="15">
        <f t="shared" si="2"/>
        <v>0.20859420289855074</v>
      </c>
      <c r="G16" s="15">
        <f t="shared" si="3"/>
        <v>0.14282125603864734</v>
      </c>
      <c r="H16" s="15">
        <f t="shared" si="4"/>
        <v>9.3961352657004824E-2</v>
      </c>
    </row>
    <row r="17" spans="1:8" x14ac:dyDescent="0.35">
      <c r="A17" s="1" t="s">
        <v>30</v>
      </c>
      <c r="B17" s="4" t="s">
        <v>31</v>
      </c>
      <c r="C17" s="15">
        <f t="shared" si="0"/>
        <v>0.40967149758454102</v>
      </c>
      <c r="D17" s="5">
        <v>0.38900000000000001</v>
      </c>
      <c r="E17" s="15">
        <f t="shared" si="1"/>
        <v>0.33638164251207731</v>
      </c>
      <c r="F17" s="15">
        <f t="shared" si="2"/>
        <v>0.20859420289855074</v>
      </c>
      <c r="G17" s="15">
        <f t="shared" si="3"/>
        <v>0.14282125603864734</v>
      </c>
      <c r="H17" s="15">
        <f t="shared" si="4"/>
        <v>9.3961352657004824E-2</v>
      </c>
    </row>
    <row r="18" spans="1:8" x14ac:dyDescent="0.35">
      <c r="A18" s="1" t="s">
        <v>32</v>
      </c>
      <c r="B18" s="4" t="s">
        <v>33</v>
      </c>
      <c r="C18" s="15">
        <f t="shared" si="0"/>
        <v>0.4075652173913043</v>
      </c>
      <c r="D18" s="5">
        <v>0.38700000000000001</v>
      </c>
      <c r="E18" s="15">
        <f t="shared" si="1"/>
        <v>0.33465217391304347</v>
      </c>
      <c r="F18" s="15">
        <f t="shared" si="2"/>
        <v>0.20752173913043478</v>
      </c>
      <c r="G18" s="15">
        <f t="shared" si="3"/>
        <v>0.14208695652173914</v>
      </c>
      <c r="H18" s="15">
        <f t="shared" si="4"/>
        <v>9.3478260869565219E-2</v>
      </c>
    </row>
    <row r="19" spans="1:8" x14ac:dyDescent="0.35">
      <c r="A19" s="1" t="s">
        <v>34</v>
      </c>
      <c r="B19" s="4" t="s">
        <v>35</v>
      </c>
      <c r="C19" s="15">
        <f t="shared" si="0"/>
        <v>0.40651207729468591</v>
      </c>
      <c r="D19" s="5">
        <v>0.38600000000000001</v>
      </c>
      <c r="E19" s="15">
        <f t="shared" si="1"/>
        <v>0.33378743961352658</v>
      </c>
      <c r="F19" s="15">
        <f t="shared" si="2"/>
        <v>0.20698550724637682</v>
      </c>
      <c r="G19" s="15">
        <f t="shared" si="3"/>
        <v>0.14171980676328502</v>
      </c>
      <c r="H19" s="15">
        <f t="shared" si="4"/>
        <v>9.3236714975845403E-2</v>
      </c>
    </row>
    <row r="20" spans="1:8" x14ac:dyDescent="0.35">
      <c r="A20" s="1" t="s">
        <v>36</v>
      </c>
      <c r="B20" s="4" t="s">
        <v>37</v>
      </c>
      <c r="C20" s="15">
        <f t="shared" si="0"/>
        <v>0.40335265700483086</v>
      </c>
      <c r="D20" s="5">
        <v>0.38300000000000001</v>
      </c>
      <c r="E20" s="15">
        <f t="shared" si="1"/>
        <v>0.33119323671497586</v>
      </c>
      <c r="F20" s="15">
        <f t="shared" si="2"/>
        <v>0.2053768115942029</v>
      </c>
      <c r="G20" s="15">
        <f t="shared" si="3"/>
        <v>0.1406183574879227</v>
      </c>
      <c r="H20" s="15">
        <f t="shared" si="4"/>
        <v>9.2512077294685982E-2</v>
      </c>
    </row>
    <row r="21" spans="1:8" x14ac:dyDescent="0.35">
      <c r="A21" s="1" t="s">
        <v>38</v>
      </c>
      <c r="B21" s="4" t="s">
        <v>39</v>
      </c>
      <c r="C21" s="15">
        <f t="shared" si="0"/>
        <v>0.40229951690821247</v>
      </c>
      <c r="D21" s="5">
        <v>0.38200000000000001</v>
      </c>
      <c r="E21" s="15">
        <f t="shared" si="1"/>
        <v>0.33032850241545891</v>
      </c>
      <c r="F21" s="15">
        <f t="shared" si="2"/>
        <v>0.20484057971014491</v>
      </c>
      <c r="G21" s="15">
        <f t="shared" si="3"/>
        <v>0.14025120772946859</v>
      </c>
      <c r="H21" s="15">
        <f t="shared" si="4"/>
        <v>9.227053140096618E-2</v>
      </c>
    </row>
    <row r="22" spans="1:8" x14ac:dyDescent="0.35">
      <c r="A22" s="1" t="s">
        <v>40</v>
      </c>
      <c r="B22" s="4" t="s">
        <v>41</v>
      </c>
      <c r="C22" s="15">
        <f t="shared" si="0"/>
        <v>0.39492753623188398</v>
      </c>
      <c r="D22" s="5">
        <v>0.375</v>
      </c>
      <c r="E22" s="15">
        <f t="shared" si="1"/>
        <v>0.32427536231884058</v>
      </c>
      <c r="F22" s="15">
        <f t="shared" si="2"/>
        <v>0.20108695652173914</v>
      </c>
      <c r="G22" s="15">
        <f t="shared" si="3"/>
        <v>0.13768115942028986</v>
      </c>
      <c r="H22" s="15">
        <f t="shared" si="4"/>
        <v>9.0579710144927536E-2</v>
      </c>
    </row>
    <row r="23" spans="1:8" x14ac:dyDescent="0.35">
      <c r="A23" s="1" t="s">
        <v>42</v>
      </c>
      <c r="B23" s="4" t="s">
        <v>43</v>
      </c>
      <c r="C23" s="15">
        <f t="shared" si="0"/>
        <v>0.38755555555555549</v>
      </c>
      <c r="D23" s="5">
        <v>0.36799999999999999</v>
      </c>
      <c r="E23" s="15">
        <f t="shared" si="1"/>
        <v>0.31822222222222218</v>
      </c>
      <c r="F23" s="15">
        <f t="shared" si="2"/>
        <v>0.19733333333333331</v>
      </c>
      <c r="G23" s="15">
        <f t="shared" si="3"/>
        <v>0.1351111111111111</v>
      </c>
      <c r="H23" s="15">
        <f t="shared" si="4"/>
        <v>8.8888888888888878E-2</v>
      </c>
    </row>
    <row r="24" spans="1:8" ht="29" x14ac:dyDescent="0.35">
      <c r="A24" s="1" t="s">
        <v>44</v>
      </c>
      <c r="B24" s="4" t="s">
        <v>45</v>
      </c>
      <c r="C24" s="15">
        <f t="shared" si="0"/>
        <v>0.38228985507246366</v>
      </c>
      <c r="D24" s="5">
        <v>0.36299999999999999</v>
      </c>
      <c r="E24" s="15">
        <f t="shared" si="1"/>
        <v>0.31389855072463768</v>
      </c>
      <c r="F24" s="15">
        <f t="shared" si="2"/>
        <v>0.19465217391304349</v>
      </c>
      <c r="G24" s="15">
        <f t="shared" si="3"/>
        <v>0.13327536231884057</v>
      </c>
      <c r="H24" s="15">
        <f t="shared" si="4"/>
        <v>8.7681159420289853E-2</v>
      </c>
    </row>
    <row r="25" spans="1:8" x14ac:dyDescent="0.35">
      <c r="A25" s="1" t="s">
        <v>46</v>
      </c>
      <c r="B25" s="4" t="s">
        <v>47</v>
      </c>
      <c r="C25" s="15">
        <f t="shared" si="0"/>
        <v>0.37702415458937188</v>
      </c>
      <c r="D25" s="5">
        <v>0.35799999999999998</v>
      </c>
      <c r="E25" s="15">
        <f t="shared" si="1"/>
        <v>0.30957487922705312</v>
      </c>
      <c r="F25" s="15">
        <f t="shared" si="2"/>
        <v>0.19197101449275361</v>
      </c>
      <c r="G25" s="15">
        <f t="shared" si="3"/>
        <v>0.13143961352657005</v>
      </c>
      <c r="H25" s="15">
        <f t="shared" si="4"/>
        <v>8.6473429951690814E-2</v>
      </c>
    </row>
    <row r="26" spans="1:8" x14ac:dyDescent="0.35">
      <c r="A26" s="1" t="s">
        <v>48</v>
      </c>
      <c r="B26" s="4" t="s">
        <v>49</v>
      </c>
      <c r="C26" s="15">
        <f t="shared" si="0"/>
        <v>0.37491787439613516</v>
      </c>
      <c r="D26" s="5">
        <v>0.35599999999999998</v>
      </c>
      <c r="E26" s="15">
        <f t="shared" si="1"/>
        <v>0.30784541062801929</v>
      </c>
      <c r="F26" s="15">
        <f t="shared" si="2"/>
        <v>0.19089855072463766</v>
      </c>
      <c r="G26" s="15">
        <f t="shared" si="3"/>
        <v>0.13070531400966182</v>
      </c>
      <c r="H26" s="15">
        <f t="shared" si="4"/>
        <v>8.5990338164251195E-2</v>
      </c>
    </row>
    <row r="27" spans="1:8" x14ac:dyDescent="0.35">
      <c r="A27" s="1" t="s">
        <v>50</v>
      </c>
      <c r="B27" s="4" t="s">
        <v>51</v>
      </c>
      <c r="C27" s="15">
        <f t="shared" si="0"/>
        <v>0.36965217391304339</v>
      </c>
      <c r="D27" s="5">
        <v>0.35099999999999998</v>
      </c>
      <c r="E27" s="15">
        <f t="shared" si="1"/>
        <v>0.30352173913043473</v>
      </c>
      <c r="F27" s="15">
        <f t="shared" si="2"/>
        <v>0.18821739130434781</v>
      </c>
      <c r="G27" s="15">
        <f t="shared" si="3"/>
        <v>0.12886956521739129</v>
      </c>
      <c r="H27" s="15">
        <f t="shared" si="4"/>
        <v>8.478260869565217E-2</v>
      </c>
    </row>
    <row r="28" spans="1:8" x14ac:dyDescent="0.35">
      <c r="A28" s="1" t="s">
        <v>52</v>
      </c>
      <c r="B28" s="4" t="s">
        <v>53</v>
      </c>
      <c r="C28" s="15">
        <f t="shared" si="0"/>
        <v>0.36754589371980667</v>
      </c>
      <c r="D28" s="5">
        <v>0.34899999999999998</v>
      </c>
      <c r="E28" s="15">
        <f t="shared" si="1"/>
        <v>0.30179227053140095</v>
      </c>
      <c r="F28" s="15">
        <f t="shared" si="2"/>
        <v>0.18714492753623188</v>
      </c>
      <c r="G28" s="15">
        <f t="shared" si="3"/>
        <v>0.12813526570048309</v>
      </c>
      <c r="H28" s="15">
        <f t="shared" si="4"/>
        <v>8.4299516908212552E-2</v>
      </c>
    </row>
    <row r="29" spans="1:8" x14ac:dyDescent="0.35">
      <c r="A29" s="1" t="s">
        <v>54</v>
      </c>
      <c r="B29" s="4" t="s">
        <v>55</v>
      </c>
      <c r="C29" s="15">
        <f t="shared" si="0"/>
        <v>0.35912077294685985</v>
      </c>
      <c r="D29" s="5">
        <v>0.34100000000000003</v>
      </c>
      <c r="E29" s="15">
        <f t="shared" si="1"/>
        <v>0.29487439613526573</v>
      </c>
      <c r="F29" s="15">
        <f t="shared" si="2"/>
        <v>0.18285507246376814</v>
      </c>
      <c r="G29" s="15">
        <f t="shared" si="3"/>
        <v>0.12519806763285027</v>
      </c>
      <c r="H29" s="15">
        <f t="shared" si="4"/>
        <v>8.236714975845412E-2</v>
      </c>
    </row>
    <row r="32" spans="1:8" x14ac:dyDescent="0.35">
      <c r="A32" s="1" t="s">
        <v>56</v>
      </c>
    </row>
    <row r="39" spans="1:11" x14ac:dyDescent="0.35">
      <c r="B39">
        <v>2021</v>
      </c>
      <c r="C39">
        <v>2022</v>
      </c>
      <c r="D39">
        <v>2023</v>
      </c>
      <c r="E39">
        <v>2024</v>
      </c>
      <c r="F39">
        <v>2025</v>
      </c>
      <c r="G39">
        <v>2026</v>
      </c>
      <c r="H39">
        <v>2027</v>
      </c>
      <c r="I39">
        <v>2028</v>
      </c>
      <c r="J39">
        <v>2029</v>
      </c>
      <c r="K39">
        <v>2030</v>
      </c>
    </row>
    <row r="40" spans="1:11" x14ac:dyDescent="0.35">
      <c r="A40" t="s">
        <v>77</v>
      </c>
      <c r="B40">
        <v>5</v>
      </c>
      <c r="C40">
        <v>7.6</v>
      </c>
      <c r="D40">
        <v>11.1</v>
      </c>
      <c r="E40">
        <v>17.899999999999999</v>
      </c>
      <c r="F40">
        <v>4</v>
      </c>
      <c r="G40">
        <v>4.5999999999999996</v>
      </c>
      <c r="H40">
        <v>4.7</v>
      </c>
      <c r="I40">
        <v>4.8</v>
      </c>
      <c r="J40">
        <v>4.8</v>
      </c>
      <c r="K40">
        <v>5.0999999999999996</v>
      </c>
    </row>
    <row r="41" spans="1:11" x14ac:dyDescent="0.35">
      <c r="A41" t="s">
        <v>78</v>
      </c>
      <c r="B41">
        <v>0</v>
      </c>
      <c r="C41">
        <v>0</v>
      </c>
      <c r="D41">
        <v>0</v>
      </c>
      <c r="E41">
        <v>0</v>
      </c>
      <c r="F41">
        <v>16.7</v>
      </c>
      <c r="G41">
        <v>17.2</v>
      </c>
      <c r="H41">
        <v>17.3</v>
      </c>
      <c r="I41">
        <v>19.399999999999999</v>
      </c>
      <c r="J41">
        <v>20</v>
      </c>
      <c r="K41">
        <v>23.7</v>
      </c>
    </row>
    <row r="42" spans="1:11" x14ac:dyDescent="0.35">
      <c r="A42" s="13" t="s">
        <v>79</v>
      </c>
      <c r="B42">
        <f>SUM(B40:B41)</f>
        <v>5</v>
      </c>
      <c r="C42">
        <f t="shared" ref="C42:K42" si="5">SUM(C40:C41)</f>
        <v>7.6</v>
      </c>
      <c r="D42">
        <f t="shared" si="5"/>
        <v>11.1</v>
      </c>
      <c r="E42">
        <f t="shared" si="5"/>
        <v>17.899999999999999</v>
      </c>
      <c r="F42">
        <f>SUM(F40:F41)</f>
        <v>20.7</v>
      </c>
      <c r="G42">
        <f t="shared" si="5"/>
        <v>21.799999999999997</v>
      </c>
      <c r="H42">
        <f t="shared" si="5"/>
        <v>22</v>
      </c>
      <c r="I42">
        <f t="shared" si="5"/>
        <v>24.2</v>
      </c>
      <c r="J42">
        <f t="shared" si="5"/>
        <v>24.8</v>
      </c>
      <c r="K42">
        <f t="shared" si="5"/>
        <v>28.799999999999997</v>
      </c>
    </row>
    <row r="43" spans="1:11" x14ac:dyDescent="0.35">
      <c r="A43" t="s">
        <v>80</v>
      </c>
      <c r="C43">
        <f>(C42/B42)-1</f>
        <v>0.52</v>
      </c>
      <c r="D43">
        <f t="shared" ref="D43:K43" si="6">(D42/C42)-1</f>
        <v>0.46052631578947367</v>
      </c>
      <c r="E43">
        <f t="shared" si="6"/>
        <v>0.61261261261261257</v>
      </c>
      <c r="F43">
        <f t="shared" si="6"/>
        <v>0.15642458100558665</v>
      </c>
      <c r="G43">
        <f t="shared" si="6"/>
        <v>5.314009661835728E-2</v>
      </c>
      <c r="H43">
        <f t="shared" si="6"/>
        <v>9.1743119266056716E-3</v>
      </c>
      <c r="I43">
        <f t="shared" si="6"/>
        <v>9.9999999999999867E-2</v>
      </c>
      <c r="J43">
        <f t="shared" si="6"/>
        <v>2.4793388429752206E-2</v>
      </c>
      <c r="K43">
        <f t="shared" si="6"/>
        <v>0.16129032258064502</v>
      </c>
    </row>
    <row r="44" spans="1:11" x14ac:dyDescent="0.35">
      <c r="C44" s="14">
        <f>(C42/B42)-1</f>
        <v>0.52</v>
      </c>
      <c r="D44" s="14">
        <f t="shared" ref="D44:K44" si="7">(D42/C42)-1</f>
        <v>0.46052631578947367</v>
      </c>
      <c r="E44" s="14">
        <f t="shared" si="7"/>
        <v>0.61261261261261257</v>
      </c>
      <c r="F44" s="14">
        <f t="shared" si="7"/>
        <v>0.15642458100558665</v>
      </c>
      <c r="G44" s="14">
        <f t="shared" si="7"/>
        <v>5.314009661835728E-2</v>
      </c>
      <c r="H44" s="14">
        <f t="shared" si="7"/>
        <v>9.1743119266056716E-3</v>
      </c>
      <c r="I44" s="14">
        <f t="shared" si="7"/>
        <v>9.9999999999999867E-2</v>
      </c>
      <c r="J44" s="14">
        <f t="shared" si="7"/>
        <v>2.4793388429752206E-2</v>
      </c>
      <c r="K44" s="14">
        <f t="shared" si="7"/>
        <v>0.16129032258064502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29BB-3D77-4F86-880C-971484BBCA8F}">
  <dimension ref="A1:D25"/>
  <sheetViews>
    <sheetView workbookViewId="0">
      <selection activeCell="G9" sqref="G9"/>
    </sheetView>
  </sheetViews>
  <sheetFormatPr defaultRowHeight="14.5" x14ac:dyDescent="0.35"/>
  <cols>
    <col min="1" max="4" width="15.453125" customWidth="1"/>
  </cols>
  <sheetData>
    <row r="1" spans="1:4" x14ac:dyDescent="0.35">
      <c r="A1" t="s">
        <v>57</v>
      </c>
    </row>
    <row r="2" spans="1:4" x14ac:dyDescent="0.35">
      <c r="A2" t="s">
        <v>58</v>
      </c>
    </row>
    <row r="3" spans="1:4" ht="29" x14ac:dyDescent="0.35">
      <c r="A3" s="3" t="s">
        <v>59</v>
      </c>
      <c r="B3" s="2" t="s">
        <v>60</v>
      </c>
      <c r="C3" s="2" t="s">
        <v>61</v>
      </c>
      <c r="D3" s="2" t="s">
        <v>62</v>
      </c>
    </row>
    <row r="4" spans="1:4" x14ac:dyDescent="0.35">
      <c r="A4" s="8" t="s">
        <v>63</v>
      </c>
      <c r="B4" s="10">
        <v>0.12</v>
      </c>
      <c r="C4" s="2" t="s">
        <v>64</v>
      </c>
      <c r="D4" s="12">
        <v>20344586</v>
      </c>
    </row>
    <row r="5" spans="1:4" x14ac:dyDescent="0.35">
      <c r="A5" s="4" t="s">
        <v>17</v>
      </c>
      <c r="B5" s="9">
        <v>0.17</v>
      </c>
      <c r="C5" s="1" t="s">
        <v>65</v>
      </c>
      <c r="D5" s="11">
        <v>71279</v>
      </c>
    </row>
    <row r="6" spans="1:4" x14ac:dyDescent="0.35">
      <c r="A6" s="4" t="s">
        <v>29</v>
      </c>
      <c r="B6" s="9">
        <v>0.17</v>
      </c>
      <c r="C6" s="1" t="s">
        <v>66</v>
      </c>
      <c r="D6" s="11">
        <v>1102595</v>
      </c>
    </row>
    <row r="7" spans="1:4" x14ac:dyDescent="0.35">
      <c r="A7" s="4" t="s">
        <v>7</v>
      </c>
      <c r="B7" s="9">
        <v>0.17</v>
      </c>
      <c r="C7" s="1" t="s">
        <v>67</v>
      </c>
      <c r="D7" s="11">
        <v>460317</v>
      </c>
    </row>
    <row r="8" spans="1:4" x14ac:dyDescent="0.35">
      <c r="A8" s="4" t="s">
        <v>49</v>
      </c>
      <c r="B8" s="9">
        <v>0.15</v>
      </c>
      <c r="C8" s="1" t="s">
        <v>68</v>
      </c>
      <c r="D8" s="11">
        <v>382513</v>
      </c>
    </row>
    <row r="9" spans="1:4" x14ac:dyDescent="0.35">
      <c r="A9" s="4" t="s">
        <v>9</v>
      </c>
      <c r="B9" s="9">
        <v>0.14000000000000001</v>
      </c>
      <c r="C9" s="1" t="s">
        <v>69</v>
      </c>
      <c r="D9" s="11">
        <v>209413</v>
      </c>
    </row>
    <row r="10" spans="1:4" x14ac:dyDescent="0.35">
      <c r="A10" s="4" t="s">
        <v>5</v>
      </c>
      <c r="B10" s="9">
        <v>0.14000000000000001</v>
      </c>
      <c r="C10" s="1" t="s">
        <v>70</v>
      </c>
      <c r="D10" s="11">
        <v>94236</v>
      </c>
    </row>
    <row r="11" spans="1:4" x14ac:dyDescent="0.35">
      <c r="A11" s="4" t="s">
        <v>35</v>
      </c>
      <c r="B11" s="9">
        <v>0.14000000000000001</v>
      </c>
      <c r="C11" s="1" t="s">
        <v>66</v>
      </c>
      <c r="D11" s="11">
        <v>430308</v>
      </c>
    </row>
    <row r="12" spans="1:4" x14ac:dyDescent="0.35">
      <c r="A12" s="4" t="s">
        <v>3</v>
      </c>
      <c r="B12" s="9">
        <v>0.14000000000000001</v>
      </c>
      <c r="C12" s="1" t="s">
        <v>68</v>
      </c>
      <c r="D12" s="11">
        <v>173231</v>
      </c>
    </row>
    <row r="13" spans="1:4" x14ac:dyDescent="0.35">
      <c r="A13" s="4" t="s">
        <v>23</v>
      </c>
      <c r="B13" s="9">
        <v>0.14000000000000001</v>
      </c>
      <c r="C13" s="1" t="s">
        <v>71</v>
      </c>
      <c r="D13" s="11">
        <v>727024</v>
      </c>
    </row>
    <row r="14" spans="1:4" x14ac:dyDescent="0.35">
      <c r="A14" s="4" t="s">
        <v>53</v>
      </c>
      <c r="B14" s="9">
        <v>0.14000000000000001</v>
      </c>
      <c r="C14" s="1" t="s">
        <v>66</v>
      </c>
      <c r="D14" s="11">
        <v>255697</v>
      </c>
    </row>
    <row r="15" spans="1:4" x14ac:dyDescent="0.35">
      <c r="A15" s="4" t="s">
        <v>47</v>
      </c>
      <c r="B15" s="9">
        <v>0.14000000000000001</v>
      </c>
      <c r="C15" s="1" t="s">
        <v>65</v>
      </c>
      <c r="D15" s="11">
        <v>1598276</v>
      </c>
    </row>
    <row r="16" spans="1:4" x14ac:dyDescent="0.35">
      <c r="A16" s="4" t="s">
        <v>19</v>
      </c>
      <c r="B16" s="9">
        <v>0.13</v>
      </c>
      <c r="C16" s="1" t="s">
        <v>72</v>
      </c>
      <c r="D16" s="11">
        <v>88915</v>
      </c>
    </row>
    <row r="17" spans="1:4" x14ac:dyDescent="0.35">
      <c r="A17" s="4" t="s">
        <v>33</v>
      </c>
      <c r="B17" s="9">
        <v>0.13</v>
      </c>
      <c r="C17" s="1" t="s">
        <v>72</v>
      </c>
      <c r="D17" s="11">
        <v>331569</v>
      </c>
    </row>
    <row r="18" spans="1:4" ht="29" x14ac:dyDescent="0.35">
      <c r="A18" s="4" t="s">
        <v>45</v>
      </c>
      <c r="B18" s="9">
        <v>0.13</v>
      </c>
      <c r="C18" s="1" t="s">
        <v>70</v>
      </c>
      <c r="D18" s="11">
        <v>373582</v>
      </c>
    </row>
    <row r="19" spans="1:4" ht="29" x14ac:dyDescent="0.35">
      <c r="A19" s="4" t="s">
        <v>11</v>
      </c>
      <c r="B19" s="9">
        <v>0.13</v>
      </c>
      <c r="C19" s="1" t="s">
        <v>73</v>
      </c>
      <c r="D19" s="11">
        <v>278120</v>
      </c>
    </row>
    <row r="20" spans="1:4" x14ac:dyDescent="0.35">
      <c r="A20" s="4" t="s">
        <v>15</v>
      </c>
      <c r="B20" s="9">
        <v>0.13</v>
      </c>
      <c r="C20" s="1" t="s">
        <v>70</v>
      </c>
      <c r="D20" s="11">
        <v>321084</v>
      </c>
    </row>
    <row r="21" spans="1:4" x14ac:dyDescent="0.35">
      <c r="A21" s="4" t="s">
        <v>21</v>
      </c>
      <c r="B21" s="9">
        <v>0.12</v>
      </c>
      <c r="C21" s="1" t="s">
        <v>74</v>
      </c>
      <c r="D21" s="11">
        <v>380096</v>
      </c>
    </row>
    <row r="22" spans="1:4" x14ac:dyDescent="0.35">
      <c r="A22" s="4" t="s">
        <v>39</v>
      </c>
      <c r="B22" s="9">
        <v>0.12</v>
      </c>
      <c r="C22" s="1" t="s">
        <v>65</v>
      </c>
      <c r="D22" s="11">
        <v>1747521</v>
      </c>
    </row>
    <row r="23" spans="1:4" x14ac:dyDescent="0.35">
      <c r="A23" s="4" t="s">
        <v>13</v>
      </c>
      <c r="B23" s="9">
        <v>0.12</v>
      </c>
      <c r="C23" s="1" t="s">
        <v>72</v>
      </c>
      <c r="D23" s="11">
        <v>1132212</v>
      </c>
    </row>
    <row r="24" spans="1:4" x14ac:dyDescent="0.35">
      <c r="A24" s="4" t="s">
        <v>27</v>
      </c>
      <c r="B24" s="9">
        <v>0.12</v>
      </c>
      <c r="C24" s="1" t="s">
        <v>75</v>
      </c>
      <c r="D24" s="11">
        <v>707461</v>
      </c>
    </row>
    <row r="25" spans="1:4" x14ac:dyDescent="0.35">
      <c r="A25" s="4" t="s">
        <v>31</v>
      </c>
      <c r="B25" s="9">
        <v>0.12</v>
      </c>
      <c r="C25" s="1" t="s">
        <v>76</v>
      </c>
      <c r="D25" s="11">
        <v>1115460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Klavi - 2025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AMORIM DE AZEVEDO COSTA</dc:creator>
  <cp:lastModifiedBy>CARLOS HENRIQUE AMORIM DE AZEVEDO COSTA</cp:lastModifiedBy>
  <dcterms:created xsi:type="dcterms:W3CDTF">2026-08-17T15:43:29Z</dcterms:created>
  <dcterms:modified xsi:type="dcterms:W3CDTF">2026-08-24T15:40:56Z</dcterms:modified>
</cp:coreProperties>
</file>