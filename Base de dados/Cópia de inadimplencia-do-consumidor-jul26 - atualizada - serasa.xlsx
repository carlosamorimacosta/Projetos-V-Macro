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carlo\Downloads\Inadimplência\"/>
    </mc:Choice>
  </mc:AlternateContent>
  <xr:revisionPtr revIDLastSave="0" documentId="8_{230DCE84-23A9-40D6-9E14-21011F172151}" xr6:coauthVersionLast="47" xr6:coauthVersionMax="47" xr10:uidLastSave="{00000000-0000-0000-0000-000000000000}"/>
  <bookViews>
    <workbookView xWindow="-110" yWindow="-110" windowWidth="19420" windowHeight="11500" tabRatio="778" xr2:uid="{00000000-000D-0000-FFFF-FFFF00000000}"/>
  </bookViews>
  <sheets>
    <sheet name="Consumidores Inadimplentes" sheetId="2" r:id="rId1"/>
    <sheet name="Setores" sheetId="3" r:id="rId2"/>
    <sheet name="AC" sheetId="5" r:id="rId3"/>
    <sheet name="AL" sheetId="6" r:id="rId4"/>
    <sheet name="AM" sheetId="7" r:id="rId5"/>
    <sheet name="AP" sheetId="8" r:id="rId6"/>
    <sheet name="BA" sheetId="9" r:id="rId7"/>
    <sheet name="CE" sheetId="10" r:id="rId8"/>
    <sheet name="DF" sheetId="11" r:id="rId9"/>
    <sheet name="ES" sheetId="12" r:id="rId10"/>
    <sheet name="GO" sheetId="13" r:id="rId11"/>
    <sheet name="MA" sheetId="14" r:id="rId12"/>
    <sheet name="MG" sheetId="15" r:id="rId13"/>
    <sheet name="MS" sheetId="19" r:id="rId14"/>
    <sheet name="MT" sheetId="20" r:id="rId15"/>
    <sheet name="PA" sheetId="21" r:id="rId16"/>
    <sheet name="PB" sheetId="22" r:id="rId17"/>
    <sheet name="PE" sheetId="23" r:id="rId18"/>
    <sheet name="PI" sheetId="24" r:id="rId19"/>
    <sheet name="PR" sheetId="25" r:id="rId20"/>
    <sheet name="RJ" sheetId="17" r:id="rId21"/>
    <sheet name="RN" sheetId="26" r:id="rId22"/>
    <sheet name="RO" sheetId="27" r:id="rId23"/>
    <sheet name="RR" sheetId="28" r:id="rId24"/>
    <sheet name="RS" sheetId="18" r:id="rId25"/>
    <sheet name="SC" sheetId="29" r:id="rId26"/>
    <sheet name="SE" sheetId="30" r:id="rId27"/>
    <sheet name="SP" sheetId="16" r:id="rId28"/>
    <sheet name="TO" sheetId="31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4" i="31" l="1"/>
  <c r="I93" i="31"/>
  <c r="I92" i="31"/>
  <c r="I91" i="31"/>
  <c r="I90" i="31"/>
  <c r="I89" i="31"/>
  <c r="I88" i="31"/>
  <c r="I87" i="31"/>
  <c r="I86" i="31"/>
  <c r="I85" i="31"/>
  <c r="I84" i="31"/>
  <c r="I83" i="31"/>
  <c r="I82" i="31"/>
  <c r="I81" i="31"/>
  <c r="I80" i="31"/>
  <c r="I79" i="31"/>
  <c r="I78" i="31"/>
  <c r="I77" i="31"/>
  <c r="I76" i="31"/>
  <c r="I75" i="31"/>
  <c r="I74" i="31"/>
  <c r="I73" i="31"/>
  <c r="I72" i="31"/>
  <c r="I71" i="31"/>
  <c r="I70" i="31"/>
  <c r="I69" i="31"/>
  <c r="I68" i="31"/>
  <c r="I67" i="31"/>
  <c r="I66" i="31"/>
  <c r="I65" i="31"/>
  <c r="I64" i="31"/>
  <c r="I63" i="31"/>
  <c r="I62" i="31"/>
  <c r="I61" i="31"/>
  <c r="I60" i="31"/>
  <c r="I59" i="31"/>
  <c r="I58" i="31"/>
  <c r="I57" i="31"/>
  <c r="I56" i="31"/>
  <c r="I55" i="31"/>
  <c r="I54" i="31"/>
  <c r="I53" i="31"/>
  <c r="I52" i="31"/>
  <c r="I51" i="31"/>
  <c r="I50" i="31"/>
  <c r="I49" i="31"/>
  <c r="I48" i="31"/>
  <c r="I47" i="31"/>
  <c r="I46" i="31"/>
  <c r="I45" i="31"/>
  <c r="I44" i="31"/>
  <c r="I43" i="31"/>
  <c r="I42" i="31"/>
  <c r="I41" i="31"/>
  <c r="I40" i="31"/>
  <c r="I39" i="31"/>
  <c r="I38" i="31"/>
  <c r="I37" i="31"/>
  <c r="I36" i="31"/>
  <c r="I35" i="31"/>
  <c r="I34" i="31"/>
  <c r="I33" i="31"/>
  <c r="I32" i="31"/>
  <c r="I31" i="31"/>
  <c r="I30" i="31"/>
  <c r="I29" i="31"/>
  <c r="I28" i="31"/>
  <c r="I27" i="31"/>
  <c r="I26" i="31"/>
  <c r="I25" i="31"/>
  <c r="I24" i="31"/>
  <c r="I23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I10" i="31"/>
  <c r="I9" i="31"/>
  <c r="I8" i="31"/>
  <c r="I7" i="31"/>
  <c r="I6" i="31"/>
  <c r="I5" i="31"/>
  <c r="I4" i="31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94" i="30"/>
  <c r="I93" i="30"/>
  <c r="I92" i="30"/>
  <c r="I91" i="30"/>
  <c r="I90" i="30"/>
  <c r="I89" i="30"/>
  <c r="I88" i="30"/>
  <c r="I87" i="30"/>
  <c r="I86" i="30"/>
  <c r="I85" i="30"/>
  <c r="I84" i="30"/>
  <c r="I83" i="30"/>
  <c r="I82" i="30"/>
  <c r="I81" i="30"/>
  <c r="I80" i="30"/>
  <c r="I79" i="30"/>
  <c r="I78" i="30"/>
  <c r="I77" i="30"/>
  <c r="I76" i="30"/>
  <c r="I75" i="30"/>
  <c r="I74" i="30"/>
  <c r="I73" i="30"/>
  <c r="I72" i="30"/>
  <c r="I71" i="30"/>
  <c r="I70" i="30"/>
  <c r="I69" i="30"/>
  <c r="I68" i="30"/>
  <c r="I67" i="30"/>
  <c r="I66" i="30"/>
  <c r="I65" i="30"/>
  <c r="I64" i="30"/>
  <c r="I63" i="30"/>
  <c r="I62" i="30"/>
  <c r="I61" i="30"/>
  <c r="I60" i="30"/>
  <c r="I59" i="30"/>
  <c r="I58" i="30"/>
  <c r="I57" i="30"/>
  <c r="I56" i="30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I94" i="29"/>
  <c r="I93" i="29"/>
  <c r="I92" i="29"/>
  <c r="I91" i="29"/>
  <c r="I90" i="29"/>
  <c r="I89" i="29"/>
  <c r="I88" i="29"/>
  <c r="I87" i="29"/>
  <c r="I86" i="29"/>
  <c r="I85" i="29"/>
  <c r="I84" i="29"/>
  <c r="I83" i="29"/>
  <c r="I82" i="29"/>
  <c r="I81" i="29"/>
  <c r="I80" i="29"/>
  <c r="I79" i="29"/>
  <c r="I78" i="29"/>
  <c r="I77" i="29"/>
  <c r="I76" i="29"/>
  <c r="I75" i="29"/>
  <c r="I74" i="29"/>
  <c r="I73" i="29"/>
  <c r="I72" i="29"/>
  <c r="I71" i="29"/>
  <c r="I70" i="29"/>
  <c r="I69" i="29"/>
  <c r="I68" i="29"/>
  <c r="I67" i="29"/>
  <c r="I66" i="29"/>
  <c r="I65" i="29"/>
  <c r="I64" i="29"/>
  <c r="I63" i="29"/>
  <c r="I62" i="29"/>
  <c r="I61" i="29"/>
  <c r="I60" i="29"/>
  <c r="I59" i="29"/>
  <c r="I58" i="29"/>
  <c r="I57" i="29"/>
  <c r="I56" i="29"/>
  <c r="I55" i="29"/>
  <c r="I54" i="29"/>
  <c r="I53" i="29"/>
  <c r="I52" i="29"/>
  <c r="I51" i="29"/>
  <c r="I50" i="29"/>
  <c r="I49" i="29"/>
  <c r="I48" i="29"/>
  <c r="I47" i="29"/>
  <c r="I46" i="29"/>
  <c r="I45" i="29"/>
  <c r="I44" i="29"/>
  <c r="I43" i="29"/>
  <c r="I42" i="29"/>
  <c r="I41" i="29"/>
  <c r="I40" i="29"/>
  <c r="I39" i="29"/>
  <c r="I38" i="29"/>
  <c r="I37" i="29"/>
  <c r="I36" i="29"/>
  <c r="I35" i="29"/>
  <c r="I34" i="29"/>
  <c r="I33" i="29"/>
  <c r="I32" i="29"/>
  <c r="I31" i="29"/>
  <c r="I30" i="29"/>
  <c r="I29" i="29"/>
  <c r="I28" i="29"/>
  <c r="I27" i="29"/>
  <c r="I26" i="29"/>
  <c r="I25" i="29"/>
  <c r="I24" i="29"/>
  <c r="I23" i="29"/>
  <c r="I22" i="29"/>
  <c r="I21" i="29"/>
  <c r="I20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6" i="29"/>
  <c r="I5" i="29"/>
  <c r="I4" i="29"/>
  <c r="I94" i="18"/>
  <c r="I93" i="18"/>
  <c r="I92" i="18"/>
  <c r="I91" i="18"/>
  <c r="I90" i="18"/>
  <c r="I89" i="18"/>
  <c r="I88" i="18"/>
  <c r="I87" i="18"/>
  <c r="I86" i="18"/>
  <c r="I85" i="18"/>
  <c r="I84" i="18"/>
  <c r="I83" i="18"/>
  <c r="I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I69" i="18"/>
  <c r="I68" i="18"/>
  <c r="I67" i="18"/>
  <c r="I66" i="18"/>
  <c r="I65" i="18"/>
  <c r="I64" i="18"/>
  <c r="I63" i="18"/>
  <c r="I62" i="18"/>
  <c r="I61" i="18"/>
  <c r="I60" i="18"/>
  <c r="I59" i="18"/>
  <c r="I58" i="18"/>
  <c r="I57" i="18"/>
  <c r="I56" i="18"/>
  <c r="I55" i="18"/>
  <c r="I54" i="18"/>
  <c r="I53" i="18"/>
  <c r="I52" i="18"/>
  <c r="I51" i="18"/>
  <c r="I50" i="18"/>
  <c r="I49" i="18"/>
  <c r="I48" i="18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94" i="28"/>
  <c r="I93" i="28"/>
  <c r="I92" i="28"/>
  <c r="I91" i="28"/>
  <c r="I90" i="28"/>
  <c r="I89" i="28"/>
  <c r="I88" i="28"/>
  <c r="I87" i="28"/>
  <c r="I86" i="28"/>
  <c r="I85" i="28"/>
  <c r="I84" i="28"/>
  <c r="I83" i="28"/>
  <c r="I82" i="28"/>
  <c r="I81" i="28"/>
  <c r="I80" i="28"/>
  <c r="I79" i="28"/>
  <c r="I78" i="28"/>
  <c r="I77" i="28"/>
  <c r="I76" i="28"/>
  <c r="I75" i="28"/>
  <c r="I74" i="28"/>
  <c r="I73" i="28"/>
  <c r="I72" i="28"/>
  <c r="I71" i="28"/>
  <c r="I70" i="28"/>
  <c r="I69" i="28"/>
  <c r="I68" i="28"/>
  <c r="I67" i="28"/>
  <c r="I66" i="28"/>
  <c r="I65" i="28"/>
  <c r="I64" i="28"/>
  <c r="I63" i="28"/>
  <c r="I62" i="28"/>
  <c r="I61" i="28"/>
  <c r="I60" i="28"/>
  <c r="I59" i="28"/>
  <c r="I58" i="28"/>
  <c r="I57" i="28"/>
  <c r="I56" i="28"/>
  <c r="I55" i="28"/>
  <c r="I54" i="28"/>
  <c r="I53" i="28"/>
  <c r="I52" i="28"/>
  <c r="I51" i="28"/>
  <c r="I50" i="28"/>
  <c r="I49" i="28"/>
  <c r="I48" i="28"/>
  <c r="I47" i="28"/>
  <c r="I46" i="28"/>
  <c r="I45" i="28"/>
  <c r="I44" i="28"/>
  <c r="I43" i="28"/>
  <c r="I42" i="28"/>
  <c r="I41" i="28"/>
  <c r="I40" i="28"/>
  <c r="I39" i="28"/>
  <c r="I38" i="28"/>
  <c r="I37" i="28"/>
  <c r="I36" i="28"/>
  <c r="I35" i="28"/>
  <c r="I34" i="28"/>
  <c r="I33" i="28"/>
  <c r="I32" i="28"/>
  <c r="I31" i="28"/>
  <c r="I30" i="28"/>
  <c r="I29" i="28"/>
  <c r="I28" i="28"/>
  <c r="I27" i="28"/>
  <c r="I26" i="28"/>
  <c r="I25" i="28"/>
  <c r="I24" i="28"/>
  <c r="I23" i="28"/>
  <c r="I22" i="28"/>
  <c r="I21" i="28"/>
  <c r="I20" i="28"/>
  <c r="I19" i="28"/>
  <c r="I18" i="28"/>
  <c r="I17" i="28"/>
  <c r="I16" i="28"/>
  <c r="I15" i="28"/>
  <c r="I14" i="28"/>
  <c r="I13" i="28"/>
  <c r="I12" i="28"/>
  <c r="I11" i="28"/>
  <c r="I10" i="28"/>
  <c r="I9" i="28"/>
  <c r="I8" i="28"/>
  <c r="I7" i="28"/>
  <c r="I6" i="28"/>
  <c r="I5" i="28"/>
  <c r="I4" i="28"/>
  <c r="I94" i="27"/>
  <c r="I93" i="27"/>
  <c r="I92" i="27"/>
  <c r="I91" i="27"/>
  <c r="I90" i="27"/>
  <c r="I89" i="27"/>
  <c r="I88" i="27"/>
  <c r="I87" i="27"/>
  <c r="I86" i="27"/>
  <c r="I85" i="27"/>
  <c r="I84" i="27"/>
  <c r="I83" i="27"/>
  <c r="I82" i="27"/>
  <c r="I81" i="27"/>
  <c r="I80" i="27"/>
  <c r="I79" i="27"/>
  <c r="I78" i="27"/>
  <c r="I77" i="27"/>
  <c r="I76" i="27"/>
  <c r="I75" i="27"/>
  <c r="I74" i="27"/>
  <c r="I73" i="27"/>
  <c r="I72" i="27"/>
  <c r="I71" i="27"/>
  <c r="I70" i="27"/>
  <c r="I69" i="27"/>
  <c r="I68" i="27"/>
  <c r="I67" i="27"/>
  <c r="I66" i="27"/>
  <c r="I65" i="27"/>
  <c r="I64" i="27"/>
  <c r="I63" i="27"/>
  <c r="I62" i="27"/>
  <c r="I61" i="27"/>
  <c r="I60" i="27"/>
  <c r="I59" i="27"/>
  <c r="I58" i="27"/>
  <c r="I57" i="27"/>
  <c r="I56" i="27"/>
  <c r="I55" i="27"/>
  <c r="I54" i="27"/>
  <c r="I53" i="27"/>
  <c r="I52" i="27"/>
  <c r="I51" i="27"/>
  <c r="I50" i="27"/>
  <c r="I49" i="27"/>
  <c r="I48" i="27"/>
  <c r="I47" i="27"/>
  <c r="I46" i="27"/>
  <c r="I45" i="27"/>
  <c r="I44" i="27"/>
  <c r="I43" i="27"/>
  <c r="I42" i="27"/>
  <c r="I41" i="27"/>
  <c r="I40" i="27"/>
  <c r="I39" i="27"/>
  <c r="I38" i="27"/>
  <c r="I37" i="27"/>
  <c r="I36" i="27"/>
  <c r="I35" i="27"/>
  <c r="I34" i="27"/>
  <c r="I33" i="27"/>
  <c r="I32" i="27"/>
  <c r="I31" i="27"/>
  <c r="I30" i="27"/>
  <c r="I29" i="27"/>
  <c r="I28" i="27"/>
  <c r="I27" i="27"/>
  <c r="I26" i="27"/>
  <c r="I25" i="27"/>
  <c r="I24" i="27"/>
  <c r="I23" i="27"/>
  <c r="I22" i="27"/>
  <c r="I21" i="27"/>
  <c r="I20" i="27"/>
  <c r="I19" i="27"/>
  <c r="I18" i="27"/>
  <c r="I17" i="27"/>
  <c r="I16" i="27"/>
  <c r="I15" i="27"/>
  <c r="I14" i="27"/>
  <c r="I13" i="27"/>
  <c r="I12" i="27"/>
  <c r="I11" i="27"/>
  <c r="I10" i="27"/>
  <c r="I9" i="27"/>
  <c r="I8" i="27"/>
  <c r="I7" i="27"/>
  <c r="I6" i="27"/>
  <c r="I5" i="27"/>
  <c r="I4" i="27"/>
  <c r="I94" i="26"/>
  <c r="I93" i="26"/>
  <c r="I92" i="26"/>
  <c r="I91" i="26"/>
  <c r="I90" i="26"/>
  <c r="I89" i="26"/>
  <c r="I88" i="26"/>
  <c r="I87" i="26"/>
  <c r="I86" i="26"/>
  <c r="I85" i="26"/>
  <c r="I84" i="26"/>
  <c r="I83" i="26"/>
  <c r="I82" i="26"/>
  <c r="I81" i="26"/>
  <c r="I80" i="26"/>
  <c r="I79" i="26"/>
  <c r="I78" i="26"/>
  <c r="I77" i="26"/>
  <c r="I76" i="26"/>
  <c r="I75" i="26"/>
  <c r="I74" i="26"/>
  <c r="I73" i="26"/>
  <c r="I72" i="26"/>
  <c r="I71" i="26"/>
  <c r="I70" i="26"/>
  <c r="I69" i="26"/>
  <c r="I68" i="26"/>
  <c r="I67" i="26"/>
  <c r="I66" i="26"/>
  <c r="I65" i="26"/>
  <c r="I64" i="26"/>
  <c r="I63" i="26"/>
  <c r="I62" i="26"/>
  <c r="I61" i="26"/>
  <c r="I60" i="26"/>
  <c r="I59" i="26"/>
  <c r="I58" i="26"/>
  <c r="I57" i="26"/>
  <c r="I56" i="26"/>
  <c r="I55" i="26"/>
  <c r="I54" i="26"/>
  <c r="I53" i="26"/>
  <c r="I52" i="26"/>
  <c r="I51" i="26"/>
  <c r="I50" i="26"/>
  <c r="I49" i="26"/>
  <c r="I48" i="26"/>
  <c r="I47" i="26"/>
  <c r="I46" i="26"/>
  <c r="I45" i="26"/>
  <c r="I44" i="26"/>
  <c r="I43" i="26"/>
  <c r="I42" i="26"/>
  <c r="I41" i="26"/>
  <c r="I40" i="26"/>
  <c r="I39" i="26"/>
  <c r="I38" i="26"/>
  <c r="I37" i="26"/>
  <c r="I36" i="26"/>
  <c r="I35" i="26"/>
  <c r="I34" i="26"/>
  <c r="I33" i="26"/>
  <c r="I32" i="26"/>
  <c r="I31" i="26"/>
  <c r="I30" i="26"/>
  <c r="I29" i="26"/>
  <c r="I28" i="26"/>
  <c r="I27" i="26"/>
  <c r="I26" i="26"/>
  <c r="I25" i="26"/>
  <c r="I24" i="26"/>
  <c r="I23" i="26"/>
  <c r="I22" i="26"/>
  <c r="I21" i="26"/>
  <c r="I20" i="26"/>
  <c r="I19" i="26"/>
  <c r="I18" i="26"/>
  <c r="I17" i="26"/>
  <c r="I16" i="26"/>
  <c r="I15" i="26"/>
  <c r="I14" i="26"/>
  <c r="I13" i="26"/>
  <c r="I12" i="26"/>
  <c r="I11" i="26"/>
  <c r="I10" i="26"/>
  <c r="I9" i="26"/>
  <c r="I8" i="26"/>
  <c r="I7" i="26"/>
  <c r="I6" i="26"/>
  <c r="I5" i="26"/>
  <c r="I4" i="26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94" i="25"/>
  <c r="I93" i="25"/>
  <c r="I92" i="25"/>
  <c r="I91" i="25"/>
  <c r="I90" i="25"/>
  <c r="I89" i="25"/>
  <c r="I88" i="25"/>
  <c r="I87" i="25"/>
  <c r="I86" i="25"/>
  <c r="I85" i="25"/>
  <c r="I84" i="25"/>
  <c r="I83" i="25"/>
  <c r="I82" i="25"/>
  <c r="I81" i="25"/>
  <c r="I80" i="25"/>
  <c r="I79" i="25"/>
  <c r="I78" i="25"/>
  <c r="I77" i="25"/>
  <c r="I76" i="25"/>
  <c r="I75" i="25"/>
  <c r="I74" i="25"/>
  <c r="I73" i="25"/>
  <c r="I72" i="25"/>
  <c r="I71" i="25"/>
  <c r="I70" i="25"/>
  <c r="I69" i="25"/>
  <c r="I68" i="25"/>
  <c r="I67" i="25"/>
  <c r="I66" i="25"/>
  <c r="I65" i="25"/>
  <c r="I64" i="25"/>
  <c r="I63" i="25"/>
  <c r="I62" i="25"/>
  <c r="I61" i="25"/>
  <c r="I60" i="25"/>
  <c r="I59" i="25"/>
  <c r="I58" i="25"/>
  <c r="I57" i="25"/>
  <c r="I56" i="25"/>
  <c r="I55" i="25"/>
  <c r="I54" i="25"/>
  <c r="I53" i="25"/>
  <c r="I52" i="25"/>
  <c r="I51" i="25"/>
  <c r="I50" i="25"/>
  <c r="I49" i="25"/>
  <c r="I48" i="25"/>
  <c r="I47" i="25"/>
  <c r="I46" i="25"/>
  <c r="I45" i="25"/>
  <c r="I44" i="25"/>
  <c r="I43" i="25"/>
  <c r="I42" i="25"/>
  <c r="I41" i="25"/>
  <c r="I40" i="25"/>
  <c r="I39" i="25"/>
  <c r="I38" i="25"/>
  <c r="I37" i="25"/>
  <c r="I36" i="25"/>
  <c r="I35" i="25"/>
  <c r="I34" i="25"/>
  <c r="I33" i="25"/>
  <c r="I32" i="25"/>
  <c r="I31" i="25"/>
  <c r="I30" i="25"/>
  <c r="I29" i="25"/>
  <c r="I28" i="25"/>
  <c r="I27" i="25"/>
  <c r="I26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9" i="25"/>
  <c r="I8" i="25"/>
  <c r="I7" i="25"/>
  <c r="I6" i="25"/>
  <c r="I5" i="25"/>
  <c r="I4" i="25"/>
  <c r="I94" i="24"/>
  <c r="I93" i="24"/>
  <c r="I92" i="24"/>
  <c r="I91" i="24"/>
  <c r="I90" i="24"/>
  <c r="I89" i="24"/>
  <c r="I88" i="24"/>
  <c r="I87" i="24"/>
  <c r="I86" i="24"/>
  <c r="I85" i="24"/>
  <c r="I84" i="24"/>
  <c r="I83" i="24"/>
  <c r="I82" i="24"/>
  <c r="I81" i="24"/>
  <c r="I80" i="24"/>
  <c r="I79" i="24"/>
  <c r="I78" i="24"/>
  <c r="I77" i="24"/>
  <c r="I76" i="24"/>
  <c r="I75" i="24"/>
  <c r="I74" i="24"/>
  <c r="I73" i="24"/>
  <c r="I72" i="24"/>
  <c r="I71" i="24"/>
  <c r="I70" i="24"/>
  <c r="I69" i="24"/>
  <c r="I68" i="24"/>
  <c r="I67" i="24"/>
  <c r="I66" i="24"/>
  <c r="I65" i="24"/>
  <c r="I64" i="24"/>
  <c r="I63" i="24"/>
  <c r="I62" i="24"/>
  <c r="I61" i="24"/>
  <c r="I60" i="24"/>
  <c r="I59" i="24"/>
  <c r="I58" i="24"/>
  <c r="I57" i="24"/>
  <c r="I56" i="24"/>
  <c r="I55" i="24"/>
  <c r="I54" i="24"/>
  <c r="I53" i="24"/>
  <c r="I52" i="24"/>
  <c r="I51" i="24"/>
  <c r="I50" i="24"/>
  <c r="I49" i="24"/>
  <c r="I48" i="24"/>
  <c r="I47" i="24"/>
  <c r="I46" i="24"/>
  <c r="I45" i="24"/>
  <c r="I44" i="24"/>
  <c r="I43" i="24"/>
  <c r="I42" i="24"/>
  <c r="I41" i="24"/>
  <c r="I40" i="24"/>
  <c r="I39" i="24"/>
  <c r="I38" i="24"/>
  <c r="I37" i="24"/>
  <c r="I36" i="24"/>
  <c r="I35" i="24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6" i="24"/>
  <c r="I5" i="24"/>
  <c r="I4" i="24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94" i="21"/>
  <c r="I93" i="21"/>
  <c r="I92" i="21"/>
  <c r="I91" i="21"/>
  <c r="I90" i="21"/>
  <c r="I89" i="21"/>
  <c r="I88" i="2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4" i="21"/>
  <c r="I63" i="21"/>
  <c r="I62" i="21"/>
  <c r="I61" i="21"/>
  <c r="I60" i="21"/>
  <c r="I59" i="2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94" i="20"/>
  <c r="I93" i="20"/>
  <c r="I92" i="20"/>
  <c r="I91" i="20"/>
  <c r="I90" i="20"/>
  <c r="I89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94" i="13"/>
  <c r="I93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4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4" i="8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4" i="7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7" i="5"/>
  <c r="I5" i="5"/>
  <c r="I6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4" i="5"/>
  <c r="E94" i="31"/>
  <c r="F94" i="31"/>
  <c r="G94" i="31"/>
  <c r="E94" i="16"/>
  <c r="F94" i="16"/>
  <c r="G94" i="16" s="1"/>
  <c r="E94" i="30"/>
  <c r="F94" i="30"/>
  <c r="G94" i="30" s="1"/>
  <c r="E94" i="29"/>
  <c r="F94" i="29"/>
  <c r="G94" i="29" s="1"/>
  <c r="E94" i="18"/>
  <c r="F94" i="18"/>
  <c r="G94" i="18" s="1"/>
  <c r="E94" i="28"/>
  <c r="F94" i="28"/>
  <c r="G94" i="28" s="1"/>
  <c r="E94" i="27"/>
  <c r="F94" i="27"/>
  <c r="G94" i="27" s="1"/>
  <c r="E94" i="26"/>
  <c r="F94" i="26"/>
  <c r="G94" i="26"/>
  <c r="E94" i="17"/>
  <c r="F94" i="17"/>
  <c r="G94" i="17" s="1"/>
  <c r="E94" i="25"/>
  <c r="F94" i="25"/>
  <c r="G94" i="25" s="1"/>
  <c r="E94" i="24"/>
  <c r="F94" i="24"/>
  <c r="G94" i="24"/>
  <c r="E94" i="23"/>
  <c r="F94" i="23"/>
  <c r="G94" i="23" s="1"/>
  <c r="E94" i="22"/>
  <c r="F94" i="22"/>
  <c r="G94" i="22"/>
  <c r="E94" i="21"/>
  <c r="F94" i="21"/>
  <c r="G94" i="21" s="1"/>
  <c r="E94" i="20"/>
  <c r="F94" i="20"/>
  <c r="G94" i="20" s="1"/>
  <c r="E94" i="19"/>
  <c r="F94" i="19"/>
  <c r="G94" i="19"/>
  <c r="E94" i="15"/>
  <c r="F94" i="15"/>
  <c r="G94" i="15" s="1"/>
  <c r="E94" i="14"/>
  <c r="F94" i="14"/>
  <c r="G94" i="14" s="1"/>
  <c r="E94" i="13"/>
  <c r="F94" i="13"/>
  <c r="G94" i="13" s="1"/>
  <c r="E94" i="12"/>
  <c r="F94" i="12"/>
  <c r="G94" i="12"/>
  <c r="E94" i="11"/>
  <c r="F94" i="11"/>
  <c r="G94" i="11"/>
  <c r="E94" i="10"/>
  <c r="F94" i="10"/>
  <c r="G94" i="10"/>
  <c r="E94" i="9"/>
  <c r="F94" i="9"/>
  <c r="G94" i="9"/>
  <c r="E94" i="8"/>
  <c r="F94" i="8"/>
  <c r="G94" i="8"/>
  <c r="E94" i="7"/>
  <c r="F94" i="7"/>
  <c r="G94" i="7" s="1"/>
  <c r="E94" i="6"/>
  <c r="F94" i="6"/>
  <c r="G94" i="6"/>
  <c r="E94" i="5"/>
  <c r="F94" i="5"/>
  <c r="G94" i="5" s="1"/>
  <c r="K106" i="3"/>
  <c r="L106" i="3"/>
  <c r="E130" i="2"/>
  <c r="F130" i="2"/>
  <c r="G130" i="2"/>
  <c r="E93" i="6"/>
  <c r="F93" i="6"/>
  <c r="G93" i="6"/>
  <c r="E93" i="7"/>
  <c r="G93" i="7" s="1"/>
  <c r="F93" i="7"/>
  <c r="E93" i="8"/>
  <c r="F93" i="8"/>
  <c r="G93" i="8"/>
  <c r="E93" i="9"/>
  <c r="F93" i="9"/>
  <c r="G93" i="9"/>
  <c r="E93" i="10"/>
  <c r="F93" i="10"/>
  <c r="G93" i="10" s="1"/>
  <c r="E93" i="11"/>
  <c r="F93" i="11"/>
  <c r="G93" i="11"/>
  <c r="E93" i="12"/>
  <c r="F93" i="12"/>
  <c r="G93" i="12" s="1"/>
  <c r="E93" i="13"/>
  <c r="F93" i="13"/>
  <c r="G93" i="13"/>
  <c r="E93" i="14"/>
  <c r="F93" i="14"/>
  <c r="G93" i="14"/>
  <c r="E93" i="15"/>
  <c r="F93" i="15"/>
  <c r="G93" i="15" s="1"/>
  <c r="E93" i="19"/>
  <c r="F93" i="19"/>
  <c r="G93" i="19" s="1"/>
  <c r="E93" i="20"/>
  <c r="G93" i="20" s="1"/>
  <c r="F93" i="20"/>
  <c r="E93" i="21"/>
  <c r="F93" i="21"/>
  <c r="G93" i="21"/>
  <c r="E93" i="22"/>
  <c r="F93" i="22"/>
  <c r="G93" i="22"/>
  <c r="E93" i="23"/>
  <c r="F93" i="23"/>
  <c r="G93" i="23"/>
  <c r="E93" i="24"/>
  <c r="F93" i="24"/>
  <c r="G93" i="24"/>
  <c r="E93" i="25"/>
  <c r="F93" i="25"/>
  <c r="G93" i="25"/>
  <c r="E93" i="17"/>
  <c r="F93" i="17"/>
  <c r="G93" i="17"/>
  <c r="E93" i="26"/>
  <c r="F93" i="26"/>
  <c r="G93" i="26" s="1"/>
  <c r="E93" i="27"/>
  <c r="F93" i="27"/>
  <c r="G93" i="27"/>
  <c r="E93" i="28"/>
  <c r="F93" i="28"/>
  <c r="G93" i="28" s="1"/>
  <c r="E93" i="18"/>
  <c r="F93" i="18"/>
  <c r="G93" i="18"/>
  <c r="E93" i="29"/>
  <c r="F93" i="29"/>
  <c r="G93" i="29"/>
  <c r="E93" i="30"/>
  <c r="G93" i="30" s="1"/>
  <c r="F93" i="30"/>
  <c r="E93" i="16"/>
  <c r="F93" i="16"/>
  <c r="G93" i="16"/>
  <c r="E93" i="31"/>
  <c r="G93" i="31" s="1"/>
  <c r="F93" i="31"/>
  <c r="E93" i="5"/>
  <c r="F93" i="5"/>
  <c r="G93" i="5" s="1"/>
  <c r="K105" i="3"/>
  <c r="L105" i="3"/>
  <c r="E129" i="2" l="1"/>
  <c r="F129" i="2"/>
  <c r="G129" i="2" s="1"/>
  <c r="E92" i="5"/>
  <c r="F92" i="5"/>
  <c r="G92" i="5"/>
  <c r="E92" i="6"/>
  <c r="F92" i="6"/>
  <c r="G92" i="6" s="1"/>
  <c r="E92" i="7"/>
  <c r="F92" i="7"/>
  <c r="G92" i="7" s="1"/>
  <c r="E92" i="8"/>
  <c r="F92" i="8"/>
  <c r="G92" i="8" s="1"/>
  <c r="E92" i="9"/>
  <c r="F92" i="9"/>
  <c r="G92" i="9" s="1"/>
  <c r="E92" i="10"/>
  <c r="F92" i="10"/>
  <c r="G92" i="10" s="1"/>
  <c r="E92" i="11"/>
  <c r="G92" i="11" s="1"/>
  <c r="F92" i="11"/>
  <c r="E92" i="12"/>
  <c r="F92" i="12"/>
  <c r="G92" i="12"/>
  <c r="E92" i="13"/>
  <c r="F92" i="13"/>
  <c r="G92" i="13"/>
  <c r="E92" i="14"/>
  <c r="F92" i="14"/>
  <c r="G92" i="14" s="1"/>
  <c r="E92" i="15"/>
  <c r="F92" i="15"/>
  <c r="G92" i="15"/>
  <c r="E92" i="19"/>
  <c r="F92" i="19"/>
  <c r="G92" i="19"/>
  <c r="E92" i="20"/>
  <c r="F92" i="20"/>
  <c r="G92" i="20"/>
  <c r="E92" i="21"/>
  <c r="F92" i="21"/>
  <c r="G92" i="21"/>
  <c r="E92" i="22"/>
  <c r="G92" i="22" s="1"/>
  <c r="F92" i="22"/>
  <c r="E92" i="23"/>
  <c r="F92" i="23"/>
  <c r="G92" i="23" s="1"/>
  <c r="E92" i="24"/>
  <c r="F92" i="24"/>
  <c r="G92" i="24"/>
  <c r="E92" i="25"/>
  <c r="F92" i="25"/>
  <c r="G92" i="25"/>
  <c r="E92" i="17"/>
  <c r="F92" i="17"/>
  <c r="G92" i="17"/>
  <c r="E92" i="26"/>
  <c r="F92" i="26"/>
  <c r="G92" i="26" s="1"/>
  <c r="E92" i="27"/>
  <c r="G92" i="27" s="1"/>
  <c r="F92" i="27"/>
  <c r="E92" i="28"/>
  <c r="F92" i="28"/>
  <c r="G92" i="28"/>
  <c r="E92" i="18"/>
  <c r="F92" i="18"/>
  <c r="G92" i="18"/>
  <c r="E92" i="29"/>
  <c r="F92" i="29"/>
  <c r="G92" i="29" s="1"/>
  <c r="E92" i="30"/>
  <c r="F92" i="30"/>
  <c r="G92" i="30"/>
  <c r="E92" i="16"/>
  <c r="F92" i="16"/>
  <c r="G92" i="16"/>
  <c r="E92" i="31"/>
  <c r="F92" i="31"/>
  <c r="G92" i="31"/>
  <c r="K104" i="3"/>
  <c r="L104" i="3"/>
  <c r="E128" i="2" l="1"/>
  <c r="F128" i="2"/>
  <c r="G128" i="2"/>
  <c r="E91" i="5"/>
  <c r="F91" i="5"/>
  <c r="G91" i="5" s="1"/>
  <c r="E91" i="6"/>
  <c r="F91" i="6"/>
  <c r="G91" i="6"/>
  <c r="E91" i="7"/>
  <c r="F91" i="7"/>
  <c r="G91" i="7"/>
  <c r="E91" i="8"/>
  <c r="F91" i="8"/>
  <c r="G91" i="8"/>
  <c r="E91" i="9"/>
  <c r="F91" i="9"/>
  <c r="G91" i="9"/>
  <c r="E91" i="10"/>
  <c r="G91" i="10" s="1"/>
  <c r="F91" i="10"/>
  <c r="E91" i="11"/>
  <c r="F91" i="11"/>
  <c r="G91" i="11"/>
  <c r="E91" i="12"/>
  <c r="F91" i="12"/>
  <c r="G91" i="12"/>
  <c r="E91" i="13"/>
  <c r="F91" i="13"/>
  <c r="G91" i="13" s="1"/>
  <c r="E91" i="14"/>
  <c r="F91" i="14"/>
  <c r="G91" i="14"/>
  <c r="E91" i="15"/>
  <c r="F91" i="15"/>
  <c r="G91" i="15"/>
  <c r="E91" i="19"/>
  <c r="F91" i="19"/>
  <c r="G91" i="19"/>
  <c r="E91" i="20"/>
  <c r="F91" i="20"/>
  <c r="G91" i="20"/>
  <c r="E91" i="21"/>
  <c r="F91" i="21"/>
  <c r="G91" i="21"/>
  <c r="E91" i="22"/>
  <c r="F91" i="22"/>
  <c r="G91" i="22" s="1"/>
  <c r="E91" i="23"/>
  <c r="F91" i="23"/>
  <c r="G91" i="23"/>
  <c r="E91" i="24"/>
  <c r="F91" i="24"/>
  <c r="G91" i="24"/>
  <c r="E91" i="25"/>
  <c r="F91" i="25"/>
  <c r="G91" i="25"/>
  <c r="E91" i="17"/>
  <c r="F91" i="17"/>
  <c r="G91" i="17"/>
  <c r="E91" i="26"/>
  <c r="G91" i="26" s="1"/>
  <c r="F91" i="26"/>
  <c r="E91" i="27"/>
  <c r="F91" i="27"/>
  <c r="G91" i="27"/>
  <c r="E91" i="28"/>
  <c r="F91" i="28"/>
  <c r="G91" i="28"/>
  <c r="E91" i="18"/>
  <c r="F91" i="18"/>
  <c r="G91" i="18"/>
  <c r="E91" i="29"/>
  <c r="F91" i="29"/>
  <c r="G91" i="29"/>
  <c r="E91" i="30"/>
  <c r="F91" i="30"/>
  <c r="G91" i="30"/>
  <c r="E91" i="16"/>
  <c r="F91" i="16"/>
  <c r="G91" i="16"/>
  <c r="E91" i="31"/>
  <c r="F91" i="31"/>
  <c r="G91" i="31"/>
  <c r="K103" i="3"/>
  <c r="L103" i="3"/>
  <c r="E127" i="2"/>
  <c r="F127" i="2"/>
  <c r="G127" i="2" s="1"/>
  <c r="E90" i="5"/>
  <c r="F90" i="5"/>
  <c r="G90" i="5"/>
  <c r="E90" i="6"/>
  <c r="F90" i="6"/>
  <c r="G90" i="6"/>
  <c r="E90" i="7"/>
  <c r="F90" i="7"/>
  <c r="G90" i="7"/>
  <c r="E90" i="8"/>
  <c r="F90" i="8"/>
  <c r="G90" i="8"/>
  <c r="E90" i="9"/>
  <c r="F90" i="9"/>
  <c r="G90" i="9" s="1"/>
  <c r="E90" i="10"/>
  <c r="F90" i="10"/>
  <c r="G90" i="10"/>
  <c r="E90" i="11"/>
  <c r="F90" i="11"/>
  <c r="G90" i="11" s="1"/>
  <c r="E90" i="12"/>
  <c r="F90" i="12"/>
  <c r="G90" i="12"/>
  <c r="E90" i="13"/>
  <c r="F90" i="13"/>
  <c r="G90" i="13"/>
  <c r="E90" i="14"/>
  <c r="G90" i="14" s="1"/>
  <c r="F90" i="14"/>
  <c r="E90" i="15"/>
  <c r="F90" i="15"/>
  <c r="G90" i="15" s="1"/>
  <c r="E90" i="19"/>
  <c r="G90" i="19" s="1"/>
  <c r="F90" i="19"/>
  <c r="E90" i="20"/>
  <c r="F90" i="20"/>
  <c r="G90" i="20" s="1"/>
  <c r="E90" i="21"/>
  <c r="F90" i="21"/>
  <c r="G90" i="21"/>
  <c r="E90" i="22"/>
  <c r="F90" i="22"/>
  <c r="G90" i="22"/>
  <c r="E90" i="23"/>
  <c r="F90" i="23"/>
  <c r="G90" i="23"/>
  <c r="E90" i="24"/>
  <c r="F90" i="24"/>
  <c r="G90" i="24"/>
  <c r="E90" i="25"/>
  <c r="F90" i="25"/>
  <c r="G90" i="25"/>
  <c r="E90" i="17"/>
  <c r="F90" i="17"/>
  <c r="G90" i="17" s="1"/>
  <c r="E90" i="26"/>
  <c r="F90" i="26"/>
  <c r="G90" i="26"/>
  <c r="E90" i="27"/>
  <c r="F90" i="27"/>
  <c r="G90" i="27" s="1"/>
  <c r="E90" i="28"/>
  <c r="F90" i="28"/>
  <c r="G90" i="28"/>
  <c r="E90" i="18"/>
  <c r="F90" i="18"/>
  <c r="G90" i="18"/>
  <c r="E90" i="29"/>
  <c r="G90" i="29" s="1"/>
  <c r="F90" i="29"/>
  <c r="E90" i="30"/>
  <c r="F90" i="30"/>
  <c r="G90" i="30" s="1"/>
  <c r="E90" i="16"/>
  <c r="F90" i="16"/>
  <c r="G90" i="16"/>
  <c r="E90" i="31"/>
  <c r="F90" i="31"/>
  <c r="G90" i="31"/>
  <c r="K102" i="3"/>
  <c r="L102" i="3"/>
  <c r="E126" i="2" l="1"/>
  <c r="F126" i="2"/>
  <c r="G126" i="2"/>
  <c r="E89" i="5"/>
  <c r="G89" i="5" s="1"/>
  <c r="F89" i="5"/>
  <c r="E89" i="6"/>
  <c r="F89" i="6"/>
  <c r="G89" i="6" s="1"/>
  <c r="E89" i="7"/>
  <c r="G89" i="7" s="1"/>
  <c r="F89" i="7"/>
  <c r="E89" i="8"/>
  <c r="F89" i="8"/>
  <c r="E89" i="9"/>
  <c r="F89" i="9"/>
  <c r="E89" i="10"/>
  <c r="F89" i="10"/>
  <c r="E89" i="11"/>
  <c r="F89" i="11"/>
  <c r="G89" i="11" s="1"/>
  <c r="E89" i="12"/>
  <c r="F89" i="12"/>
  <c r="G89" i="12"/>
  <c r="E89" i="13"/>
  <c r="F89" i="13"/>
  <c r="G89" i="13"/>
  <c r="E89" i="14"/>
  <c r="F89" i="14"/>
  <c r="G89" i="14" s="1"/>
  <c r="E89" i="15"/>
  <c r="F89" i="15"/>
  <c r="E89" i="19"/>
  <c r="F89" i="19"/>
  <c r="G89" i="19" s="1"/>
  <c r="E89" i="20"/>
  <c r="F89" i="20"/>
  <c r="G89" i="20" s="1"/>
  <c r="E89" i="21"/>
  <c r="F89" i="21"/>
  <c r="G89" i="21" s="1"/>
  <c r="E89" i="22"/>
  <c r="F89" i="22"/>
  <c r="G89" i="22"/>
  <c r="E89" i="23"/>
  <c r="F89" i="23"/>
  <c r="G89" i="23"/>
  <c r="E89" i="24"/>
  <c r="F89" i="24"/>
  <c r="G89" i="24"/>
  <c r="E89" i="25"/>
  <c r="G89" i="25" s="1"/>
  <c r="F89" i="25"/>
  <c r="E89" i="17"/>
  <c r="F89" i="17"/>
  <c r="G89" i="17"/>
  <c r="E89" i="26"/>
  <c r="F89" i="26"/>
  <c r="G89" i="26" s="1"/>
  <c r="E89" i="27"/>
  <c r="F89" i="27"/>
  <c r="G89" i="27"/>
  <c r="E89" i="28"/>
  <c r="F89" i="28"/>
  <c r="G89" i="28"/>
  <c r="E89" i="18"/>
  <c r="F89" i="18"/>
  <c r="G89" i="18" s="1"/>
  <c r="E89" i="29"/>
  <c r="F89" i="29"/>
  <c r="G89" i="29"/>
  <c r="E89" i="30"/>
  <c r="F89" i="30"/>
  <c r="E89" i="16"/>
  <c r="F89" i="16"/>
  <c r="G89" i="16"/>
  <c r="E89" i="31"/>
  <c r="F89" i="31"/>
  <c r="G89" i="31" s="1"/>
  <c r="K101" i="3"/>
  <c r="L101" i="3"/>
  <c r="G89" i="9" l="1"/>
  <c r="G89" i="8"/>
  <c r="G89" i="15"/>
  <c r="G89" i="10"/>
  <c r="G89" i="30"/>
  <c r="E125" i="2"/>
  <c r="F125" i="2"/>
  <c r="K100" i="3"/>
  <c r="E88" i="5"/>
  <c r="F88" i="5"/>
  <c r="G88" i="5" s="1"/>
  <c r="E88" i="6"/>
  <c r="F88" i="6"/>
  <c r="G88" i="6" s="1"/>
  <c r="E88" i="7"/>
  <c r="F88" i="7"/>
  <c r="G88" i="7" s="1"/>
  <c r="E88" i="8"/>
  <c r="F88" i="8"/>
  <c r="G88" i="8"/>
  <c r="E88" i="9"/>
  <c r="F88" i="9"/>
  <c r="G88" i="9" s="1"/>
  <c r="E88" i="10"/>
  <c r="F88" i="10"/>
  <c r="G88" i="10"/>
  <c r="E88" i="11"/>
  <c r="F88" i="11"/>
  <c r="G88" i="11"/>
  <c r="E88" i="12"/>
  <c r="F88" i="12"/>
  <c r="G88" i="12"/>
  <c r="E88" i="13"/>
  <c r="F88" i="13"/>
  <c r="G88" i="13"/>
  <c r="E88" i="14"/>
  <c r="F88" i="14"/>
  <c r="G88" i="14" s="1"/>
  <c r="E88" i="15"/>
  <c r="F88" i="15"/>
  <c r="G88" i="15"/>
  <c r="E88" i="19"/>
  <c r="F88" i="19"/>
  <c r="G88" i="19"/>
  <c r="E88" i="20"/>
  <c r="F88" i="20"/>
  <c r="G88" i="20"/>
  <c r="E88" i="21"/>
  <c r="F88" i="21"/>
  <c r="G88" i="21" s="1"/>
  <c r="E88" i="22"/>
  <c r="F88" i="22"/>
  <c r="G88" i="22" s="1"/>
  <c r="E88" i="23"/>
  <c r="F88" i="23"/>
  <c r="G88" i="23"/>
  <c r="E88" i="24"/>
  <c r="F88" i="24"/>
  <c r="G88" i="24"/>
  <c r="E88" i="25"/>
  <c r="F88" i="25"/>
  <c r="G88" i="25"/>
  <c r="E88" i="17"/>
  <c r="F88" i="17"/>
  <c r="E88" i="26"/>
  <c r="F88" i="26"/>
  <c r="G88" i="26"/>
  <c r="E88" i="27"/>
  <c r="F88" i="27"/>
  <c r="G88" i="27"/>
  <c r="E88" i="28"/>
  <c r="F88" i="28"/>
  <c r="G88" i="28" s="1"/>
  <c r="E88" i="18"/>
  <c r="F88" i="18"/>
  <c r="G88" i="18" s="1"/>
  <c r="E88" i="29"/>
  <c r="F88" i="29"/>
  <c r="E88" i="30"/>
  <c r="F88" i="30"/>
  <c r="G88" i="30" s="1"/>
  <c r="E88" i="16"/>
  <c r="F88" i="16"/>
  <c r="G88" i="16"/>
  <c r="E88" i="31"/>
  <c r="F88" i="31"/>
  <c r="L100" i="3"/>
  <c r="G88" i="29" l="1"/>
  <c r="G88" i="31"/>
  <c r="G88" i="17"/>
  <c r="G125" i="2"/>
  <c r="E124" i="2"/>
  <c r="F124" i="2"/>
  <c r="K99" i="3"/>
  <c r="L99" i="3"/>
  <c r="E123" i="2"/>
  <c r="F123" i="2"/>
  <c r="G123" i="2"/>
  <c r="K98" i="3"/>
  <c r="L98" i="3"/>
  <c r="E122" i="2"/>
  <c r="F122" i="2"/>
  <c r="G122" i="2" s="1"/>
  <c r="K97" i="3"/>
  <c r="L97" i="3"/>
  <c r="G124" i="2" l="1"/>
  <c r="E121" i="2"/>
  <c r="F121" i="2"/>
  <c r="G121" i="2"/>
  <c r="K96" i="3"/>
  <c r="L96" i="3"/>
  <c r="F87" i="9" l="1"/>
  <c r="E87" i="9"/>
  <c r="F86" i="9"/>
  <c r="E86" i="9"/>
  <c r="F85" i="9"/>
  <c r="G85" i="9" s="1"/>
  <c r="E85" i="9"/>
  <c r="F84" i="9"/>
  <c r="E84" i="9"/>
  <c r="F87" i="8"/>
  <c r="E87" i="8"/>
  <c r="G87" i="8" s="1"/>
  <c r="F86" i="8"/>
  <c r="E86" i="8"/>
  <c r="F85" i="8"/>
  <c r="G85" i="8" s="1"/>
  <c r="E85" i="8"/>
  <c r="F84" i="8"/>
  <c r="E84" i="8"/>
  <c r="F87" i="7"/>
  <c r="G87" i="7" s="1"/>
  <c r="E87" i="7"/>
  <c r="F86" i="7"/>
  <c r="G86" i="7" s="1"/>
  <c r="E86" i="7"/>
  <c r="F85" i="7"/>
  <c r="G85" i="7" s="1"/>
  <c r="E85" i="7"/>
  <c r="F84" i="7"/>
  <c r="E84" i="7"/>
  <c r="F87" i="6"/>
  <c r="E87" i="6"/>
  <c r="F86" i="6"/>
  <c r="G86" i="6" s="1"/>
  <c r="E86" i="6"/>
  <c r="F85" i="6"/>
  <c r="G85" i="6" s="1"/>
  <c r="E85" i="6"/>
  <c r="F84" i="6"/>
  <c r="E84" i="6"/>
  <c r="F87" i="5"/>
  <c r="E87" i="5"/>
  <c r="F86" i="5"/>
  <c r="E86" i="5"/>
  <c r="F85" i="5"/>
  <c r="E85" i="5"/>
  <c r="F84" i="5"/>
  <c r="G84" i="5" s="1"/>
  <c r="E84" i="5"/>
  <c r="E84" i="31"/>
  <c r="F87" i="31"/>
  <c r="G87" i="31" s="1"/>
  <c r="E87" i="31"/>
  <c r="F86" i="31"/>
  <c r="G86" i="31" s="1"/>
  <c r="E86" i="31"/>
  <c r="F85" i="31"/>
  <c r="G85" i="31" s="1"/>
  <c r="E85" i="31"/>
  <c r="F84" i="31"/>
  <c r="G84" i="31" s="1"/>
  <c r="F87" i="16"/>
  <c r="E87" i="16"/>
  <c r="F86" i="16"/>
  <c r="G86" i="16" s="1"/>
  <c r="E86" i="16"/>
  <c r="F85" i="16"/>
  <c r="G85" i="16" s="1"/>
  <c r="E85" i="16"/>
  <c r="F84" i="16"/>
  <c r="G84" i="16" s="1"/>
  <c r="E84" i="16"/>
  <c r="F87" i="30"/>
  <c r="E87" i="30"/>
  <c r="F86" i="30"/>
  <c r="E86" i="30"/>
  <c r="F85" i="30"/>
  <c r="E85" i="30"/>
  <c r="F84" i="30"/>
  <c r="G84" i="30" s="1"/>
  <c r="E84" i="30"/>
  <c r="F87" i="29"/>
  <c r="E87" i="29"/>
  <c r="F86" i="29"/>
  <c r="G86" i="29" s="1"/>
  <c r="E86" i="29"/>
  <c r="F85" i="29"/>
  <c r="G85" i="29" s="1"/>
  <c r="E85" i="29"/>
  <c r="F84" i="29"/>
  <c r="E84" i="29"/>
  <c r="F87" i="18"/>
  <c r="E87" i="18"/>
  <c r="F86" i="18"/>
  <c r="E86" i="18"/>
  <c r="F85" i="18"/>
  <c r="G85" i="18" s="1"/>
  <c r="E85" i="18"/>
  <c r="F84" i="18"/>
  <c r="E84" i="18"/>
  <c r="F87" i="28"/>
  <c r="E87" i="28"/>
  <c r="F86" i="28"/>
  <c r="E86" i="28"/>
  <c r="F85" i="28"/>
  <c r="E85" i="28"/>
  <c r="F84" i="28"/>
  <c r="G84" i="28" s="1"/>
  <c r="E84" i="28"/>
  <c r="F87" i="27"/>
  <c r="G87" i="27" s="1"/>
  <c r="E87" i="27"/>
  <c r="F86" i="27"/>
  <c r="G86" i="27" s="1"/>
  <c r="E86" i="27"/>
  <c r="F85" i="27"/>
  <c r="G85" i="27" s="1"/>
  <c r="E85" i="27"/>
  <c r="F84" i="27"/>
  <c r="G84" i="27" s="1"/>
  <c r="E84" i="27"/>
  <c r="F87" i="26"/>
  <c r="E87" i="26"/>
  <c r="F86" i="26"/>
  <c r="E86" i="26"/>
  <c r="F85" i="26"/>
  <c r="G85" i="26" s="1"/>
  <c r="E85" i="26"/>
  <c r="F84" i="26"/>
  <c r="G84" i="26" s="1"/>
  <c r="E84" i="26"/>
  <c r="F87" i="17"/>
  <c r="E87" i="17"/>
  <c r="F86" i="17"/>
  <c r="G86" i="17" s="1"/>
  <c r="E86" i="17"/>
  <c r="F85" i="17"/>
  <c r="G85" i="17" s="1"/>
  <c r="E85" i="17"/>
  <c r="F84" i="17"/>
  <c r="G84" i="17" s="1"/>
  <c r="E84" i="17"/>
  <c r="F87" i="25"/>
  <c r="E87" i="25"/>
  <c r="F86" i="25"/>
  <c r="G86" i="25" s="1"/>
  <c r="E86" i="25"/>
  <c r="F85" i="25"/>
  <c r="G85" i="25" s="1"/>
  <c r="E85" i="25"/>
  <c r="F84" i="25"/>
  <c r="E84" i="25"/>
  <c r="F87" i="24"/>
  <c r="E87" i="24"/>
  <c r="F86" i="24"/>
  <c r="E86" i="24"/>
  <c r="F85" i="24"/>
  <c r="G85" i="24" s="1"/>
  <c r="E85" i="24"/>
  <c r="F84" i="24"/>
  <c r="G84" i="24" s="1"/>
  <c r="E84" i="24"/>
  <c r="F87" i="23"/>
  <c r="E87" i="23"/>
  <c r="F86" i="23"/>
  <c r="E86" i="23"/>
  <c r="F85" i="23"/>
  <c r="G85" i="23" s="1"/>
  <c r="E85" i="23"/>
  <c r="F84" i="23"/>
  <c r="G84" i="23" s="1"/>
  <c r="E84" i="23"/>
  <c r="F87" i="22"/>
  <c r="G87" i="22" s="1"/>
  <c r="E87" i="22"/>
  <c r="F86" i="22"/>
  <c r="E86" i="22"/>
  <c r="F85" i="22"/>
  <c r="E85" i="22"/>
  <c r="F84" i="22"/>
  <c r="G84" i="22" s="1"/>
  <c r="E84" i="22"/>
  <c r="F87" i="21"/>
  <c r="E87" i="21"/>
  <c r="F86" i="21"/>
  <c r="G86" i="21" s="1"/>
  <c r="E86" i="21"/>
  <c r="F85" i="21"/>
  <c r="G85" i="21" s="1"/>
  <c r="E85" i="21"/>
  <c r="F84" i="21"/>
  <c r="E84" i="21"/>
  <c r="F87" i="20"/>
  <c r="G87" i="20" s="1"/>
  <c r="E87" i="20"/>
  <c r="F86" i="20"/>
  <c r="G86" i="20" s="1"/>
  <c r="E86" i="20"/>
  <c r="F85" i="20"/>
  <c r="G85" i="20" s="1"/>
  <c r="E85" i="20"/>
  <c r="F84" i="20"/>
  <c r="G84" i="20" s="1"/>
  <c r="E84" i="20"/>
  <c r="F87" i="19"/>
  <c r="E87" i="19"/>
  <c r="F86" i="19"/>
  <c r="G86" i="19" s="1"/>
  <c r="E86" i="19"/>
  <c r="F85" i="19"/>
  <c r="G85" i="19" s="1"/>
  <c r="E85" i="19"/>
  <c r="F84" i="19"/>
  <c r="E84" i="19"/>
  <c r="F87" i="15"/>
  <c r="G87" i="15" s="1"/>
  <c r="E87" i="15"/>
  <c r="F86" i="15"/>
  <c r="G86" i="15" s="1"/>
  <c r="E86" i="15"/>
  <c r="F85" i="15"/>
  <c r="G85" i="15" s="1"/>
  <c r="E85" i="15"/>
  <c r="F84" i="15"/>
  <c r="G84" i="15" s="1"/>
  <c r="E84" i="15"/>
  <c r="F87" i="14"/>
  <c r="G87" i="14" s="1"/>
  <c r="E87" i="14"/>
  <c r="F86" i="14"/>
  <c r="E86" i="14"/>
  <c r="F85" i="14"/>
  <c r="G85" i="14" s="1"/>
  <c r="E85" i="14"/>
  <c r="F84" i="14"/>
  <c r="G84" i="14" s="1"/>
  <c r="E84" i="14"/>
  <c r="F87" i="13"/>
  <c r="E87" i="13"/>
  <c r="F86" i="13"/>
  <c r="E86" i="13"/>
  <c r="F85" i="13"/>
  <c r="G85" i="13" s="1"/>
  <c r="E85" i="13"/>
  <c r="F84" i="13"/>
  <c r="E84" i="13"/>
  <c r="F87" i="12"/>
  <c r="E87" i="12"/>
  <c r="F86" i="12"/>
  <c r="G86" i="12" s="1"/>
  <c r="E86" i="12"/>
  <c r="F85" i="12"/>
  <c r="G85" i="12" s="1"/>
  <c r="E85" i="12"/>
  <c r="F84" i="12"/>
  <c r="G84" i="12" s="1"/>
  <c r="E84" i="12"/>
  <c r="F87" i="11"/>
  <c r="E87" i="11"/>
  <c r="F86" i="11"/>
  <c r="E86" i="11"/>
  <c r="F85" i="11"/>
  <c r="G85" i="11" s="1"/>
  <c r="E85" i="11"/>
  <c r="F84" i="11"/>
  <c r="G84" i="11" s="1"/>
  <c r="E84" i="11"/>
  <c r="E85" i="10"/>
  <c r="F85" i="10"/>
  <c r="G85" i="10" s="1"/>
  <c r="E86" i="10"/>
  <c r="F86" i="10"/>
  <c r="G86" i="10" s="1"/>
  <c r="E87" i="10"/>
  <c r="F87" i="10"/>
  <c r="G87" i="10" s="1"/>
  <c r="F84" i="10"/>
  <c r="G84" i="10" s="1"/>
  <c r="E84" i="10"/>
  <c r="E120" i="2"/>
  <c r="F120" i="2"/>
  <c r="G120" i="2" s="1"/>
  <c r="G87" i="18" l="1"/>
  <c r="G87" i="26"/>
  <c r="G87" i="12"/>
  <c r="G86" i="30"/>
  <c r="G86" i="18"/>
  <c r="G86" i="28"/>
  <c r="G86" i="26"/>
  <c r="G86" i="24"/>
  <c r="G86" i="23"/>
  <c r="G86" i="22"/>
  <c r="G86" i="14"/>
  <c r="G86" i="13"/>
  <c r="G86" i="11"/>
  <c r="G86" i="9"/>
  <c r="G86" i="8"/>
  <c r="G86" i="5"/>
  <c r="G87" i="24"/>
  <c r="G87" i="29"/>
  <c r="G87" i="17"/>
  <c r="G87" i="6"/>
  <c r="G87" i="19"/>
  <c r="G87" i="16"/>
  <c r="G87" i="13"/>
  <c r="G87" i="21"/>
  <c r="G87" i="5"/>
  <c r="G87" i="23"/>
  <c r="G87" i="28"/>
  <c r="G87" i="11"/>
  <c r="G87" i="25"/>
  <c r="G87" i="30"/>
  <c r="G87" i="9"/>
  <c r="G85" i="30"/>
  <c r="G85" i="28"/>
  <c r="G85" i="22"/>
  <c r="G84" i="29"/>
  <c r="G84" i="18"/>
  <c r="G84" i="25"/>
  <c r="G84" i="21"/>
  <c r="G84" i="19"/>
  <c r="G84" i="13"/>
  <c r="G84" i="9"/>
  <c r="G84" i="8"/>
  <c r="G84" i="7"/>
  <c r="G84" i="6"/>
  <c r="G85" i="5"/>
  <c r="E83" i="31"/>
  <c r="F83" i="31"/>
  <c r="G83" i="31" s="1"/>
  <c r="E83" i="16"/>
  <c r="F83" i="16"/>
  <c r="G83" i="16" s="1"/>
  <c r="E83" i="30"/>
  <c r="F83" i="30"/>
  <c r="G83" i="30" s="1"/>
  <c r="E83" i="29"/>
  <c r="F83" i="29"/>
  <c r="G83" i="29"/>
  <c r="E83" i="18"/>
  <c r="F83" i="18"/>
  <c r="G83" i="18"/>
  <c r="E83" i="28"/>
  <c r="F83" i="28"/>
  <c r="G83" i="28"/>
  <c r="E83" i="27"/>
  <c r="F83" i="27"/>
  <c r="G83" i="27" s="1"/>
  <c r="E83" i="26"/>
  <c r="F83" i="26"/>
  <c r="G83" i="26" s="1"/>
  <c r="E83" i="17"/>
  <c r="F83" i="17"/>
  <c r="G83" i="17" s="1"/>
  <c r="E83" i="25"/>
  <c r="F83" i="25"/>
  <c r="G83" i="25" s="1"/>
  <c r="E83" i="24"/>
  <c r="F83" i="24"/>
  <c r="G83" i="24" s="1"/>
  <c r="E83" i="23"/>
  <c r="F83" i="23"/>
  <c r="G83" i="23" s="1"/>
  <c r="E83" i="22"/>
  <c r="F83" i="22"/>
  <c r="G83" i="22"/>
  <c r="E83" i="21"/>
  <c r="F83" i="21"/>
  <c r="G83" i="21" s="1"/>
  <c r="E83" i="20"/>
  <c r="F83" i="20"/>
  <c r="G83" i="20" s="1"/>
  <c r="E83" i="19"/>
  <c r="F83" i="19"/>
  <c r="G83" i="19" s="1"/>
  <c r="E83" i="15"/>
  <c r="F83" i="15"/>
  <c r="G83" i="15" s="1"/>
  <c r="E83" i="14"/>
  <c r="F83" i="14"/>
  <c r="G83" i="14" s="1"/>
  <c r="E83" i="13"/>
  <c r="F83" i="13"/>
  <c r="G83" i="13" s="1"/>
  <c r="E83" i="12"/>
  <c r="F83" i="12"/>
  <c r="G83" i="12"/>
  <c r="E83" i="11"/>
  <c r="F83" i="11"/>
  <c r="G83" i="11"/>
  <c r="E83" i="10"/>
  <c r="F83" i="10"/>
  <c r="G83" i="10" s="1"/>
  <c r="E83" i="9"/>
  <c r="F83" i="9"/>
  <c r="G83" i="9" s="1"/>
  <c r="E83" i="8"/>
  <c r="F83" i="8"/>
  <c r="G83" i="8" s="1"/>
  <c r="E83" i="7"/>
  <c r="F83" i="7"/>
  <c r="G83" i="7" s="1"/>
  <c r="E83" i="6"/>
  <c r="F83" i="6"/>
  <c r="G83" i="6"/>
  <c r="E83" i="5"/>
  <c r="F83" i="5"/>
  <c r="G83" i="5"/>
  <c r="K95" i="3"/>
  <c r="L95" i="3"/>
  <c r="E119" i="2" l="1"/>
  <c r="F119" i="2"/>
  <c r="G119" i="2" s="1"/>
  <c r="E82" i="31"/>
  <c r="F82" i="31"/>
  <c r="G82" i="31" s="1"/>
  <c r="E82" i="16"/>
  <c r="F82" i="16"/>
  <c r="G82" i="16" s="1"/>
  <c r="E82" i="30"/>
  <c r="F82" i="30"/>
  <c r="G82" i="30"/>
  <c r="E82" i="29"/>
  <c r="F82" i="29"/>
  <c r="G82" i="29" s="1"/>
  <c r="E82" i="18"/>
  <c r="F82" i="18"/>
  <c r="G82" i="18"/>
  <c r="E82" i="28"/>
  <c r="F82" i="28"/>
  <c r="G82" i="28" s="1"/>
  <c r="E82" i="27"/>
  <c r="F82" i="27"/>
  <c r="G82" i="27"/>
  <c r="E82" i="26"/>
  <c r="G82" i="26" s="1"/>
  <c r="F82" i="26"/>
  <c r="E82" i="17" l="1"/>
  <c r="G82" i="17" s="1"/>
  <c r="F82" i="17"/>
  <c r="E82" i="25"/>
  <c r="F82" i="25"/>
  <c r="G82" i="25" s="1"/>
  <c r="E82" i="24"/>
  <c r="F82" i="24"/>
  <c r="G82" i="24" s="1"/>
  <c r="E82" i="23"/>
  <c r="F82" i="23"/>
  <c r="G82" i="23" s="1"/>
  <c r="E82" i="22"/>
  <c r="F82" i="22"/>
  <c r="G82" i="22" s="1"/>
  <c r="E82" i="21"/>
  <c r="F82" i="21"/>
  <c r="G82" i="21" s="1"/>
  <c r="E82" i="20"/>
  <c r="F82" i="20"/>
  <c r="G82" i="20" s="1"/>
  <c r="E82" i="19"/>
  <c r="F82" i="19"/>
  <c r="G82" i="19" s="1"/>
  <c r="E82" i="15"/>
  <c r="F82" i="15"/>
  <c r="G82" i="15"/>
  <c r="E82" i="14"/>
  <c r="F82" i="14"/>
  <c r="G82" i="14"/>
  <c r="E82" i="13"/>
  <c r="G82" i="13" s="1"/>
  <c r="F82" i="13"/>
  <c r="E82" i="12"/>
  <c r="F82" i="12"/>
  <c r="G82" i="12" s="1"/>
  <c r="E82" i="11"/>
  <c r="F82" i="11"/>
  <c r="G82" i="11" s="1"/>
  <c r="E82" i="10"/>
  <c r="F82" i="10"/>
  <c r="G82" i="10"/>
  <c r="E82" i="9"/>
  <c r="F82" i="9"/>
  <c r="G82" i="9" s="1"/>
  <c r="E82" i="8"/>
  <c r="G82" i="8" s="1"/>
  <c r="F82" i="8"/>
  <c r="E82" i="7"/>
  <c r="G82" i="7" s="1"/>
  <c r="F82" i="7"/>
  <c r="E82" i="6"/>
  <c r="F82" i="6"/>
  <c r="G82" i="6" s="1"/>
  <c r="E82" i="5"/>
  <c r="F82" i="5"/>
  <c r="G82" i="5" s="1"/>
  <c r="K94" i="3"/>
  <c r="L94" i="3"/>
  <c r="E118" i="2" l="1"/>
  <c r="F118" i="2"/>
  <c r="G118" i="2" s="1"/>
  <c r="K93" i="3"/>
  <c r="L93" i="3"/>
  <c r="E81" i="31" l="1"/>
  <c r="G81" i="31" s="1"/>
  <c r="F81" i="31"/>
  <c r="E81" i="16"/>
  <c r="F81" i="16"/>
  <c r="G81" i="16"/>
  <c r="E81" i="30"/>
  <c r="F81" i="30"/>
  <c r="G81" i="30" s="1"/>
  <c r="E81" i="29"/>
  <c r="F81" i="29"/>
  <c r="G81" i="29"/>
  <c r="E81" i="18"/>
  <c r="F81" i="18"/>
  <c r="G81" i="18"/>
  <c r="E81" i="28"/>
  <c r="F81" i="28"/>
  <c r="G81" i="28" s="1"/>
  <c r="E81" i="27"/>
  <c r="F81" i="27"/>
  <c r="G81" i="27"/>
  <c r="E81" i="26"/>
  <c r="F81" i="26"/>
  <c r="G81" i="26"/>
  <c r="E81" i="17"/>
  <c r="F81" i="17"/>
  <c r="G81" i="17" s="1"/>
  <c r="E81" i="25"/>
  <c r="F81" i="25"/>
  <c r="G81" i="25"/>
  <c r="E81" i="24"/>
  <c r="F81" i="24"/>
  <c r="G81" i="24"/>
  <c r="E81" i="23"/>
  <c r="F81" i="23"/>
  <c r="G81" i="23"/>
  <c r="E81" i="22"/>
  <c r="F81" i="22"/>
  <c r="G81" i="22"/>
  <c r="E81" i="21"/>
  <c r="F81" i="21"/>
  <c r="G81" i="21"/>
  <c r="E81" i="20"/>
  <c r="F81" i="20"/>
  <c r="G81" i="20"/>
  <c r="E81" i="19"/>
  <c r="F81" i="19"/>
  <c r="G81" i="19" s="1"/>
  <c r="E81" i="15"/>
  <c r="F81" i="15"/>
  <c r="G81" i="15" s="1"/>
  <c r="E81" i="14"/>
  <c r="F81" i="14"/>
  <c r="G81" i="14" s="1"/>
  <c r="E81" i="13"/>
  <c r="F81" i="13"/>
  <c r="G81" i="13"/>
  <c r="E81" i="12"/>
  <c r="F81" i="12"/>
  <c r="G81" i="12" s="1"/>
  <c r="E81" i="11"/>
  <c r="F81" i="11"/>
  <c r="G81" i="11"/>
  <c r="E81" i="10"/>
  <c r="G81" i="10" s="1"/>
  <c r="F81" i="10"/>
  <c r="E81" i="9"/>
  <c r="F81" i="9"/>
  <c r="G81" i="9"/>
  <c r="E81" i="8"/>
  <c r="F81" i="8"/>
  <c r="G81" i="8"/>
  <c r="E81" i="7"/>
  <c r="F81" i="7"/>
  <c r="G81" i="7" s="1"/>
  <c r="E81" i="6"/>
  <c r="F81" i="6"/>
  <c r="G81" i="6"/>
  <c r="E81" i="5"/>
  <c r="F81" i="5"/>
  <c r="G81" i="5"/>
  <c r="E117" i="2" l="1"/>
  <c r="F117" i="2"/>
  <c r="G117" i="2"/>
  <c r="E80" i="31"/>
  <c r="F80" i="31"/>
  <c r="G80" i="31"/>
  <c r="E80" i="16"/>
  <c r="F80" i="16"/>
  <c r="G80" i="16" s="1"/>
  <c r="E80" i="30"/>
  <c r="F80" i="30"/>
  <c r="G80" i="30" s="1"/>
  <c r="E80" i="29"/>
  <c r="F80" i="29"/>
  <c r="G80" i="29" s="1"/>
  <c r="E80" i="18"/>
  <c r="F80" i="18"/>
  <c r="G80" i="18" s="1"/>
  <c r="E80" i="28"/>
  <c r="F80" i="28"/>
  <c r="G80" i="28" s="1"/>
  <c r="E80" i="27"/>
  <c r="F80" i="27"/>
  <c r="G80" i="27" s="1"/>
  <c r="E80" i="26"/>
  <c r="F80" i="26"/>
  <c r="G80" i="26" s="1"/>
  <c r="E80" i="17"/>
  <c r="F80" i="17"/>
  <c r="G80" i="17"/>
  <c r="E80" i="25"/>
  <c r="F80" i="25"/>
  <c r="G80" i="25"/>
  <c r="E80" i="24"/>
  <c r="F80" i="24"/>
  <c r="G80" i="24"/>
  <c r="E80" i="23"/>
  <c r="F80" i="23"/>
  <c r="G80" i="23"/>
  <c r="E80" i="22"/>
  <c r="F80" i="22"/>
  <c r="G80" i="22" s="1"/>
  <c r="E80" i="21"/>
  <c r="F80" i="21"/>
  <c r="G80" i="21" s="1"/>
  <c r="E80" i="20"/>
  <c r="F80" i="20"/>
  <c r="G80" i="20"/>
  <c r="E80" i="19"/>
  <c r="F80" i="19"/>
  <c r="G80" i="19" s="1"/>
  <c r="E80" i="15"/>
  <c r="F80" i="15"/>
  <c r="G80" i="15"/>
  <c r="E80" i="14"/>
  <c r="F80" i="14"/>
  <c r="G80" i="14"/>
  <c r="E80" i="13"/>
  <c r="F80" i="13"/>
  <c r="G80" i="13" s="1"/>
  <c r="E80" i="12"/>
  <c r="F80" i="12"/>
  <c r="G80" i="12" s="1"/>
  <c r="E80" i="11"/>
  <c r="F80" i="11"/>
  <c r="G80" i="11" s="1"/>
  <c r="E80" i="10"/>
  <c r="F80" i="10"/>
  <c r="G80" i="10"/>
  <c r="E80" i="9"/>
  <c r="F80" i="9"/>
  <c r="G80" i="9"/>
  <c r="E80" i="8"/>
  <c r="F80" i="8"/>
  <c r="G80" i="8"/>
  <c r="E80" i="7"/>
  <c r="F80" i="7"/>
  <c r="G80" i="7" s="1"/>
  <c r="E80" i="6"/>
  <c r="F80" i="6"/>
  <c r="G80" i="6"/>
  <c r="E80" i="5"/>
  <c r="F80" i="5"/>
  <c r="G80" i="5" s="1"/>
  <c r="K92" i="3"/>
  <c r="L92" i="3"/>
  <c r="E116" i="2" l="1"/>
  <c r="F116" i="2"/>
  <c r="G116" i="2" s="1"/>
  <c r="E79" i="31"/>
  <c r="F79" i="31"/>
  <c r="G79" i="31" s="1"/>
  <c r="E79" i="16"/>
  <c r="F79" i="16"/>
  <c r="G79" i="16" s="1"/>
  <c r="E79" i="30"/>
  <c r="F79" i="30"/>
  <c r="G79" i="30" s="1"/>
  <c r="E79" i="29"/>
  <c r="F79" i="29"/>
  <c r="G79" i="29"/>
  <c r="E79" i="18"/>
  <c r="F79" i="18"/>
  <c r="G79" i="18" s="1"/>
  <c r="E79" i="28"/>
  <c r="F79" i="28"/>
  <c r="G79" i="28" s="1"/>
  <c r="E79" i="27"/>
  <c r="F79" i="27"/>
  <c r="G79" i="27" s="1"/>
  <c r="E79" i="26"/>
  <c r="F79" i="26"/>
  <c r="G79" i="26" s="1"/>
  <c r="E79" i="17"/>
  <c r="F79" i="17"/>
  <c r="G79" i="17"/>
  <c r="E79" i="25"/>
  <c r="F79" i="25"/>
  <c r="G79" i="25"/>
  <c r="E79" i="24"/>
  <c r="F79" i="24"/>
  <c r="G79" i="24" s="1"/>
  <c r="E79" i="23"/>
  <c r="F79" i="23"/>
  <c r="G79" i="23" s="1"/>
  <c r="E79" i="22"/>
  <c r="F79" i="22"/>
  <c r="G79" i="22" s="1"/>
  <c r="E79" i="21"/>
  <c r="F79" i="21"/>
  <c r="G79" i="21"/>
  <c r="E79" i="20"/>
  <c r="F79" i="20"/>
  <c r="G79" i="20" s="1"/>
  <c r="E79" i="19"/>
  <c r="F79" i="19"/>
  <c r="G79" i="19" s="1"/>
  <c r="E79" i="15"/>
  <c r="F79" i="15"/>
  <c r="G79" i="15"/>
  <c r="E79" i="14"/>
  <c r="F79" i="14"/>
  <c r="G79" i="14" s="1"/>
  <c r="E79" i="13"/>
  <c r="F79" i="13"/>
  <c r="G79" i="13" s="1"/>
  <c r="E79" i="12"/>
  <c r="F79" i="12"/>
  <c r="G79" i="12" s="1"/>
  <c r="E79" i="11"/>
  <c r="F79" i="11"/>
  <c r="G79" i="11" s="1"/>
  <c r="E79" i="10"/>
  <c r="F79" i="10"/>
  <c r="G79" i="10" s="1"/>
  <c r="E79" i="9"/>
  <c r="F79" i="9"/>
  <c r="G79" i="9" s="1"/>
  <c r="E79" i="8"/>
  <c r="F79" i="8"/>
  <c r="G79" i="8" s="1"/>
  <c r="E79" i="7"/>
  <c r="F79" i="7"/>
  <c r="G79" i="7" s="1"/>
  <c r="E79" i="6"/>
  <c r="F79" i="6"/>
  <c r="G79" i="6" s="1"/>
  <c r="E79" i="5"/>
  <c r="F79" i="5"/>
  <c r="G79" i="5" s="1"/>
  <c r="K91" i="3"/>
  <c r="L91" i="3"/>
  <c r="E115" i="2" l="1"/>
  <c r="F115" i="2"/>
  <c r="G115" i="2"/>
  <c r="E78" i="27"/>
  <c r="F78" i="27"/>
  <c r="G78" i="27" s="1"/>
  <c r="E78" i="31" l="1"/>
  <c r="F78" i="31"/>
  <c r="G78" i="31" s="1"/>
  <c r="E78" i="16"/>
  <c r="F78" i="16"/>
  <c r="G78" i="16" s="1"/>
  <c r="E78" i="30"/>
  <c r="F78" i="30"/>
  <c r="G78" i="30" s="1"/>
  <c r="E78" i="29"/>
  <c r="F78" i="29"/>
  <c r="G78" i="29" s="1"/>
  <c r="E78" i="18"/>
  <c r="F78" i="18"/>
  <c r="G78" i="18" s="1"/>
  <c r="E78" i="28"/>
  <c r="F78" i="28"/>
  <c r="G78" i="28"/>
  <c r="E78" i="26"/>
  <c r="F78" i="26"/>
  <c r="G78" i="26" s="1"/>
  <c r="E78" i="17"/>
  <c r="F78" i="17"/>
  <c r="G78" i="17" s="1"/>
  <c r="E78" i="25"/>
  <c r="F78" i="25"/>
  <c r="G78" i="25" s="1"/>
  <c r="E78" i="24"/>
  <c r="F78" i="24"/>
  <c r="G78" i="24" s="1"/>
  <c r="E78" i="23"/>
  <c r="F78" i="23"/>
  <c r="G78" i="23" s="1"/>
  <c r="E78" i="22"/>
  <c r="F78" i="22"/>
  <c r="G78" i="22" s="1"/>
  <c r="E78" i="21"/>
  <c r="F78" i="21"/>
  <c r="G78" i="21" s="1"/>
  <c r="E78" i="20"/>
  <c r="F78" i="20"/>
  <c r="G78" i="20" s="1"/>
  <c r="E78" i="19"/>
  <c r="F78" i="19"/>
  <c r="G78" i="19" s="1"/>
  <c r="E78" i="15"/>
  <c r="F78" i="15"/>
  <c r="G78" i="15"/>
  <c r="E78" i="14"/>
  <c r="F78" i="14"/>
  <c r="G78" i="14"/>
  <c r="E78" i="13"/>
  <c r="F78" i="13"/>
  <c r="G78" i="13" s="1"/>
  <c r="E78" i="12"/>
  <c r="F78" i="12"/>
  <c r="G78" i="12"/>
  <c r="E78" i="11"/>
  <c r="F78" i="11"/>
  <c r="G78" i="11"/>
  <c r="E78" i="10"/>
  <c r="F78" i="10"/>
  <c r="G78" i="10" s="1"/>
  <c r="E78" i="9"/>
  <c r="F78" i="9"/>
  <c r="G78" i="9" s="1"/>
  <c r="E78" i="8"/>
  <c r="F78" i="8"/>
  <c r="G78" i="8" s="1"/>
  <c r="E78" i="7"/>
  <c r="F78" i="7"/>
  <c r="G78" i="7" s="1"/>
  <c r="E78" i="6"/>
  <c r="F78" i="6"/>
  <c r="G78" i="6" s="1"/>
  <c r="E78" i="5"/>
  <c r="F78" i="5"/>
  <c r="G78" i="5" s="1"/>
  <c r="K90" i="3"/>
  <c r="L90" i="3"/>
  <c r="E114" i="2" l="1"/>
  <c r="F114" i="2"/>
  <c r="G114" i="2" s="1"/>
  <c r="E77" i="31"/>
  <c r="F77" i="31"/>
  <c r="G77" i="31" s="1"/>
  <c r="E77" i="16"/>
  <c r="F77" i="16"/>
  <c r="G77" i="16" s="1"/>
  <c r="E77" i="30"/>
  <c r="F77" i="30"/>
  <c r="G77" i="30" s="1"/>
  <c r="E77" i="29"/>
  <c r="F77" i="29"/>
  <c r="G77" i="29" s="1"/>
  <c r="E77" i="18"/>
  <c r="F77" i="18"/>
  <c r="G77" i="18" s="1"/>
  <c r="E77" i="28"/>
  <c r="F77" i="28"/>
  <c r="G77" i="28" s="1"/>
  <c r="E77" i="27"/>
  <c r="F77" i="27"/>
  <c r="G77" i="27" s="1"/>
  <c r="E77" i="26"/>
  <c r="F77" i="26"/>
  <c r="G77" i="26" s="1"/>
  <c r="E77" i="17"/>
  <c r="F77" i="17"/>
  <c r="G77" i="17" s="1"/>
  <c r="E77" i="25"/>
  <c r="F77" i="25"/>
  <c r="G77" i="25" s="1"/>
  <c r="E77" i="24"/>
  <c r="F77" i="24"/>
  <c r="G77" i="24" s="1"/>
  <c r="E77" i="23"/>
  <c r="F77" i="23"/>
  <c r="G77" i="23" s="1"/>
  <c r="E77" i="22"/>
  <c r="F77" i="22"/>
  <c r="G77" i="22" s="1"/>
  <c r="E77" i="21"/>
  <c r="F77" i="21"/>
  <c r="G77" i="21" s="1"/>
  <c r="E77" i="20"/>
  <c r="F77" i="20"/>
  <c r="G77" i="20" s="1"/>
  <c r="E77" i="19"/>
  <c r="F77" i="19"/>
  <c r="G77" i="19" s="1"/>
  <c r="E77" i="15"/>
  <c r="F77" i="15"/>
  <c r="G77" i="15" s="1"/>
  <c r="E77" i="14"/>
  <c r="F77" i="14"/>
  <c r="G77" i="14" s="1"/>
  <c r="E77" i="13"/>
  <c r="F77" i="13"/>
  <c r="G77" i="13" s="1"/>
  <c r="E77" i="12"/>
  <c r="F77" i="12"/>
  <c r="G77" i="12" s="1"/>
  <c r="E77" i="11"/>
  <c r="F77" i="11"/>
  <c r="G77" i="11" s="1"/>
  <c r="E77" i="10"/>
  <c r="F77" i="10"/>
  <c r="G77" i="10" s="1"/>
  <c r="E77" i="9"/>
  <c r="F77" i="9"/>
  <c r="G77" i="9" s="1"/>
  <c r="E77" i="8"/>
  <c r="F77" i="8"/>
  <c r="G77" i="8" s="1"/>
  <c r="E77" i="7"/>
  <c r="F77" i="7"/>
  <c r="G77" i="7" s="1"/>
  <c r="E77" i="6"/>
  <c r="F77" i="6"/>
  <c r="G77" i="6" s="1"/>
  <c r="E77" i="5"/>
  <c r="F77" i="5"/>
  <c r="G77" i="5"/>
  <c r="K89" i="3"/>
  <c r="L89" i="3"/>
  <c r="E113" i="2" l="1"/>
  <c r="G113" i="2" s="1"/>
  <c r="F113" i="2"/>
  <c r="K88" i="3"/>
  <c r="L88" i="3"/>
  <c r="E76" i="31" l="1"/>
  <c r="F76" i="31"/>
  <c r="G76" i="31" s="1"/>
  <c r="E76" i="16"/>
  <c r="F76" i="16"/>
  <c r="G76" i="16"/>
  <c r="E76" i="30"/>
  <c r="F76" i="30"/>
  <c r="G76" i="30" s="1"/>
  <c r="E76" i="29"/>
  <c r="F76" i="29"/>
  <c r="G76" i="29" s="1"/>
  <c r="E76" i="18"/>
  <c r="F76" i="18"/>
  <c r="G76" i="18" s="1"/>
  <c r="E76" i="28"/>
  <c r="F76" i="28"/>
  <c r="G76" i="28" s="1"/>
  <c r="E76" i="27"/>
  <c r="F76" i="27"/>
  <c r="G76" i="27" s="1"/>
  <c r="E76" i="26"/>
  <c r="F76" i="26"/>
  <c r="G76" i="26" s="1"/>
  <c r="E76" i="17"/>
  <c r="F76" i="17"/>
  <c r="G76" i="17" s="1"/>
  <c r="E76" i="25"/>
  <c r="F76" i="25"/>
  <c r="G76" i="25" s="1"/>
  <c r="E76" i="24"/>
  <c r="F76" i="24"/>
  <c r="G76" i="24" s="1"/>
  <c r="E76" i="23"/>
  <c r="F76" i="23"/>
  <c r="G76" i="23" s="1"/>
  <c r="E76" i="22"/>
  <c r="F76" i="22"/>
  <c r="G76" i="22" s="1"/>
  <c r="E76" i="21"/>
  <c r="F76" i="21"/>
  <c r="G76" i="21" s="1"/>
  <c r="E76" i="20"/>
  <c r="F76" i="20"/>
  <c r="G76" i="20" s="1"/>
  <c r="E76" i="19"/>
  <c r="F76" i="19"/>
  <c r="G76" i="19" s="1"/>
  <c r="E76" i="15"/>
  <c r="F76" i="15"/>
  <c r="G76" i="15"/>
  <c r="E76" i="14"/>
  <c r="F76" i="14"/>
  <c r="G76" i="14" s="1"/>
  <c r="E76" i="13"/>
  <c r="F76" i="13"/>
  <c r="G76" i="13" s="1"/>
  <c r="E76" i="12"/>
  <c r="F76" i="12"/>
  <c r="G76" i="12" s="1"/>
  <c r="E76" i="11"/>
  <c r="F76" i="11"/>
  <c r="G76" i="11" s="1"/>
  <c r="E76" i="10"/>
  <c r="F76" i="10"/>
  <c r="G76" i="10" s="1"/>
  <c r="E76" i="9"/>
  <c r="F76" i="9"/>
  <c r="G76" i="9" s="1"/>
  <c r="E76" i="8"/>
  <c r="F76" i="8"/>
  <c r="G76" i="8"/>
  <c r="E76" i="7"/>
  <c r="F76" i="7"/>
  <c r="G76" i="7" s="1"/>
  <c r="E76" i="6"/>
  <c r="G76" i="6" s="1"/>
  <c r="F76" i="6"/>
  <c r="E76" i="5"/>
  <c r="F76" i="5"/>
  <c r="G76" i="5" s="1"/>
  <c r="E112" i="2"/>
  <c r="F112" i="2"/>
  <c r="G112" i="2" s="1"/>
  <c r="K87" i="3"/>
  <c r="L87" i="3"/>
  <c r="E75" i="31"/>
  <c r="F75" i="31"/>
  <c r="G75" i="31" s="1"/>
  <c r="E75" i="16"/>
  <c r="F75" i="16"/>
  <c r="G75" i="16" s="1"/>
  <c r="E75" i="30"/>
  <c r="F75" i="30"/>
  <c r="G75" i="30" s="1"/>
  <c r="E75" i="29"/>
  <c r="F75" i="29"/>
  <c r="G75" i="29" s="1"/>
  <c r="E75" i="18"/>
  <c r="F75" i="18"/>
  <c r="G75" i="18" s="1"/>
  <c r="E75" i="28"/>
  <c r="F75" i="28"/>
  <c r="G75" i="28" s="1"/>
  <c r="E75" i="27"/>
  <c r="F75" i="27"/>
  <c r="G75" i="27" s="1"/>
  <c r="E75" i="26"/>
  <c r="G75" i="26" s="1"/>
  <c r="F75" i="26"/>
  <c r="E75" i="17"/>
  <c r="F75" i="17"/>
  <c r="G75" i="17"/>
  <c r="E75" i="25"/>
  <c r="F75" i="25"/>
  <c r="G75" i="25" s="1"/>
  <c r="E75" i="24"/>
  <c r="F75" i="24"/>
  <c r="G75" i="24" s="1"/>
  <c r="E75" i="23"/>
  <c r="F75" i="23"/>
  <c r="G75" i="23" s="1"/>
  <c r="E75" i="22"/>
  <c r="F75" i="22"/>
  <c r="G75" i="22" s="1"/>
  <c r="E75" i="20"/>
  <c r="G75" i="20" s="1"/>
  <c r="F75" i="20"/>
  <c r="E75" i="21"/>
  <c r="F75" i="21"/>
  <c r="G75" i="21" s="1"/>
  <c r="E75" i="19"/>
  <c r="F75" i="19"/>
  <c r="G75" i="19" s="1"/>
  <c r="E75" i="15"/>
  <c r="F75" i="15"/>
  <c r="G75" i="15" s="1"/>
  <c r="E75" i="14"/>
  <c r="F75" i="14"/>
  <c r="G75" i="14" s="1"/>
  <c r="E75" i="13"/>
  <c r="F75" i="13"/>
  <c r="G75" i="13"/>
  <c r="E75" i="12"/>
  <c r="F75" i="12"/>
  <c r="G75" i="12" s="1"/>
  <c r="E75" i="11"/>
  <c r="F75" i="11"/>
  <c r="G75" i="11" s="1"/>
  <c r="E75" i="10"/>
  <c r="F75" i="10"/>
  <c r="G75" i="10" s="1"/>
  <c r="E75" i="9"/>
  <c r="F75" i="9"/>
  <c r="G75" i="9" s="1"/>
  <c r="E75" i="8"/>
  <c r="F75" i="8"/>
  <c r="G75" i="8" s="1"/>
  <c r="E75" i="7"/>
  <c r="F75" i="7"/>
  <c r="G75" i="7" s="1"/>
  <c r="E75" i="6"/>
  <c r="F75" i="6"/>
  <c r="G75" i="6" s="1"/>
  <c r="E75" i="5"/>
  <c r="F75" i="5"/>
  <c r="G75" i="5" s="1"/>
  <c r="E111" i="2"/>
  <c r="F111" i="2"/>
  <c r="G111" i="2" s="1"/>
  <c r="L86" i="3"/>
  <c r="K86" i="3"/>
  <c r="E74" i="31"/>
  <c r="F74" i="31"/>
  <c r="G74" i="31"/>
  <c r="E74" i="16"/>
  <c r="F74" i="16"/>
  <c r="G74" i="16" s="1"/>
  <c r="E74" i="30"/>
  <c r="F74" i="30"/>
  <c r="G74" i="30" s="1"/>
  <c r="E74" i="29"/>
  <c r="F74" i="29"/>
  <c r="G74" i="29" s="1"/>
  <c r="E74" i="18"/>
  <c r="F74" i="18"/>
  <c r="G74" i="18" s="1"/>
  <c r="E74" i="28"/>
  <c r="F74" i="28"/>
  <c r="G74" i="28" s="1"/>
  <c r="E74" i="27"/>
  <c r="F74" i="27"/>
  <c r="G74" i="27" s="1"/>
  <c r="E74" i="26"/>
  <c r="F74" i="26"/>
  <c r="G74" i="26"/>
  <c r="E74" i="17"/>
  <c r="F74" i="17"/>
  <c r="G74" i="17"/>
  <c r="E74" i="25"/>
  <c r="F74" i="25"/>
  <c r="G74" i="25"/>
  <c r="E74" i="24"/>
  <c r="F74" i="24"/>
  <c r="G74" i="24" s="1"/>
  <c r="E74" i="23"/>
  <c r="F74" i="23"/>
  <c r="G74" i="23" s="1"/>
  <c r="E74" i="22"/>
  <c r="F74" i="22"/>
  <c r="G74" i="22" s="1"/>
  <c r="E74" i="21"/>
  <c r="F74" i="21"/>
  <c r="G74" i="21" s="1"/>
  <c r="E74" i="20"/>
  <c r="F74" i="20"/>
  <c r="G74" i="20"/>
  <c r="E74" i="19"/>
  <c r="F74" i="19"/>
  <c r="G74" i="19" s="1"/>
  <c r="E74" i="15"/>
  <c r="F74" i="15"/>
  <c r="G74" i="15" s="1"/>
  <c r="E74" i="14"/>
  <c r="F74" i="14"/>
  <c r="G74" i="14" s="1"/>
  <c r="E74" i="13"/>
  <c r="F74" i="13"/>
  <c r="G74" i="13" s="1"/>
  <c r="E74" i="12"/>
  <c r="F74" i="12"/>
  <c r="G74" i="12" s="1"/>
  <c r="E74" i="11"/>
  <c r="G74" i="11" s="1"/>
  <c r="F74" i="11"/>
  <c r="E74" i="10"/>
  <c r="F74" i="10"/>
  <c r="G74" i="10" s="1"/>
  <c r="E74" i="8"/>
  <c r="G74" i="8" s="1"/>
  <c r="F74" i="8"/>
  <c r="E74" i="9"/>
  <c r="F74" i="9"/>
  <c r="G74" i="9" s="1"/>
  <c r="E74" i="7"/>
  <c r="F74" i="7"/>
  <c r="G74" i="7" s="1"/>
  <c r="E74" i="6"/>
  <c r="F74" i="6"/>
  <c r="G74" i="6"/>
  <c r="E74" i="5"/>
  <c r="F74" i="5"/>
  <c r="G74" i="5" s="1"/>
  <c r="E110" i="2"/>
  <c r="F110" i="2"/>
  <c r="G110" i="2"/>
  <c r="E73" i="31"/>
  <c r="F73" i="31"/>
  <c r="G73" i="31" s="1"/>
  <c r="E73" i="16"/>
  <c r="F73" i="16"/>
  <c r="G73" i="16" s="1"/>
  <c r="E73" i="30"/>
  <c r="F73" i="30"/>
  <c r="G73" i="30" s="1"/>
  <c r="E73" i="29"/>
  <c r="F73" i="29"/>
  <c r="G73" i="29" s="1"/>
  <c r="E73" i="18"/>
  <c r="F73" i="18"/>
  <c r="G73" i="18" s="1"/>
  <c r="E73" i="28"/>
  <c r="F73" i="28"/>
  <c r="G73" i="28" s="1"/>
  <c r="E73" i="27"/>
  <c r="F73" i="27"/>
  <c r="G73" i="27" s="1"/>
  <c r="E73" i="26"/>
  <c r="F73" i="26"/>
  <c r="G73" i="26" s="1"/>
  <c r="E73" i="17"/>
  <c r="F73" i="17"/>
  <c r="G73" i="17" s="1"/>
  <c r="E73" i="25"/>
  <c r="F73" i="25"/>
  <c r="G73" i="25" s="1"/>
  <c r="E73" i="24"/>
  <c r="F73" i="24"/>
  <c r="G73" i="24" s="1"/>
  <c r="E73" i="23"/>
  <c r="F73" i="23"/>
  <c r="G73" i="23" s="1"/>
  <c r="E73" i="22"/>
  <c r="F73" i="22"/>
  <c r="G73" i="22"/>
  <c r="E73" i="21"/>
  <c r="F73" i="21"/>
  <c r="G73" i="21" s="1"/>
  <c r="E73" i="20"/>
  <c r="F73" i="20"/>
  <c r="G73" i="20" s="1"/>
  <c r="E73" i="19"/>
  <c r="F73" i="19"/>
  <c r="G73" i="19" s="1"/>
  <c r="E73" i="15"/>
  <c r="F73" i="15"/>
  <c r="G73" i="15" s="1"/>
  <c r="E73" i="14"/>
  <c r="F73" i="14"/>
  <c r="G73" i="14" s="1"/>
  <c r="E73" i="13"/>
  <c r="F73" i="13"/>
  <c r="G73" i="13" s="1"/>
  <c r="E73" i="12"/>
  <c r="F73" i="12"/>
  <c r="G73" i="12" s="1"/>
  <c r="E73" i="11"/>
  <c r="F73" i="11"/>
  <c r="G73" i="11" s="1"/>
  <c r="E73" i="10"/>
  <c r="F73" i="10"/>
  <c r="G73" i="10" s="1"/>
  <c r="E73" i="9"/>
  <c r="F73" i="9"/>
  <c r="G73" i="9" s="1"/>
  <c r="E73" i="8"/>
  <c r="F73" i="8"/>
  <c r="G73" i="8" s="1"/>
  <c r="E73" i="7"/>
  <c r="F73" i="7"/>
  <c r="G73" i="7" s="1"/>
  <c r="E73" i="6"/>
  <c r="F73" i="6"/>
  <c r="G73" i="6" s="1"/>
  <c r="E73" i="5"/>
  <c r="F73" i="5"/>
  <c r="G73" i="5" s="1"/>
  <c r="K85" i="3"/>
  <c r="L85" i="3"/>
  <c r="E109" i="2" l="1"/>
  <c r="F109" i="2"/>
  <c r="G109" i="2" s="1"/>
  <c r="E72" i="31"/>
  <c r="F72" i="31"/>
  <c r="G72" i="31" s="1"/>
  <c r="E72" i="16"/>
  <c r="F72" i="16"/>
  <c r="G72" i="16"/>
  <c r="E72" i="30"/>
  <c r="F72" i="30"/>
  <c r="G72" i="30" s="1"/>
  <c r="E72" i="29"/>
  <c r="F72" i="29"/>
  <c r="G72" i="29"/>
  <c r="E72" i="18"/>
  <c r="G72" i="18" s="1"/>
  <c r="F72" i="18"/>
  <c r="E72" i="28"/>
  <c r="F72" i="28"/>
  <c r="G72" i="28"/>
  <c r="E72" i="27"/>
  <c r="F72" i="27"/>
  <c r="G72" i="27" s="1"/>
  <c r="E72" i="26"/>
  <c r="F72" i="26"/>
  <c r="G72" i="26" s="1"/>
  <c r="E72" i="17"/>
  <c r="F72" i="17"/>
  <c r="G72" i="17" s="1"/>
  <c r="E72" i="25"/>
  <c r="F72" i="25"/>
  <c r="G72" i="25" s="1"/>
  <c r="E72" i="24"/>
  <c r="F72" i="24"/>
  <c r="G72" i="24" s="1"/>
  <c r="E72" i="23"/>
  <c r="F72" i="23"/>
  <c r="G72" i="23"/>
  <c r="E72" i="22"/>
  <c r="F72" i="22"/>
  <c r="G72" i="22"/>
  <c r="E72" i="21"/>
  <c r="F72" i="21"/>
  <c r="G72" i="21"/>
  <c r="E72" i="20"/>
  <c r="F72" i="20"/>
  <c r="G72" i="20" s="1"/>
  <c r="E72" i="19"/>
  <c r="F72" i="19"/>
  <c r="G72" i="19" s="1"/>
  <c r="E72" i="15"/>
  <c r="F72" i="15"/>
  <c r="G72" i="15" s="1"/>
  <c r="E72" i="14"/>
  <c r="F72" i="14"/>
  <c r="G72" i="14" s="1"/>
  <c r="E72" i="12"/>
  <c r="F72" i="12"/>
  <c r="G72" i="12" s="1"/>
  <c r="E72" i="13"/>
  <c r="F72" i="13"/>
  <c r="G72" i="13" s="1"/>
  <c r="E72" i="11"/>
  <c r="F72" i="11"/>
  <c r="G72" i="11" s="1"/>
  <c r="E72" i="10"/>
  <c r="F72" i="10"/>
  <c r="G72" i="10"/>
  <c r="E72" i="9"/>
  <c r="F72" i="9"/>
  <c r="G72" i="9" s="1"/>
  <c r="E72" i="8"/>
  <c r="F72" i="8"/>
  <c r="G72" i="8" s="1"/>
  <c r="E72" i="7"/>
  <c r="F72" i="7"/>
  <c r="G72" i="7" s="1"/>
  <c r="E72" i="6"/>
  <c r="F72" i="6"/>
  <c r="G72" i="6" s="1"/>
  <c r="E72" i="5"/>
  <c r="F72" i="5"/>
  <c r="G72" i="5" s="1"/>
  <c r="K84" i="3"/>
  <c r="L84" i="3"/>
  <c r="E108" i="2" l="1"/>
  <c r="F108" i="2"/>
  <c r="G108" i="2" s="1"/>
  <c r="E71" i="31"/>
  <c r="F71" i="31"/>
  <c r="G71" i="31" s="1"/>
  <c r="E71" i="16"/>
  <c r="F71" i="16"/>
  <c r="G71" i="16" s="1"/>
  <c r="E71" i="30"/>
  <c r="F71" i="30"/>
  <c r="G71" i="30" s="1"/>
  <c r="E71" i="29"/>
  <c r="F71" i="29"/>
  <c r="G71" i="29" s="1"/>
  <c r="E71" i="18"/>
  <c r="F71" i="18"/>
  <c r="G71" i="18"/>
  <c r="E71" i="28"/>
  <c r="G71" i="28" s="1"/>
  <c r="F71" i="28"/>
  <c r="E71" i="27"/>
  <c r="F71" i="27"/>
  <c r="G71" i="27" s="1"/>
  <c r="E71" i="26"/>
  <c r="F71" i="26"/>
  <c r="G71" i="26" s="1"/>
  <c r="E71" i="17"/>
  <c r="F71" i="17"/>
  <c r="G71" i="17" s="1"/>
  <c r="E71" i="25"/>
  <c r="F71" i="25"/>
  <c r="G71" i="25" s="1"/>
  <c r="E71" i="24"/>
  <c r="F71" i="24"/>
  <c r="G71" i="24" s="1"/>
  <c r="E71" i="23"/>
  <c r="F71" i="23"/>
  <c r="G71" i="23" s="1"/>
  <c r="E71" i="22"/>
  <c r="F71" i="22"/>
  <c r="G71" i="22" s="1"/>
  <c r="E71" i="21"/>
  <c r="F71" i="21"/>
  <c r="G71" i="21" s="1"/>
  <c r="E71" i="20"/>
  <c r="F71" i="20"/>
  <c r="G71" i="20" s="1"/>
  <c r="E71" i="19"/>
  <c r="F71" i="19"/>
  <c r="G71" i="19" s="1"/>
  <c r="E71" i="15"/>
  <c r="F71" i="15"/>
  <c r="G71" i="15" s="1"/>
  <c r="E71" i="14"/>
  <c r="F71" i="14"/>
  <c r="G71" i="14" s="1"/>
  <c r="E71" i="13"/>
  <c r="F71" i="13"/>
  <c r="G71" i="13" s="1"/>
  <c r="E71" i="12"/>
  <c r="F71" i="12"/>
  <c r="G71" i="12" s="1"/>
  <c r="E71" i="11"/>
  <c r="F71" i="11"/>
  <c r="G71" i="11" s="1"/>
  <c r="E71" i="10"/>
  <c r="F71" i="10"/>
  <c r="G71" i="10" s="1"/>
  <c r="E71" i="9"/>
  <c r="F71" i="9"/>
  <c r="G71" i="9" s="1"/>
  <c r="E71" i="8"/>
  <c r="F71" i="8"/>
  <c r="G71" i="8" s="1"/>
  <c r="E71" i="7"/>
  <c r="F71" i="7"/>
  <c r="G71" i="7" s="1"/>
  <c r="E71" i="6"/>
  <c r="F71" i="6"/>
  <c r="G71" i="6" s="1"/>
  <c r="E71" i="5"/>
  <c r="F71" i="5"/>
  <c r="G71" i="5"/>
  <c r="L83" i="3"/>
  <c r="K83" i="3" l="1"/>
  <c r="E107" i="2" l="1"/>
  <c r="F107" i="2"/>
  <c r="G107" i="2" s="1"/>
  <c r="E70" i="31"/>
  <c r="F70" i="31"/>
  <c r="G70" i="31" s="1"/>
  <c r="E70" i="16"/>
  <c r="F70" i="16"/>
  <c r="G70" i="16" s="1"/>
  <c r="E70" i="30"/>
  <c r="F70" i="30"/>
  <c r="G70" i="30" s="1"/>
  <c r="E70" i="29"/>
  <c r="F70" i="29"/>
  <c r="G70" i="29" s="1"/>
  <c r="E70" i="18"/>
  <c r="F70" i="18"/>
  <c r="G70" i="18" s="1"/>
  <c r="E70" i="28"/>
  <c r="F70" i="28"/>
  <c r="G70" i="28" s="1"/>
  <c r="E70" i="27"/>
  <c r="F70" i="27"/>
  <c r="G70" i="27" s="1"/>
  <c r="E70" i="26"/>
  <c r="F70" i="26"/>
  <c r="G70" i="26" s="1"/>
  <c r="E70" i="17"/>
  <c r="G70" i="17" s="1"/>
  <c r="F70" i="17"/>
  <c r="E70" i="25"/>
  <c r="G70" i="25" s="1"/>
  <c r="F70" i="25"/>
  <c r="E70" i="24"/>
  <c r="F70" i="24"/>
  <c r="G70" i="24"/>
  <c r="E70" i="23"/>
  <c r="F70" i="23"/>
  <c r="G70" i="23" s="1"/>
  <c r="E70" i="22"/>
  <c r="F70" i="22"/>
  <c r="G70" i="22" s="1"/>
  <c r="E70" i="21"/>
  <c r="F70" i="21"/>
  <c r="G70" i="21" s="1"/>
  <c r="E70" i="20"/>
  <c r="F70" i="20"/>
  <c r="G70" i="20" s="1"/>
  <c r="E70" i="19"/>
  <c r="F70" i="19"/>
  <c r="G70" i="19"/>
  <c r="E70" i="15"/>
  <c r="F70" i="15"/>
  <c r="G70" i="15" s="1"/>
  <c r="E70" i="14"/>
  <c r="F70" i="14"/>
  <c r="G70" i="14"/>
  <c r="E70" i="13"/>
  <c r="F70" i="13"/>
  <c r="G70" i="13" s="1"/>
  <c r="E70" i="12"/>
  <c r="F70" i="12"/>
  <c r="G70" i="12" s="1"/>
  <c r="E70" i="11"/>
  <c r="F70" i="11"/>
  <c r="G70" i="11" s="1"/>
  <c r="E70" i="10"/>
  <c r="F70" i="10"/>
  <c r="G70" i="10" s="1"/>
  <c r="E70" i="9"/>
  <c r="F70" i="9"/>
  <c r="G70" i="9" s="1"/>
  <c r="E70" i="8"/>
  <c r="F70" i="8"/>
  <c r="G70" i="8" s="1"/>
  <c r="E70" i="7"/>
  <c r="F70" i="7"/>
  <c r="G70" i="7" s="1"/>
  <c r="E70" i="6"/>
  <c r="F70" i="6"/>
  <c r="G70" i="6" s="1"/>
  <c r="E70" i="5"/>
  <c r="F70" i="5"/>
  <c r="G70" i="5"/>
  <c r="K82" i="3" l="1"/>
  <c r="L82" i="3"/>
  <c r="E106" i="2" l="1"/>
  <c r="F106" i="2"/>
  <c r="E69" i="20"/>
  <c r="F69" i="20"/>
  <c r="G69" i="20" s="1"/>
  <c r="E69" i="21"/>
  <c r="F69" i="21"/>
  <c r="G69" i="21" s="1"/>
  <c r="E69" i="22"/>
  <c r="F69" i="22"/>
  <c r="G69" i="22" s="1"/>
  <c r="E69" i="23"/>
  <c r="F69" i="23"/>
  <c r="G69" i="23" s="1"/>
  <c r="E69" i="24"/>
  <c r="F69" i="24"/>
  <c r="G69" i="24"/>
  <c r="E69" i="25"/>
  <c r="F69" i="25"/>
  <c r="G69" i="25" s="1"/>
  <c r="E69" i="17"/>
  <c r="F69" i="17"/>
  <c r="G69" i="17"/>
  <c r="E69" i="26"/>
  <c r="F69" i="26"/>
  <c r="G69" i="26"/>
  <c r="E69" i="27"/>
  <c r="F69" i="27"/>
  <c r="G69" i="27"/>
  <c r="E69" i="28"/>
  <c r="F69" i="28"/>
  <c r="G69" i="28" s="1"/>
  <c r="E69" i="18"/>
  <c r="F69" i="18"/>
  <c r="G69" i="18" s="1"/>
  <c r="E69" i="29"/>
  <c r="F69" i="29"/>
  <c r="G69" i="29" s="1"/>
  <c r="E69" i="30"/>
  <c r="F69" i="30"/>
  <c r="G69" i="30"/>
  <c r="E69" i="16"/>
  <c r="F69" i="16"/>
  <c r="G69" i="16" s="1"/>
  <c r="E69" i="31"/>
  <c r="F69" i="31"/>
  <c r="G69" i="31"/>
  <c r="E69" i="19"/>
  <c r="F69" i="19"/>
  <c r="G69" i="19" s="1"/>
  <c r="E69" i="6"/>
  <c r="F69" i="6"/>
  <c r="G69" i="6" s="1"/>
  <c r="E69" i="7"/>
  <c r="F69" i="7"/>
  <c r="G69" i="7" s="1"/>
  <c r="E69" i="8"/>
  <c r="F69" i="8"/>
  <c r="G69" i="8"/>
  <c r="E69" i="9"/>
  <c r="F69" i="9"/>
  <c r="G69" i="9"/>
  <c r="E69" i="10"/>
  <c r="G69" i="10" s="1"/>
  <c r="F69" i="10"/>
  <c r="E69" i="11"/>
  <c r="F69" i="11"/>
  <c r="G69" i="11"/>
  <c r="E69" i="12"/>
  <c r="F69" i="12"/>
  <c r="G69" i="12"/>
  <c r="E69" i="13"/>
  <c r="F69" i="13"/>
  <c r="G69" i="13"/>
  <c r="E69" i="14"/>
  <c r="F69" i="14"/>
  <c r="G69" i="14"/>
  <c r="E69" i="15"/>
  <c r="F69" i="15"/>
  <c r="G69" i="15" s="1"/>
  <c r="E69" i="5"/>
  <c r="F69" i="5"/>
  <c r="G69" i="5"/>
  <c r="K81" i="3"/>
  <c r="L81" i="3"/>
  <c r="G106" i="2" l="1"/>
  <c r="F105" i="2"/>
  <c r="E105" i="2"/>
  <c r="E68" i="22"/>
  <c r="F68" i="22"/>
  <c r="G68" i="22" s="1"/>
  <c r="G105" i="2" l="1"/>
  <c r="E68" i="31"/>
  <c r="G68" i="31" s="1"/>
  <c r="F68" i="31"/>
  <c r="E68" i="16"/>
  <c r="F68" i="16"/>
  <c r="G68" i="16" s="1"/>
  <c r="E68" i="30"/>
  <c r="F68" i="30"/>
  <c r="G68" i="30" s="1"/>
  <c r="E68" i="29"/>
  <c r="F68" i="29"/>
  <c r="G68" i="29" s="1"/>
  <c r="E68" i="18"/>
  <c r="F68" i="18"/>
  <c r="G68" i="18" s="1"/>
  <c r="E68" i="28"/>
  <c r="F68" i="28"/>
  <c r="G68" i="28" s="1"/>
  <c r="E68" i="27"/>
  <c r="F68" i="27"/>
  <c r="G68" i="27" s="1"/>
  <c r="E68" i="26"/>
  <c r="F68" i="26"/>
  <c r="G68" i="26"/>
  <c r="E68" i="17"/>
  <c r="F68" i="17"/>
  <c r="G68" i="17" s="1"/>
  <c r="E68" i="25"/>
  <c r="F68" i="25"/>
  <c r="G68" i="25" s="1"/>
  <c r="E68" i="24"/>
  <c r="F68" i="24"/>
  <c r="G68" i="24" s="1"/>
  <c r="E68" i="23"/>
  <c r="F68" i="23"/>
  <c r="G68" i="23" s="1"/>
  <c r="E68" i="21"/>
  <c r="F68" i="21"/>
  <c r="G68" i="21" s="1"/>
  <c r="E68" i="20"/>
  <c r="F68" i="20"/>
  <c r="G68" i="20" s="1"/>
  <c r="E68" i="19"/>
  <c r="F68" i="19"/>
  <c r="G68" i="19" s="1"/>
  <c r="E68" i="15"/>
  <c r="F68" i="15"/>
  <c r="G68" i="15" s="1"/>
  <c r="E68" i="14"/>
  <c r="F68" i="14"/>
  <c r="G68" i="14" s="1"/>
  <c r="E68" i="13"/>
  <c r="F68" i="13"/>
  <c r="G68" i="13" s="1"/>
  <c r="E68" i="12"/>
  <c r="F68" i="12"/>
  <c r="G68" i="12"/>
  <c r="E68" i="11"/>
  <c r="F68" i="11"/>
  <c r="G68" i="11"/>
  <c r="E68" i="10"/>
  <c r="F68" i="10"/>
  <c r="G68" i="10"/>
  <c r="E68" i="9"/>
  <c r="F68" i="9"/>
  <c r="G68" i="9" s="1"/>
  <c r="E68" i="8"/>
  <c r="F68" i="8"/>
  <c r="G68" i="8" s="1"/>
  <c r="E68" i="7"/>
  <c r="F68" i="7"/>
  <c r="G68" i="7" s="1"/>
  <c r="E68" i="6"/>
  <c r="F68" i="6"/>
  <c r="G68" i="6" s="1"/>
  <c r="E68" i="5"/>
  <c r="F68" i="5"/>
  <c r="G68" i="5"/>
  <c r="K80" i="3"/>
  <c r="L80" i="3"/>
  <c r="E104" i="2" l="1"/>
  <c r="F104" i="2"/>
  <c r="G104" i="2" s="1"/>
  <c r="E67" i="31"/>
  <c r="F67" i="31"/>
  <c r="G67" i="31" s="1"/>
  <c r="E67" i="16"/>
  <c r="F67" i="16"/>
  <c r="G67" i="16" s="1"/>
  <c r="E67" i="30"/>
  <c r="F67" i="30"/>
  <c r="G67" i="30" s="1"/>
  <c r="E67" i="29"/>
  <c r="F67" i="29"/>
  <c r="G67" i="29" s="1"/>
  <c r="E67" i="18"/>
  <c r="F67" i="18"/>
  <c r="G67" i="18" s="1"/>
  <c r="E67" i="28"/>
  <c r="F67" i="28"/>
  <c r="G67" i="28" s="1"/>
  <c r="E67" i="27"/>
  <c r="F67" i="27"/>
  <c r="G67" i="27" s="1"/>
  <c r="E67" i="26"/>
  <c r="F67" i="26"/>
  <c r="G67" i="26" s="1"/>
  <c r="E67" i="17"/>
  <c r="F67" i="17"/>
  <c r="G67" i="17" s="1"/>
  <c r="E67" i="25"/>
  <c r="F67" i="25"/>
  <c r="G67" i="25" s="1"/>
  <c r="E67" i="24"/>
  <c r="F67" i="24"/>
  <c r="G67" i="24"/>
  <c r="E67" i="23"/>
  <c r="F67" i="23"/>
  <c r="G67" i="23"/>
  <c r="E67" i="22"/>
  <c r="F67" i="22"/>
  <c r="G67" i="22" s="1"/>
  <c r="E67" i="21"/>
  <c r="F67" i="21"/>
  <c r="G67" i="21" s="1"/>
  <c r="E67" i="20"/>
  <c r="F67" i="20"/>
  <c r="G67" i="20" s="1"/>
  <c r="E67" i="19"/>
  <c r="F67" i="19"/>
  <c r="G67" i="19"/>
  <c r="E67" i="15"/>
  <c r="G67" i="15" s="1"/>
  <c r="F67" i="15"/>
  <c r="E67" i="14"/>
  <c r="F67" i="14"/>
  <c r="G67" i="14"/>
  <c r="E67" i="13"/>
  <c r="F67" i="13"/>
  <c r="G67" i="13"/>
  <c r="E67" i="12"/>
  <c r="F67" i="12"/>
  <c r="G67" i="12" s="1"/>
  <c r="E67" i="11"/>
  <c r="F67" i="11"/>
  <c r="G67" i="11" s="1"/>
  <c r="E67" i="10"/>
  <c r="F67" i="10"/>
  <c r="G67" i="10" s="1"/>
  <c r="E67" i="9"/>
  <c r="F67" i="9"/>
  <c r="G67" i="9"/>
  <c r="E67" i="8"/>
  <c r="F67" i="8"/>
  <c r="G67" i="8"/>
  <c r="E67" i="7"/>
  <c r="F67" i="7"/>
  <c r="G67" i="7" s="1"/>
  <c r="E67" i="6" l="1"/>
  <c r="F67" i="6"/>
  <c r="G67" i="6" s="1"/>
  <c r="E67" i="5"/>
  <c r="F67" i="5"/>
  <c r="G67" i="5"/>
  <c r="K79" i="3" l="1"/>
  <c r="L79" i="3"/>
  <c r="E103" i="2" l="1"/>
  <c r="F103" i="2"/>
  <c r="G103" i="2"/>
  <c r="E66" i="31"/>
  <c r="F66" i="31"/>
  <c r="G66" i="31" s="1"/>
  <c r="E66" i="16"/>
  <c r="F66" i="16"/>
  <c r="G66" i="16" s="1"/>
  <c r="E66" i="30"/>
  <c r="F66" i="30"/>
  <c r="G66" i="30" s="1"/>
  <c r="E66" i="29"/>
  <c r="F66" i="29"/>
  <c r="G66" i="29" s="1"/>
  <c r="E66" i="18"/>
  <c r="F66" i="18"/>
  <c r="G66" i="18"/>
  <c r="E66" i="28"/>
  <c r="F66" i="28"/>
  <c r="G66" i="28" s="1"/>
  <c r="E66" i="27"/>
  <c r="F66" i="27"/>
  <c r="G66" i="27" s="1"/>
  <c r="E66" i="26"/>
  <c r="F66" i="26"/>
  <c r="G66" i="26" s="1"/>
  <c r="E66" i="17"/>
  <c r="F66" i="17"/>
  <c r="G66" i="17" s="1"/>
  <c r="E66" i="25"/>
  <c r="F66" i="25"/>
  <c r="G66" i="25" s="1"/>
  <c r="E66" i="24"/>
  <c r="F66" i="24"/>
  <c r="G66" i="24"/>
  <c r="E66" i="23"/>
  <c r="F66" i="23"/>
  <c r="G66" i="23" s="1"/>
  <c r="E66" i="22"/>
  <c r="F66" i="22"/>
  <c r="G66" i="22" s="1"/>
  <c r="E66" i="21" l="1"/>
  <c r="F66" i="21"/>
  <c r="G66" i="21" s="1"/>
  <c r="E66" i="20"/>
  <c r="F66" i="20"/>
  <c r="G66" i="20" s="1"/>
  <c r="E66" i="19"/>
  <c r="F66" i="19"/>
  <c r="G66" i="19" s="1"/>
  <c r="E66" i="15"/>
  <c r="F66" i="15"/>
  <c r="G66" i="15" s="1"/>
  <c r="E66" i="14"/>
  <c r="F66" i="14"/>
  <c r="G66" i="14" s="1"/>
  <c r="E66" i="13"/>
  <c r="F66" i="13"/>
  <c r="G66" i="13" s="1"/>
  <c r="E66" i="12"/>
  <c r="F66" i="12"/>
  <c r="G66" i="12" s="1"/>
  <c r="E66" i="11"/>
  <c r="F66" i="11"/>
  <c r="G66" i="11"/>
  <c r="E66" i="10"/>
  <c r="G66" i="10" s="1"/>
  <c r="F66" i="10"/>
  <c r="E66" i="9"/>
  <c r="F66" i="9"/>
  <c r="G66" i="9" s="1"/>
  <c r="E66" i="8"/>
  <c r="F66" i="8"/>
  <c r="G66" i="8" s="1"/>
  <c r="E66" i="7"/>
  <c r="F66" i="7"/>
  <c r="G66" i="7"/>
  <c r="E66" i="6"/>
  <c r="F66" i="6"/>
  <c r="G66" i="6" s="1"/>
  <c r="E66" i="5"/>
  <c r="F66" i="5"/>
  <c r="G66" i="5" s="1"/>
  <c r="K78" i="3" l="1"/>
  <c r="L78" i="3"/>
  <c r="E102" i="2" l="1"/>
  <c r="F102" i="2"/>
  <c r="G102" i="2" s="1"/>
  <c r="E65" i="31"/>
  <c r="F65" i="31"/>
  <c r="G65" i="31" s="1"/>
  <c r="E65" i="16"/>
  <c r="F65" i="16"/>
  <c r="G65" i="16" s="1"/>
  <c r="E65" i="30"/>
  <c r="F65" i="30"/>
  <c r="G65" i="30" s="1"/>
  <c r="E65" i="29"/>
  <c r="F65" i="29"/>
  <c r="G65" i="29" s="1"/>
  <c r="E65" i="18"/>
  <c r="F65" i="18"/>
  <c r="G65" i="18" s="1"/>
  <c r="E65" i="28"/>
  <c r="F65" i="28"/>
  <c r="G65" i="28" s="1"/>
  <c r="E65" i="27"/>
  <c r="F65" i="27"/>
  <c r="G65" i="27" s="1"/>
  <c r="E65" i="26"/>
  <c r="F65" i="26"/>
  <c r="G65" i="26" s="1"/>
  <c r="E65" i="17"/>
  <c r="F65" i="17"/>
  <c r="G65" i="17" s="1"/>
  <c r="E65" i="25"/>
  <c r="G65" i="25" s="1"/>
  <c r="F65" i="25"/>
  <c r="E65" i="24"/>
  <c r="F65" i="24"/>
  <c r="G65" i="24" s="1"/>
  <c r="E65" i="23"/>
  <c r="F65" i="23"/>
  <c r="G65" i="23" s="1"/>
  <c r="E65" i="22"/>
  <c r="F65" i="22"/>
  <c r="G65" i="22" s="1"/>
  <c r="E65" i="21"/>
  <c r="F65" i="21"/>
  <c r="G65" i="21" s="1"/>
  <c r="E65" i="20"/>
  <c r="F65" i="20"/>
  <c r="G65" i="20" s="1"/>
  <c r="E65" i="19"/>
  <c r="F65" i="19"/>
  <c r="G65" i="19" s="1"/>
  <c r="E65" i="15"/>
  <c r="F65" i="15"/>
  <c r="G65" i="15" s="1"/>
  <c r="E65" i="14"/>
  <c r="F65" i="14"/>
  <c r="G65" i="14" s="1"/>
  <c r="E65" i="13"/>
  <c r="F65" i="13"/>
  <c r="G65" i="13" s="1"/>
  <c r="E65" i="12"/>
  <c r="F65" i="12"/>
  <c r="G65" i="12" s="1"/>
  <c r="E65" i="11"/>
  <c r="F65" i="11"/>
  <c r="G65" i="11" s="1"/>
  <c r="E65" i="10"/>
  <c r="F65" i="10"/>
  <c r="G65" i="10"/>
  <c r="E65" i="9"/>
  <c r="F65" i="9"/>
  <c r="G65" i="9"/>
  <c r="E65" i="8"/>
  <c r="F65" i="8"/>
  <c r="G65" i="8" s="1"/>
  <c r="E65" i="7"/>
  <c r="F65" i="7"/>
  <c r="G65" i="7"/>
  <c r="E65" i="6"/>
  <c r="F65" i="6"/>
  <c r="G65" i="6" s="1"/>
  <c r="E65" i="5"/>
  <c r="F65" i="5"/>
  <c r="G65" i="5" s="1"/>
  <c r="K77" i="3" l="1"/>
  <c r="L77" i="3"/>
  <c r="E101" i="2" l="1"/>
  <c r="F101" i="2"/>
  <c r="G101" i="2" s="1"/>
  <c r="E64" i="31"/>
  <c r="F64" i="31"/>
  <c r="G64" i="31" s="1"/>
  <c r="E64" i="16"/>
  <c r="F64" i="16"/>
  <c r="E64" i="30"/>
  <c r="F64" i="30"/>
  <c r="E64" i="29"/>
  <c r="F64" i="29"/>
  <c r="G64" i="29" s="1"/>
  <c r="E64" i="18"/>
  <c r="F64" i="18"/>
  <c r="G64" i="18" s="1"/>
  <c r="E64" i="28"/>
  <c r="G64" i="28" s="1"/>
  <c r="F64" i="28"/>
  <c r="E64" i="27"/>
  <c r="F64" i="27"/>
  <c r="E64" i="26"/>
  <c r="F64" i="26"/>
  <c r="E64" i="17"/>
  <c r="F64" i="17"/>
  <c r="G64" i="17" s="1"/>
  <c r="E64" i="25"/>
  <c r="F64" i="25"/>
  <c r="G64" i="25" s="1"/>
  <c r="E64" i="24"/>
  <c r="F64" i="24"/>
  <c r="G64" i="24" s="1"/>
  <c r="E64" i="23"/>
  <c r="F64" i="23"/>
  <c r="E64" i="22"/>
  <c r="F64" i="22"/>
  <c r="E64" i="21"/>
  <c r="F64" i="21"/>
  <c r="G64" i="21" s="1"/>
  <c r="E64" i="20"/>
  <c r="F64" i="20"/>
  <c r="G64" i="20" s="1"/>
  <c r="E64" i="19"/>
  <c r="F64" i="19"/>
  <c r="E64" i="15"/>
  <c r="F64" i="15"/>
  <c r="E64" i="14"/>
  <c r="F64" i="14"/>
  <c r="G64" i="14" s="1"/>
  <c r="E64" i="13"/>
  <c r="F64" i="13"/>
  <c r="G64" i="13" s="1"/>
  <c r="E64" i="12"/>
  <c r="F64" i="12"/>
  <c r="G64" i="12" s="1"/>
  <c r="E64" i="11"/>
  <c r="F64" i="11"/>
  <c r="G64" i="11" s="1"/>
  <c r="E64" i="10"/>
  <c r="F64" i="10"/>
  <c r="G64" i="10" s="1"/>
  <c r="E64" i="9"/>
  <c r="F64" i="9"/>
  <c r="E64" i="8"/>
  <c r="F64" i="8"/>
  <c r="G64" i="8" s="1"/>
  <c r="E64" i="7"/>
  <c r="F64" i="7"/>
  <c r="G64" i="7" s="1"/>
  <c r="E64" i="6"/>
  <c r="F64" i="6"/>
  <c r="G64" i="6"/>
  <c r="E64" i="5"/>
  <c r="F64" i="5"/>
  <c r="G64" i="5" s="1"/>
  <c r="K76" i="3"/>
  <c r="L76" i="3"/>
  <c r="E100" i="2"/>
  <c r="F100" i="2"/>
  <c r="G100" i="2" s="1"/>
  <c r="E63" i="31"/>
  <c r="F63" i="31"/>
  <c r="G63" i="31" s="1"/>
  <c r="E63" i="16"/>
  <c r="F63" i="16"/>
  <c r="G63" i="16" s="1"/>
  <c r="E63" i="30"/>
  <c r="F63" i="30"/>
  <c r="G63" i="30" s="1"/>
  <c r="E63" i="29"/>
  <c r="F63" i="29"/>
  <c r="G63" i="29" s="1"/>
  <c r="E63" i="18"/>
  <c r="F63" i="18"/>
  <c r="G63" i="18" s="1"/>
  <c r="E63" i="28"/>
  <c r="F63" i="28"/>
  <c r="G63" i="28" s="1"/>
  <c r="E63" i="27"/>
  <c r="F63" i="27"/>
  <c r="G63" i="27" s="1"/>
  <c r="E63" i="26"/>
  <c r="F63" i="26"/>
  <c r="E63" i="17"/>
  <c r="F63" i="17"/>
  <c r="E63" i="25"/>
  <c r="F63" i="25"/>
  <c r="G63" i="25" s="1"/>
  <c r="E63" i="24"/>
  <c r="F63" i="24"/>
  <c r="G63" i="24" s="1"/>
  <c r="E63" i="23"/>
  <c r="F63" i="23"/>
  <c r="E63" i="22"/>
  <c r="F63" i="22"/>
  <c r="E63" i="21"/>
  <c r="F63" i="21"/>
  <c r="E63" i="20"/>
  <c r="F63" i="20"/>
  <c r="G63" i="20" s="1"/>
  <c r="E63" i="19"/>
  <c r="F63" i="19"/>
  <c r="G63" i="19" s="1"/>
  <c r="E63" i="15"/>
  <c r="F63" i="15"/>
  <c r="G63" i="15" s="1"/>
  <c r="E63" i="14"/>
  <c r="F63" i="14"/>
  <c r="G63" i="14" s="1"/>
  <c r="E63" i="13"/>
  <c r="F63" i="13"/>
  <c r="G63" i="13" s="1"/>
  <c r="E63" i="12"/>
  <c r="F63" i="12"/>
  <c r="G63" i="12" s="1"/>
  <c r="E63" i="11"/>
  <c r="F63" i="11"/>
  <c r="E63" i="10"/>
  <c r="F63" i="10"/>
  <c r="G63" i="10" s="1"/>
  <c r="E63" i="9"/>
  <c r="F63" i="9"/>
  <c r="G63" i="9" s="1"/>
  <c r="E63" i="8"/>
  <c r="F63" i="8"/>
  <c r="G63" i="8"/>
  <c r="E63" i="7"/>
  <c r="F63" i="7"/>
  <c r="G63" i="7" s="1"/>
  <c r="G64" i="27" l="1"/>
  <c r="G64" i="30"/>
  <c r="G64" i="16"/>
  <c r="G64" i="15"/>
  <c r="G64" i="22"/>
  <c r="G64" i="9"/>
  <c r="G64" i="19"/>
  <c r="G64" i="23"/>
  <c r="G64" i="26"/>
  <c r="G63" i="21"/>
  <c r="G63" i="22"/>
  <c r="G63" i="17"/>
  <c r="G63" i="23"/>
  <c r="G63" i="26"/>
  <c r="G63" i="11"/>
  <c r="E63" i="6"/>
  <c r="F63" i="6"/>
  <c r="G63" i="6"/>
  <c r="E63" i="5"/>
  <c r="F63" i="5"/>
  <c r="G63" i="5"/>
  <c r="K75" i="3"/>
  <c r="L75" i="3"/>
  <c r="E99" i="2" l="1"/>
  <c r="F99" i="2"/>
  <c r="G99" i="2" s="1"/>
  <c r="E62" i="31" l="1"/>
  <c r="F62" i="31"/>
  <c r="G62" i="31" s="1"/>
  <c r="E62" i="16"/>
  <c r="F62" i="16"/>
  <c r="G62" i="16" s="1"/>
  <c r="E62" i="30"/>
  <c r="F62" i="30"/>
  <c r="G62" i="30" s="1"/>
  <c r="E62" i="29"/>
  <c r="F62" i="29"/>
  <c r="G62" i="29" s="1"/>
  <c r="E62" i="18"/>
  <c r="F62" i="18"/>
  <c r="G62" i="18" s="1"/>
  <c r="E62" i="28"/>
  <c r="F62" i="28"/>
  <c r="G62" i="28" s="1"/>
  <c r="E62" i="27"/>
  <c r="F62" i="27"/>
  <c r="G62" i="27" s="1"/>
  <c r="E62" i="26"/>
  <c r="F62" i="26"/>
  <c r="G62" i="26" s="1"/>
  <c r="E62" i="17"/>
  <c r="F62" i="17"/>
  <c r="G62" i="17" s="1"/>
  <c r="E62" i="25"/>
  <c r="F62" i="25"/>
  <c r="G62" i="25" s="1"/>
  <c r="E62" i="24"/>
  <c r="F62" i="24"/>
  <c r="G62" i="24" s="1"/>
  <c r="E62" i="23"/>
  <c r="F62" i="23"/>
  <c r="G62" i="23" s="1"/>
  <c r="E62" i="22"/>
  <c r="F62" i="22"/>
  <c r="G62" i="22"/>
  <c r="E62" i="21"/>
  <c r="F62" i="21"/>
  <c r="G62" i="21" s="1"/>
  <c r="E62" i="20"/>
  <c r="F62" i="20"/>
  <c r="G62" i="20" s="1"/>
  <c r="E62" i="19"/>
  <c r="F62" i="19"/>
  <c r="G62" i="19" s="1"/>
  <c r="E62" i="15"/>
  <c r="F62" i="15"/>
  <c r="G62" i="15"/>
  <c r="E62" i="14"/>
  <c r="F62" i="14"/>
  <c r="G62" i="14"/>
  <c r="E62" i="13"/>
  <c r="F62" i="13"/>
  <c r="G62" i="13" s="1"/>
  <c r="E62" i="12"/>
  <c r="F62" i="12"/>
  <c r="G62" i="12" s="1"/>
  <c r="E62" i="11"/>
  <c r="F62" i="11"/>
  <c r="G62" i="11"/>
  <c r="E62" i="10"/>
  <c r="F62" i="10"/>
  <c r="G62" i="10"/>
  <c r="E62" i="9"/>
  <c r="F62" i="9"/>
  <c r="G62" i="9" s="1"/>
  <c r="E62" i="8"/>
  <c r="F62" i="8"/>
  <c r="G62" i="8" s="1"/>
  <c r="E62" i="7"/>
  <c r="F62" i="7"/>
  <c r="G62" i="7" s="1"/>
  <c r="E62" i="6"/>
  <c r="F62" i="6"/>
  <c r="G62" i="6"/>
  <c r="E62" i="5"/>
  <c r="F62" i="5"/>
  <c r="G62" i="5"/>
  <c r="K74" i="3"/>
  <c r="L74" i="3"/>
  <c r="E98" i="2" l="1"/>
  <c r="F98" i="2"/>
  <c r="G98" i="2"/>
  <c r="F61" i="31"/>
  <c r="G61" i="31" s="1"/>
  <c r="E61" i="31"/>
  <c r="E61" i="16"/>
  <c r="F61" i="16"/>
  <c r="G61" i="16" s="1"/>
  <c r="E61" i="30"/>
  <c r="F61" i="30"/>
  <c r="G61" i="30" s="1"/>
  <c r="E61" i="29"/>
  <c r="F61" i="29"/>
  <c r="G61" i="29" s="1"/>
  <c r="E61" i="18"/>
  <c r="F61" i="18"/>
  <c r="G61" i="18" s="1"/>
  <c r="E61" i="28"/>
  <c r="F61" i="28"/>
  <c r="G61" i="28" s="1"/>
  <c r="E61" i="27"/>
  <c r="F61" i="27"/>
  <c r="G61" i="27" s="1"/>
  <c r="E61" i="26"/>
  <c r="F61" i="26"/>
  <c r="G61" i="26" s="1"/>
  <c r="E61" i="17"/>
  <c r="F61" i="17"/>
  <c r="G61" i="17" s="1"/>
  <c r="E61" i="25"/>
  <c r="F61" i="25"/>
  <c r="G61" i="25" s="1"/>
  <c r="E61" i="24"/>
  <c r="F61" i="24"/>
  <c r="G61" i="24" s="1"/>
  <c r="E61" i="23"/>
  <c r="F61" i="23"/>
  <c r="G61" i="23" s="1"/>
  <c r="E61" i="22"/>
  <c r="F61" i="22"/>
  <c r="G61" i="22" s="1"/>
  <c r="E61" i="21"/>
  <c r="F61" i="21"/>
  <c r="G61" i="21" s="1"/>
  <c r="E61" i="20"/>
  <c r="F61" i="20"/>
  <c r="G61" i="20" s="1"/>
  <c r="E61" i="19"/>
  <c r="F61" i="19"/>
  <c r="G61" i="19" s="1"/>
  <c r="E61" i="15"/>
  <c r="F61" i="15"/>
  <c r="G61" i="15" s="1"/>
  <c r="E61" i="14"/>
  <c r="F61" i="14"/>
  <c r="G61" i="14" s="1"/>
  <c r="E61" i="13"/>
  <c r="F61" i="13"/>
  <c r="G61" i="13" s="1"/>
  <c r="E61" i="12"/>
  <c r="F61" i="12"/>
  <c r="G61" i="12" s="1"/>
  <c r="E61" i="11"/>
  <c r="F61" i="11"/>
  <c r="G61" i="11" s="1"/>
  <c r="E61" i="10"/>
  <c r="F61" i="10"/>
  <c r="G61" i="10"/>
  <c r="E61" i="9"/>
  <c r="F61" i="9"/>
  <c r="G61" i="9" s="1"/>
  <c r="E61" i="8"/>
  <c r="F61" i="8"/>
  <c r="G61" i="8" s="1"/>
  <c r="E61" i="7"/>
  <c r="F61" i="7"/>
  <c r="G61" i="7" s="1"/>
  <c r="E61" i="6"/>
  <c r="F61" i="6"/>
  <c r="G61" i="6" s="1"/>
  <c r="E61" i="5"/>
  <c r="F61" i="5"/>
  <c r="G61" i="5" s="1"/>
  <c r="K73" i="3" l="1"/>
  <c r="L73" i="3"/>
  <c r="E97" i="2" l="1"/>
  <c r="F97" i="2"/>
  <c r="G97" i="2"/>
  <c r="E60" i="31"/>
  <c r="F60" i="31"/>
  <c r="G60" i="31" s="1"/>
  <c r="E60" i="16"/>
  <c r="F60" i="16"/>
  <c r="G60" i="16" s="1"/>
  <c r="E60" i="30"/>
  <c r="F60" i="30"/>
  <c r="G60" i="30" s="1"/>
  <c r="E60" i="29"/>
  <c r="F60" i="29"/>
  <c r="G60" i="29" s="1"/>
  <c r="E60" i="18"/>
  <c r="F60" i="18"/>
  <c r="G60" i="18" s="1"/>
  <c r="E60" i="28"/>
  <c r="F60" i="28"/>
  <c r="G60" i="28" s="1"/>
  <c r="E60" i="27"/>
  <c r="F60" i="27"/>
  <c r="G60" i="27" s="1"/>
  <c r="E60" i="26"/>
  <c r="F60" i="26"/>
  <c r="G60" i="26" s="1"/>
  <c r="E60" i="17"/>
  <c r="F60" i="17"/>
  <c r="G60" i="17" s="1"/>
  <c r="E60" i="25"/>
  <c r="F60" i="25"/>
  <c r="G60" i="25" s="1"/>
  <c r="E60" i="24"/>
  <c r="F60" i="24"/>
  <c r="G60" i="24" s="1"/>
  <c r="E60" i="23"/>
  <c r="F60" i="23"/>
  <c r="G60" i="23" s="1"/>
  <c r="E60" i="22"/>
  <c r="F60" i="22"/>
  <c r="G60" i="22" s="1"/>
  <c r="E60" i="21"/>
  <c r="F60" i="21"/>
  <c r="G60" i="21" s="1"/>
  <c r="E60" i="20"/>
  <c r="F60" i="20"/>
  <c r="G60" i="20" s="1"/>
  <c r="E60" i="19"/>
  <c r="F60" i="19"/>
  <c r="G60" i="19" s="1"/>
  <c r="E60" i="15"/>
  <c r="F60" i="15"/>
  <c r="G60" i="15" s="1"/>
  <c r="E60" i="14"/>
  <c r="F60" i="14"/>
  <c r="G60" i="14" s="1"/>
  <c r="E60" i="13"/>
  <c r="F60" i="13"/>
  <c r="G60" i="13" s="1"/>
  <c r="E60" i="12"/>
  <c r="F60" i="12"/>
  <c r="G60" i="12"/>
  <c r="E60" i="11"/>
  <c r="F60" i="11"/>
  <c r="G60" i="11"/>
  <c r="E60" i="10"/>
  <c r="F60" i="10"/>
  <c r="G60" i="10" s="1"/>
  <c r="E60" i="9"/>
  <c r="F60" i="9"/>
  <c r="G60" i="9" s="1"/>
  <c r="E60" i="8"/>
  <c r="F60" i="8"/>
  <c r="G60" i="8" s="1"/>
  <c r="E60" i="7"/>
  <c r="F60" i="7"/>
  <c r="G60" i="7" s="1"/>
  <c r="E60" i="6"/>
  <c r="F60" i="6"/>
  <c r="G60" i="6" s="1"/>
  <c r="E60" i="5"/>
  <c r="F60" i="5"/>
  <c r="G60" i="5" s="1"/>
  <c r="K72" i="3"/>
  <c r="L72" i="3"/>
  <c r="E96" i="2" l="1"/>
  <c r="G96" i="2" s="1"/>
  <c r="F96" i="2"/>
  <c r="E59" i="31"/>
  <c r="G59" i="31" s="1"/>
  <c r="F59" i="31"/>
  <c r="E59" i="16"/>
  <c r="F59" i="16"/>
  <c r="G59" i="16" s="1"/>
  <c r="E59" i="30"/>
  <c r="F59" i="30"/>
  <c r="G59" i="30" s="1"/>
  <c r="E59" i="29"/>
  <c r="F59" i="29"/>
  <c r="G59" i="29" s="1"/>
  <c r="E59" i="18"/>
  <c r="F59" i="18"/>
  <c r="G59" i="18" s="1"/>
  <c r="E59" i="28"/>
  <c r="F59" i="28"/>
  <c r="G59" i="28" s="1"/>
  <c r="E59" i="27"/>
  <c r="F59" i="27"/>
  <c r="G59" i="27" s="1"/>
  <c r="E59" i="26"/>
  <c r="F59" i="26"/>
  <c r="G59" i="26" s="1"/>
  <c r="E59" i="17"/>
  <c r="F59" i="17"/>
  <c r="G59" i="17" s="1"/>
  <c r="E59" i="25"/>
  <c r="F59" i="25"/>
  <c r="G59" i="25" s="1"/>
  <c r="E59" i="24"/>
  <c r="F59" i="24"/>
  <c r="G59" i="24" s="1"/>
  <c r="E59" i="23"/>
  <c r="F59" i="23"/>
  <c r="G59" i="23" s="1"/>
  <c r="E59" i="22"/>
  <c r="F59" i="22"/>
  <c r="G59" i="22" s="1"/>
  <c r="E59" i="21"/>
  <c r="F59" i="21"/>
  <c r="G59" i="21"/>
  <c r="E59" i="20"/>
  <c r="F59" i="20"/>
  <c r="G59" i="20"/>
  <c r="E59" i="19"/>
  <c r="F59" i="19"/>
  <c r="G59" i="19" s="1"/>
  <c r="E59" i="15"/>
  <c r="F59" i="15"/>
  <c r="G59" i="15" s="1"/>
  <c r="E59" i="14"/>
  <c r="F59" i="14"/>
  <c r="G59" i="14" s="1"/>
  <c r="E59" i="13"/>
  <c r="F59" i="13"/>
  <c r="G59" i="13" s="1"/>
  <c r="E59" i="12"/>
  <c r="G59" i="12" s="1"/>
  <c r="F59" i="12"/>
  <c r="E59" i="11"/>
  <c r="F59" i="11"/>
  <c r="G59" i="11" s="1"/>
  <c r="E59" i="10"/>
  <c r="F59" i="10"/>
  <c r="G59" i="10" s="1"/>
  <c r="E59" i="9"/>
  <c r="F59" i="9"/>
  <c r="G59" i="9" s="1"/>
  <c r="E59" i="8"/>
  <c r="F59" i="8"/>
  <c r="G59" i="8" s="1"/>
  <c r="E59" i="7"/>
  <c r="F59" i="7"/>
  <c r="G59" i="7" s="1"/>
  <c r="E59" i="6"/>
  <c r="F59" i="6"/>
  <c r="G59" i="6"/>
  <c r="E59" i="5"/>
  <c r="F59" i="5"/>
  <c r="G59" i="5" s="1"/>
  <c r="K71" i="3" l="1"/>
  <c r="L71" i="3"/>
  <c r="G95" i="2"/>
  <c r="E95" i="2" l="1"/>
  <c r="F95" i="2"/>
  <c r="K70" i="3"/>
  <c r="L70" i="3"/>
  <c r="E58" i="31"/>
  <c r="F58" i="31"/>
  <c r="G58" i="31" s="1"/>
  <c r="E58" i="16"/>
  <c r="F58" i="16"/>
  <c r="G58" i="16" s="1"/>
  <c r="E58" i="30"/>
  <c r="F58" i="30"/>
  <c r="G58" i="30" s="1"/>
  <c r="E58" i="29"/>
  <c r="F58" i="29"/>
  <c r="G58" i="29" s="1"/>
  <c r="E58" i="18"/>
  <c r="F58" i="18"/>
  <c r="G58" i="18"/>
  <c r="E58" i="28"/>
  <c r="F58" i="28"/>
  <c r="G58" i="28" s="1"/>
  <c r="E58" i="27"/>
  <c r="F58" i="27"/>
  <c r="G58" i="27"/>
  <c r="E58" i="26"/>
  <c r="F58" i="26"/>
  <c r="G58" i="26" s="1"/>
  <c r="E58" i="17"/>
  <c r="F58" i="17"/>
  <c r="G58" i="17" s="1"/>
  <c r="E58" i="25"/>
  <c r="F58" i="25"/>
  <c r="G58" i="25" s="1"/>
  <c r="E58" i="24"/>
  <c r="F58" i="24"/>
  <c r="G58" i="24" s="1"/>
  <c r="E58" i="23"/>
  <c r="F58" i="23"/>
  <c r="G58" i="23" s="1"/>
  <c r="E58" i="22"/>
  <c r="F58" i="22"/>
  <c r="G58" i="22"/>
  <c r="E58" i="21"/>
  <c r="F58" i="21"/>
  <c r="G58" i="21" s="1"/>
  <c r="E58" i="20"/>
  <c r="F58" i="20"/>
  <c r="G58" i="20" s="1"/>
  <c r="E58" i="19"/>
  <c r="F58" i="19"/>
  <c r="G58" i="19" s="1"/>
  <c r="E58" i="15"/>
  <c r="F58" i="15"/>
  <c r="G58" i="15" s="1"/>
  <c r="E58" i="14"/>
  <c r="F58" i="14"/>
  <c r="G58" i="14" s="1"/>
  <c r="E58" i="13"/>
  <c r="F58" i="13"/>
  <c r="G58" i="13" s="1"/>
  <c r="E58" i="12"/>
  <c r="F58" i="12"/>
  <c r="G58" i="12"/>
  <c r="E58" i="11"/>
  <c r="F58" i="11"/>
  <c r="G58" i="11" s="1"/>
  <c r="E58" i="10"/>
  <c r="F58" i="10"/>
  <c r="G58" i="10" s="1"/>
  <c r="E58" i="9"/>
  <c r="F58" i="9"/>
  <c r="G58" i="9" s="1"/>
  <c r="E58" i="8"/>
  <c r="F58" i="8"/>
  <c r="G58" i="8" s="1"/>
  <c r="E58" i="7"/>
  <c r="F58" i="7"/>
  <c r="G58" i="7" s="1"/>
  <c r="E58" i="6"/>
  <c r="F58" i="6"/>
  <c r="G58" i="6" s="1"/>
  <c r="E58" i="5"/>
  <c r="F58" i="5"/>
  <c r="G58" i="5" s="1"/>
  <c r="E94" i="2"/>
  <c r="G94" i="2" s="1"/>
  <c r="F94" i="2"/>
  <c r="E57" i="31"/>
  <c r="F57" i="31"/>
  <c r="G57" i="31" s="1"/>
  <c r="E57" i="16"/>
  <c r="F57" i="16"/>
  <c r="G57" i="16"/>
  <c r="E57" i="30"/>
  <c r="F57" i="30"/>
  <c r="G57" i="30" s="1"/>
  <c r="E57" i="29"/>
  <c r="F57" i="29"/>
  <c r="G57" i="29"/>
  <c r="E57" i="18"/>
  <c r="F57" i="18"/>
  <c r="G57" i="18"/>
  <c r="E57" i="28"/>
  <c r="F57" i="28"/>
  <c r="G57" i="28" s="1"/>
  <c r="E57" i="27"/>
  <c r="F57" i="27"/>
  <c r="G57" i="27" s="1"/>
  <c r="E57" i="26"/>
  <c r="F57" i="26"/>
  <c r="G57" i="26"/>
  <c r="E57" i="17"/>
  <c r="F57" i="17"/>
  <c r="G57" i="17" s="1"/>
  <c r="E57" i="25"/>
  <c r="F57" i="25"/>
  <c r="G57" i="25" s="1"/>
  <c r="E57" i="24"/>
  <c r="F57" i="24"/>
  <c r="G57" i="24"/>
  <c r="E57" i="23"/>
  <c r="F57" i="23"/>
  <c r="G57" i="23" s="1"/>
  <c r="E57" i="22"/>
  <c r="F57" i="22"/>
  <c r="G57" i="22" s="1"/>
  <c r="E57" i="21"/>
  <c r="F57" i="21"/>
  <c r="G57" i="21" s="1"/>
  <c r="E57" i="20"/>
  <c r="F57" i="20"/>
  <c r="G57" i="20"/>
  <c r="E57" i="19"/>
  <c r="F57" i="19"/>
  <c r="G57" i="19"/>
  <c r="E57" i="15"/>
  <c r="F57" i="15"/>
  <c r="G57" i="15" s="1"/>
  <c r="E57" i="14"/>
  <c r="F57" i="14"/>
  <c r="G57" i="14"/>
  <c r="E57" i="13"/>
  <c r="F57" i="13"/>
  <c r="G57" i="13" s="1"/>
  <c r="E57" i="12"/>
  <c r="F57" i="12"/>
  <c r="G57" i="12" s="1"/>
  <c r="E57" i="11"/>
  <c r="F57" i="11"/>
  <c r="G57" i="11"/>
  <c r="E57" i="10"/>
  <c r="F57" i="10"/>
  <c r="G57" i="10" s="1"/>
  <c r="E57" i="9"/>
  <c r="F57" i="9"/>
  <c r="G57" i="9" s="1"/>
  <c r="E57" i="8"/>
  <c r="F57" i="8"/>
  <c r="G57" i="8" s="1"/>
  <c r="E57" i="7"/>
  <c r="F57" i="7"/>
  <c r="G57" i="7"/>
  <c r="E57" i="6"/>
  <c r="F57" i="6"/>
  <c r="G57" i="6" s="1"/>
  <c r="E57" i="5"/>
  <c r="F57" i="5"/>
  <c r="G57" i="5" s="1"/>
  <c r="K69" i="3" l="1"/>
  <c r="L69" i="3"/>
  <c r="E93" i="2"/>
  <c r="F93" i="2"/>
  <c r="G93" i="2" s="1"/>
  <c r="E56" i="31" l="1"/>
  <c r="F56" i="31"/>
  <c r="G56" i="31" s="1"/>
  <c r="E56" i="16"/>
  <c r="F56" i="16"/>
  <c r="G56" i="16" s="1"/>
  <c r="E56" i="30"/>
  <c r="F56" i="30"/>
  <c r="G56" i="30" s="1"/>
  <c r="E56" i="29"/>
  <c r="F56" i="29"/>
  <c r="G56" i="29" s="1"/>
  <c r="E56" i="18"/>
  <c r="F56" i="18"/>
  <c r="G56" i="18" s="1"/>
  <c r="E56" i="28"/>
  <c r="F56" i="28"/>
  <c r="G56" i="28" s="1"/>
  <c r="E56" i="27"/>
  <c r="F56" i="27"/>
  <c r="G56" i="27" s="1"/>
  <c r="E56" i="26"/>
  <c r="F56" i="26"/>
  <c r="G56" i="26" s="1"/>
  <c r="E56" i="17"/>
  <c r="F56" i="17"/>
  <c r="G56" i="17" s="1"/>
  <c r="E56" i="25"/>
  <c r="F56" i="25"/>
  <c r="G56" i="25" s="1"/>
  <c r="E56" i="24"/>
  <c r="F56" i="24"/>
  <c r="G56" i="24" s="1"/>
  <c r="E56" i="23"/>
  <c r="F56" i="23"/>
  <c r="G56" i="23" s="1"/>
  <c r="E56" i="22"/>
  <c r="F56" i="22"/>
  <c r="G56" i="22" s="1"/>
  <c r="E56" i="21"/>
  <c r="F56" i="21"/>
  <c r="G56" i="21" s="1"/>
  <c r="E56" i="20"/>
  <c r="F56" i="20"/>
  <c r="G56" i="20"/>
  <c r="E56" i="19"/>
  <c r="F56" i="19"/>
  <c r="G56" i="19"/>
  <c r="E56" i="15"/>
  <c r="F56" i="15"/>
  <c r="G56" i="15"/>
  <c r="E56" i="14"/>
  <c r="F56" i="14"/>
  <c r="G56" i="14" s="1"/>
  <c r="E56" i="13"/>
  <c r="F56" i="13"/>
  <c r="G56" i="13" s="1"/>
  <c r="E56" i="12" l="1"/>
  <c r="F56" i="12"/>
  <c r="G56" i="12"/>
  <c r="E56" i="11"/>
  <c r="F56" i="11"/>
  <c r="G56" i="11" s="1"/>
  <c r="E56" i="10"/>
  <c r="F56" i="10"/>
  <c r="G56" i="10" s="1"/>
  <c r="E56" i="9"/>
  <c r="F56" i="9"/>
  <c r="G56" i="9" s="1"/>
  <c r="E56" i="8"/>
  <c r="F56" i="8"/>
  <c r="G56" i="8" s="1"/>
  <c r="E56" i="7"/>
  <c r="F56" i="7"/>
  <c r="G56" i="7" s="1"/>
  <c r="E56" i="6"/>
  <c r="F56" i="6"/>
  <c r="G56" i="6" s="1"/>
  <c r="E56" i="5"/>
  <c r="G56" i="5" s="1"/>
  <c r="F56" i="5"/>
  <c r="K68" i="3"/>
  <c r="L68" i="3"/>
  <c r="E92" i="2" l="1"/>
  <c r="G92" i="2" s="1"/>
  <c r="F92" i="2"/>
  <c r="E55" i="31" l="1"/>
  <c r="F55" i="31"/>
  <c r="G55" i="31" s="1"/>
  <c r="E55" i="16"/>
  <c r="F55" i="16"/>
  <c r="G55" i="16" s="1"/>
  <c r="E55" i="30"/>
  <c r="F55" i="30"/>
  <c r="G55" i="30" s="1"/>
  <c r="E55" i="29"/>
  <c r="F55" i="29"/>
  <c r="G55" i="29" s="1"/>
  <c r="E55" i="18"/>
  <c r="F55" i="18"/>
  <c r="G55" i="18" s="1"/>
  <c r="E55" i="28"/>
  <c r="F55" i="28"/>
  <c r="G55" i="28" s="1"/>
  <c r="E55" i="27"/>
  <c r="F55" i="27"/>
  <c r="G55" i="27" s="1"/>
  <c r="E55" i="26"/>
  <c r="F55" i="26"/>
  <c r="G55" i="26" s="1"/>
  <c r="E55" i="17"/>
  <c r="F55" i="17"/>
  <c r="G55" i="17" s="1"/>
  <c r="E55" i="25"/>
  <c r="F55" i="25"/>
  <c r="G55" i="25"/>
  <c r="E55" i="24"/>
  <c r="F55" i="24"/>
  <c r="G55" i="24" s="1"/>
  <c r="E55" i="23"/>
  <c r="F55" i="23"/>
  <c r="G55" i="23" s="1"/>
  <c r="E55" i="22"/>
  <c r="F55" i="22"/>
  <c r="G55" i="22" s="1"/>
  <c r="E55" i="21"/>
  <c r="F55" i="21"/>
  <c r="G55" i="21" s="1"/>
  <c r="E55" i="20"/>
  <c r="F55" i="20"/>
  <c r="G55" i="20" s="1"/>
  <c r="E55" i="19"/>
  <c r="F55" i="19"/>
  <c r="G55" i="19" s="1"/>
  <c r="E55" i="15"/>
  <c r="F55" i="15"/>
  <c r="G55" i="15" s="1"/>
  <c r="E55" i="14"/>
  <c r="F55" i="14"/>
  <c r="G55" i="14" s="1"/>
  <c r="E55" i="13"/>
  <c r="F55" i="13"/>
  <c r="G55" i="13" s="1"/>
  <c r="E55" i="12"/>
  <c r="F55" i="12"/>
  <c r="G55" i="12" s="1"/>
  <c r="E55" i="11"/>
  <c r="F55" i="11"/>
  <c r="G55" i="11" s="1"/>
  <c r="E55" i="10"/>
  <c r="F55" i="10"/>
  <c r="G55" i="10" s="1"/>
  <c r="E55" i="9"/>
  <c r="F55" i="9"/>
  <c r="G55" i="9"/>
  <c r="E55" i="8"/>
  <c r="F55" i="8"/>
  <c r="G55" i="8"/>
  <c r="E55" i="7"/>
  <c r="F55" i="7"/>
  <c r="G55" i="7" s="1"/>
  <c r="E55" i="6"/>
  <c r="F55" i="6"/>
  <c r="G55" i="6"/>
  <c r="E55" i="5"/>
  <c r="F55" i="5"/>
  <c r="G55" i="5" s="1"/>
  <c r="E91" i="2"/>
  <c r="G91" i="2" s="1"/>
  <c r="F91" i="2"/>
  <c r="K67" i="3"/>
  <c r="L67" i="3"/>
  <c r="E54" i="31"/>
  <c r="F54" i="31"/>
  <c r="G54" i="31" s="1"/>
  <c r="E54" i="16"/>
  <c r="F54" i="16"/>
  <c r="G54" i="16" s="1"/>
  <c r="E54" i="30"/>
  <c r="F54" i="30"/>
  <c r="G54" i="30" s="1"/>
  <c r="E54" i="29"/>
  <c r="F54" i="29"/>
  <c r="G54" i="29"/>
  <c r="E54" i="18"/>
  <c r="F54" i="18"/>
  <c r="G54" i="18" s="1"/>
  <c r="E54" i="28"/>
  <c r="F54" i="28"/>
  <c r="G54" i="28"/>
  <c r="E54" i="27"/>
  <c r="F54" i="27"/>
  <c r="G54" i="27" s="1"/>
  <c r="E54" i="26"/>
  <c r="F54" i="26"/>
  <c r="G54" i="26" s="1"/>
  <c r="E54" i="17"/>
  <c r="F54" i="17"/>
  <c r="G54" i="17"/>
  <c r="E54" i="25"/>
  <c r="F54" i="25"/>
  <c r="G54" i="25"/>
  <c r="E54" i="24"/>
  <c r="F54" i="24"/>
  <c r="G54" i="24" s="1"/>
  <c r="E54" i="23"/>
  <c r="F54" i="23"/>
  <c r="G54" i="23"/>
  <c r="E54" i="22"/>
  <c r="G54" i="22" s="1"/>
  <c r="F54" i="22"/>
  <c r="E54" i="21"/>
  <c r="F54" i="21"/>
  <c r="G54" i="21"/>
  <c r="E54" i="20"/>
  <c r="F54" i="20"/>
  <c r="G54" i="20" s="1"/>
  <c r="E54" i="19"/>
  <c r="G54" i="19" s="1"/>
  <c r="F54" i="19"/>
  <c r="E54" i="15"/>
  <c r="G54" i="15" s="1"/>
  <c r="F54" i="15"/>
  <c r="E54" i="14" l="1"/>
  <c r="G54" i="14" s="1"/>
  <c r="F54" i="14"/>
  <c r="E54" i="13"/>
  <c r="F54" i="13"/>
  <c r="G54" i="13"/>
  <c r="E54" i="12"/>
  <c r="F54" i="12"/>
  <c r="G54" i="12" s="1"/>
  <c r="E54" i="11"/>
  <c r="F54" i="11"/>
  <c r="G54" i="11" s="1"/>
  <c r="E54" i="10"/>
  <c r="F54" i="10"/>
  <c r="G54" i="10" s="1"/>
  <c r="E54" i="9"/>
  <c r="F54" i="9"/>
  <c r="G54" i="9" s="1"/>
  <c r="E54" i="8"/>
  <c r="G54" i="8" s="1"/>
  <c r="F54" i="8"/>
  <c r="E54" i="7"/>
  <c r="F54" i="7"/>
  <c r="G54" i="7"/>
  <c r="E53" i="7"/>
  <c r="E54" i="6"/>
  <c r="F54" i="6"/>
  <c r="G54" i="6" s="1"/>
  <c r="E54" i="5"/>
  <c r="F54" i="5"/>
  <c r="G54" i="5"/>
  <c r="K66" i="3"/>
  <c r="L66" i="3"/>
  <c r="E90" i="2"/>
  <c r="F90" i="2"/>
  <c r="G90" i="2"/>
  <c r="E53" i="31" l="1"/>
  <c r="F53" i="31"/>
  <c r="G53" i="31"/>
  <c r="E53" i="16"/>
  <c r="F53" i="16"/>
  <c r="G53" i="16" s="1"/>
  <c r="E53" i="30"/>
  <c r="F53" i="30"/>
  <c r="G53" i="30" s="1"/>
  <c r="E53" i="29"/>
  <c r="F53" i="29"/>
  <c r="G53" i="29" s="1"/>
  <c r="E53" i="18"/>
  <c r="F53" i="18"/>
  <c r="G53" i="18"/>
  <c r="E53" i="28"/>
  <c r="F53" i="28"/>
  <c r="G53" i="28" s="1"/>
  <c r="E53" i="27"/>
  <c r="F53" i="27"/>
  <c r="G53" i="27" s="1"/>
  <c r="E53" i="26"/>
  <c r="F53" i="26"/>
  <c r="E53" i="17"/>
  <c r="F53" i="17"/>
  <c r="G53" i="17" s="1"/>
  <c r="E53" i="25"/>
  <c r="F53" i="25"/>
  <c r="G53" i="25" s="1"/>
  <c r="E53" i="24"/>
  <c r="F53" i="24"/>
  <c r="G53" i="24" s="1"/>
  <c r="E53" i="23"/>
  <c r="F53" i="23"/>
  <c r="G53" i="23" s="1"/>
  <c r="E53" i="22"/>
  <c r="F53" i="22"/>
  <c r="G53" i="22" s="1"/>
  <c r="E53" i="21"/>
  <c r="F53" i="21"/>
  <c r="G53" i="21" s="1"/>
  <c r="E53" i="20"/>
  <c r="F53" i="20"/>
  <c r="G53" i="20" s="1"/>
  <c r="E53" i="19"/>
  <c r="F53" i="19"/>
  <c r="G53" i="19" s="1"/>
  <c r="E53" i="15"/>
  <c r="F53" i="15"/>
  <c r="E53" i="14"/>
  <c r="F53" i="14"/>
  <c r="G53" i="14" s="1"/>
  <c r="E53" i="13"/>
  <c r="G53" i="13" s="1"/>
  <c r="F53" i="13"/>
  <c r="E53" i="12"/>
  <c r="F53" i="12"/>
  <c r="G53" i="12" s="1"/>
  <c r="E53" i="11"/>
  <c r="F53" i="11"/>
  <c r="G53" i="11" s="1"/>
  <c r="E53" i="10"/>
  <c r="G53" i="10" s="1"/>
  <c r="F53" i="10"/>
  <c r="E53" i="9"/>
  <c r="F53" i="9"/>
  <c r="E53" i="8"/>
  <c r="F53" i="8"/>
  <c r="G53" i="8" s="1"/>
  <c r="F53" i="7"/>
  <c r="G53" i="7" s="1"/>
  <c r="E53" i="6"/>
  <c r="F53" i="6"/>
  <c r="G53" i="6" s="1"/>
  <c r="E53" i="5"/>
  <c r="F53" i="5"/>
  <c r="G53" i="5" s="1"/>
  <c r="E89" i="2"/>
  <c r="F89" i="2"/>
  <c r="K65" i="3"/>
  <c r="L65" i="3"/>
  <c r="E52" i="31"/>
  <c r="F52" i="31"/>
  <c r="G52" i="31" s="1"/>
  <c r="E52" i="16"/>
  <c r="F52" i="16"/>
  <c r="G52" i="16" s="1"/>
  <c r="E52" i="30"/>
  <c r="F52" i="30"/>
  <c r="G52" i="30" s="1"/>
  <c r="E52" i="29"/>
  <c r="F52" i="29"/>
  <c r="G52" i="29" s="1"/>
  <c r="E52" i="18"/>
  <c r="F52" i="18"/>
  <c r="G52" i="18" s="1"/>
  <c r="E52" i="28"/>
  <c r="F52" i="28"/>
  <c r="G52" i="28" s="1"/>
  <c r="E52" i="27"/>
  <c r="F52" i="27"/>
  <c r="G52" i="27"/>
  <c r="E52" i="26"/>
  <c r="F52" i="26"/>
  <c r="E52" i="17"/>
  <c r="F52" i="17"/>
  <c r="G52" i="17" s="1"/>
  <c r="E52" i="25"/>
  <c r="F52" i="25"/>
  <c r="G52" i="25" s="1"/>
  <c r="E52" i="24"/>
  <c r="F52" i="24"/>
  <c r="G52" i="24" s="1"/>
  <c r="E52" i="23"/>
  <c r="F52" i="23"/>
  <c r="E52" i="22"/>
  <c r="F52" i="22"/>
  <c r="G52" i="22" s="1"/>
  <c r="E52" i="21"/>
  <c r="F52" i="21"/>
  <c r="G52" i="21"/>
  <c r="E52" i="20"/>
  <c r="F52" i="20"/>
  <c r="G52" i="20" s="1"/>
  <c r="E52" i="19"/>
  <c r="F52" i="19"/>
  <c r="G52" i="19" s="1"/>
  <c r="E52" i="15"/>
  <c r="F52" i="15"/>
  <c r="G52" i="15" s="1"/>
  <c r="E52" i="14"/>
  <c r="G52" i="14" s="1"/>
  <c r="F52" i="14"/>
  <c r="G53" i="26" l="1"/>
  <c r="G53" i="15"/>
  <c r="G53" i="9"/>
  <c r="G89" i="2"/>
  <c r="G52" i="23"/>
  <c r="G52" i="26"/>
  <c r="E52" i="13"/>
  <c r="F52" i="13"/>
  <c r="G52" i="13" s="1"/>
  <c r="E52" i="12"/>
  <c r="F52" i="12"/>
  <c r="E52" i="11"/>
  <c r="F52" i="11"/>
  <c r="G52" i="11" s="1"/>
  <c r="E52" i="10"/>
  <c r="F52" i="10"/>
  <c r="E52" i="9"/>
  <c r="F52" i="9"/>
  <c r="G52" i="9" s="1"/>
  <c r="E52" i="8"/>
  <c r="F52" i="8"/>
  <c r="E52" i="7"/>
  <c r="F52" i="7"/>
  <c r="G52" i="7" s="1"/>
  <c r="E52" i="6"/>
  <c r="F52" i="6"/>
  <c r="G52" i="6" s="1"/>
  <c r="E52" i="5"/>
  <c r="F52" i="5"/>
  <c r="G52" i="5" s="1"/>
  <c r="F88" i="2"/>
  <c r="E88" i="2"/>
  <c r="G88" i="2" s="1"/>
  <c r="K64" i="3"/>
  <c r="L64" i="3"/>
  <c r="E51" i="31"/>
  <c r="F51" i="31"/>
  <c r="G51" i="31" s="1"/>
  <c r="E51" i="16"/>
  <c r="F51" i="16"/>
  <c r="E51" i="30"/>
  <c r="F51" i="30"/>
  <c r="G51" i="30" s="1"/>
  <c r="E51" i="29"/>
  <c r="F51" i="29"/>
  <c r="G51" i="29" s="1"/>
  <c r="E51" i="18"/>
  <c r="F51" i="18"/>
  <c r="G51" i="18" s="1"/>
  <c r="E51" i="28"/>
  <c r="F51" i="28"/>
  <c r="G51" i="28" s="1"/>
  <c r="E51" i="27"/>
  <c r="F51" i="27"/>
  <c r="G51" i="27" s="1"/>
  <c r="E51" i="26"/>
  <c r="F51" i="26"/>
  <c r="G51" i="26" s="1"/>
  <c r="E51" i="17"/>
  <c r="F51" i="17"/>
  <c r="G51" i="17" s="1"/>
  <c r="E51" i="25"/>
  <c r="F51" i="25"/>
  <c r="E51" i="24"/>
  <c r="F51" i="24"/>
  <c r="E51" i="23"/>
  <c r="F51" i="23"/>
  <c r="E51" i="22"/>
  <c r="F51" i="22"/>
  <c r="G51" i="22" s="1"/>
  <c r="E51" i="21"/>
  <c r="F51" i="21"/>
  <c r="E51" i="20"/>
  <c r="F51" i="20"/>
  <c r="G51" i="20" s="1"/>
  <c r="E51" i="19"/>
  <c r="F51" i="19"/>
  <c r="E51" i="15"/>
  <c r="F51" i="15"/>
  <c r="G51" i="15" s="1"/>
  <c r="E51" i="14"/>
  <c r="F51" i="14"/>
  <c r="G51" i="14" s="1"/>
  <c r="E51" i="13"/>
  <c r="F51" i="13"/>
  <c r="G51" i="13" s="1"/>
  <c r="E51" i="12"/>
  <c r="F51" i="12"/>
  <c r="G51" i="12" s="1"/>
  <c r="E51" i="11"/>
  <c r="F51" i="11"/>
  <c r="G51" i="11" s="1"/>
  <c r="E51" i="10"/>
  <c r="F51" i="10"/>
  <c r="G51" i="10" s="1"/>
  <c r="E51" i="9"/>
  <c r="F51" i="9"/>
  <c r="G51" i="9" s="1"/>
  <c r="E51" i="8"/>
  <c r="F51" i="8"/>
  <c r="G51" i="8" s="1"/>
  <c r="E51" i="7"/>
  <c r="F51" i="7"/>
  <c r="G51" i="7" s="1"/>
  <c r="E51" i="6"/>
  <c r="F51" i="6"/>
  <c r="G51" i="6" s="1"/>
  <c r="E51" i="5"/>
  <c r="F51" i="5"/>
  <c r="G51" i="5" s="1"/>
  <c r="K63" i="3"/>
  <c r="L63" i="3"/>
  <c r="E87" i="2"/>
  <c r="G87" i="2" s="1"/>
  <c r="F87" i="2"/>
  <c r="F86" i="2"/>
  <c r="G86" i="2"/>
  <c r="E50" i="31"/>
  <c r="F50" i="31"/>
  <c r="G50" i="31" s="1"/>
  <c r="E50" i="16"/>
  <c r="F50" i="16"/>
  <c r="G50" i="16" s="1"/>
  <c r="E50" i="30"/>
  <c r="F50" i="30"/>
  <c r="G50" i="30" s="1"/>
  <c r="E50" i="29"/>
  <c r="F50" i="29"/>
  <c r="G50" i="29" s="1"/>
  <c r="E50" i="18"/>
  <c r="F50" i="18"/>
  <c r="G50" i="18" s="1"/>
  <c r="E50" i="28"/>
  <c r="F50" i="28"/>
  <c r="G50" i="28"/>
  <c r="E50" i="27"/>
  <c r="F50" i="27"/>
  <c r="G50" i="27" s="1"/>
  <c r="E50" i="26"/>
  <c r="F50" i="26"/>
  <c r="G50" i="26" s="1"/>
  <c r="E50" i="17"/>
  <c r="F50" i="17"/>
  <c r="G50" i="17" s="1"/>
  <c r="E50" i="25"/>
  <c r="F50" i="25"/>
  <c r="G50" i="25"/>
  <c r="E50" i="24"/>
  <c r="F50" i="24"/>
  <c r="G50" i="24" s="1"/>
  <c r="E50" i="23"/>
  <c r="F50" i="23"/>
  <c r="G50" i="23"/>
  <c r="E50" i="22"/>
  <c r="F50" i="22"/>
  <c r="G50" i="22" s="1"/>
  <c r="E50" i="21"/>
  <c r="F50" i="21"/>
  <c r="G50" i="21" s="1"/>
  <c r="E50" i="20"/>
  <c r="F50" i="20"/>
  <c r="G50" i="20" s="1"/>
  <c r="E50" i="19"/>
  <c r="F50" i="19"/>
  <c r="G50" i="19" s="1"/>
  <c r="E50" i="15"/>
  <c r="F50" i="15"/>
  <c r="E50" i="14"/>
  <c r="F50" i="14"/>
  <c r="G50" i="14" s="1"/>
  <c r="E50" i="13"/>
  <c r="F50" i="13"/>
  <c r="G50" i="13" s="1"/>
  <c r="E50" i="12"/>
  <c r="G50" i="12" s="1"/>
  <c r="F50" i="12"/>
  <c r="E50" i="11"/>
  <c r="F50" i="11"/>
  <c r="G50" i="11"/>
  <c r="E50" i="10"/>
  <c r="F50" i="10"/>
  <c r="G50" i="10" s="1"/>
  <c r="E50" i="9"/>
  <c r="F50" i="9"/>
  <c r="G50" i="9" s="1"/>
  <c r="E50" i="8"/>
  <c r="F50" i="8"/>
  <c r="G50" i="8"/>
  <c r="E50" i="7"/>
  <c r="F50" i="7"/>
  <c r="G50" i="7"/>
  <c r="E50" i="6"/>
  <c r="F50" i="6"/>
  <c r="G50" i="6" s="1"/>
  <c r="E50" i="5"/>
  <c r="F50" i="5"/>
  <c r="G50" i="5"/>
  <c r="K62" i="3"/>
  <c r="L62" i="3"/>
  <c r="E86" i="2"/>
  <c r="E49" i="31"/>
  <c r="F49" i="31"/>
  <c r="G49" i="31" s="1"/>
  <c r="E49" i="16"/>
  <c r="F49" i="16"/>
  <c r="G49" i="16" s="1"/>
  <c r="E49" i="30"/>
  <c r="F49" i="30"/>
  <c r="G49" i="30" s="1"/>
  <c r="E49" i="29"/>
  <c r="F49" i="29"/>
  <c r="G49" i="29" s="1"/>
  <c r="E49" i="18"/>
  <c r="F49" i="18"/>
  <c r="G49" i="18"/>
  <c r="E49" i="28"/>
  <c r="F49" i="28"/>
  <c r="G49" i="28" s="1"/>
  <c r="E49" i="27"/>
  <c r="F49" i="27"/>
  <c r="G49" i="27" s="1"/>
  <c r="E49" i="26"/>
  <c r="F49" i="26"/>
  <c r="G49" i="26"/>
  <c r="E49" i="17"/>
  <c r="F49" i="17"/>
  <c r="G49" i="17" s="1"/>
  <c r="E49" i="25"/>
  <c r="F49" i="25"/>
  <c r="G49" i="25" s="1"/>
  <c r="E49" i="24"/>
  <c r="F49" i="24"/>
  <c r="G49" i="24" s="1"/>
  <c r="E49" i="23"/>
  <c r="F49" i="23"/>
  <c r="G49" i="23" s="1"/>
  <c r="E49" i="22"/>
  <c r="F49" i="22"/>
  <c r="G49" i="22" s="1"/>
  <c r="E49" i="21"/>
  <c r="F49" i="21"/>
  <c r="G49" i="21"/>
  <c r="E49" i="20"/>
  <c r="G49" i="20" s="1"/>
  <c r="F49" i="20"/>
  <c r="E49" i="19"/>
  <c r="F49" i="19"/>
  <c r="G49" i="19" s="1"/>
  <c r="E49" i="15"/>
  <c r="F49" i="15"/>
  <c r="G49" i="15" s="1"/>
  <c r="E49" i="14"/>
  <c r="F49" i="14"/>
  <c r="G49" i="14" s="1"/>
  <c r="E49" i="13"/>
  <c r="F49" i="13"/>
  <c r="G49" i="13" s="1"/>
  <c r="E49" i="12"/>
  <c r="F49" i="12"/>
  <c r="G49" i="12" s="1"/>
  <c r="E49" i="11"/>
  <c r="F49" i="11"/>
  <c r="G49" i="11" s="1"/>
  <c r="E49" i="10"/>
  <c r="F49" i="10"/>
  <c r="G49" i="10" s="1"/>
  <c r="E49" i="9"/>
  <c r="F49" i="9"/>
  <c r="G49" i="9" s="1"/>
  <c r="E49" i="8"/>
  <c r="F49" i="8"/>
  <c r="G49" i="8" s="1"/>
  <c r="E49" i="7"/>
  <c r="F49" i="7"/>
  <c r="G49" i="7"/>
  <c r="E49" i="6"/>
  <c r="F49" i="6"/>
  <c r="G49" i="6"/>
  <c r="G49" i="5"/>
  <c r="E49" i="5"/>
  <c r="F49" i="5"/>
  <c r="K61" i="3"/>
  <c r="L61" i="3"/>
  <c r="F85" i="2"/>
  <c r="G85" i="2"/>
  <c r="E85" i="2"/>
  <c r="E48" i="31"/>
  <c r="F48" i="31"/>
  <c r="G48" i="31" s="1"/>
  <c r="E48" i="16"/>
  <c r="F48" i="16"/>
  <c r="G48" i="16" s="1"/>
  <c r="E48" i="30"/>
  <c r="F48" i="30"/>
  <c r="G48" i="30"/>
  <c r="E48" i="29"/>
  <c r="F48" i="29"/>
  <c r="G48" i="29" s="1"/>
  <c r="E48" i="18"/>
  <c r="F48" i="18"/>
  <c r="G48" i="18" s="1"/>
  <c r="E48" i="28"/>
  <c r="F48" i="28"/>
  <c r="G48" i="28" s="1"/>
  <c r="E48" i="27"/>
  <c r="F48" i="27"/>
  <c r="G48" i="27" s="1"/>
  <c r="E48" i="26"/>
  <c r="F48" i="26"/>
  <c r="G48" i="26" s="1"/>
  <c r="E48" i="17"/>
  <c r="F48" i="17"/>
  <c r="G48" i="17"/>
  <c r="E48" i="25"/>
  <c r="F48" i="25"/>
  <c r="G48" i="25" s="1"/>
  <c r="E48" i="24"/>
  <c r="F48" i="24"/>
  <c r="G48" i="24"/>
  <c r="E48" i="23"/>
  <c r="G48" i="23" s="1"/>
  <c r="F48" i="23"/>
  <c r="E48" i="22"/>
  <c r="F48" i="22"/>
  <c r="G48" i="22"/>
  <c r="E48" i="21"/>
  <c r="F48" i="21"/>
  <c r="G48" i="21"/>
  <c r="E48" i="20"/>
  <c r="F48" i="20"/>
  <c r="G48" i="20"/>
  <c r="E48" i="19"/>
  <c r="F48" i="19"/>
  <c r="G48" i="19" s="1"/>
  <c r="E48" i="15"/>
  <c r="F48" i="15"/>
  <c r="E48" i="14"/>
  <c r="F48" i="14"/>
  <c r="G48" i="14" s="1"/>
  <c r="E48" i="13"/>
  <c r="F48" i="13"/>
  <c r="G48" i="13"/>
  <c r="E48" i="12"/>
  <c r="F48" i="12"/>
  <c r="G48" i="12"/>
  <c r="E48" i="11"/>
  <c r="F48" i="11"/>
  <c r="G48" i="11" s="1"/>
  <c r="E48" i="10"/>
  <c r="F48" i="10"/>
  <c r="G48" i="10" s="1"/>
  <c r="E48" i="9"/>
  <c r="F48" i="9"/>
  <c r="G48" i="9" s="1"/>
  <c r="E48" i="8"/>
  <c r="F48" i="8"/>
  <c r="G48" i="8" s="1"/>
  <c r="E48" i="7"/>
  <c r="F48" i="7"/>
  <c r="G48" i="7" s="1"/>
  <c r="E48" i="6"/>
  <c r="F48" i="6"/>
  <c r="G48" i="6" s="1"/>
  <c r="E48" i="5"/>
  <c r="F48" i="5"/>
  <c r="G48" i="5" s="1"/>
  <c r="K60" i="3"/>
  <c r="L60" i="3"/>
  <c r="F84" i="2"/>
  <c r="G84" i="2"/>
  <c r="E84" i="2"/>
  <c r="E47" i="31"/>
  <c r="F47" i="31"/>
  <c r="G47" i="31"/>
  <c r="E47" i="16"/>
  <c r="F47" i="16"/>
  <c r="G47" i="16" s="1"/>
  <c r="E47" i="30"/>
  <c r="F47" i="30"/>
  <c r="G47" i="30" s="1"/>
  <c r="E47" i="29"/>
  <c r="F47" i="29"/>
  <c r="G47" i="29" s="1"/>
  <c r="E47" i="18"/>
  <c r="F47" i="18"/>
  <c r="G47" i="18"/>
  <c r="E47" i="28"/>
  <c r="F47" i="28"/>
  <c r="G47" i="28" s="1"/>
  <c r="E47" i="27"/>
  <c r="F47" i="27"/>
  <c r="G47" i="27"/>
  <c r="E47" i="26"/>
  <c r="F47" i="26"/>
  <c r="G47" i="26" s="1"/>
  <c r="E47" i="17"/>
  <c r="F47" i="17"/>
  <c r="G47" i="17" s="1"/>
  <c r="E47" i="25"/>
  <c r="F47" i="25"/>
  <c r="G47" i="25" s="1"/>
  <c r="E47" i="24"/>
  <c r="F47" i="24"/>
  <c r="G47" i="24" s="1"/>
  <c r="E47" i="23"/>
  <c r="G47" i="23" s="1"/>
  <c r="F47" i="23"/>
  <c r="E47" i="22"/>
  <c r="F47" i="22"/>
  <c r="G47" i="22" s="1"/>
  <c r="E47" i="21"/>
  <c r="F47" i="21"/>
  <c r="G47" i="21" s="1"/>
  <c r="E47" i="20"/>
  <c r="G47" i="20" s="1"/>
  <c r="F47" i="20"/>
  <c r="E47" i="19"/>
  <c r="F47" i="19"/>
  <c r="G47" i="19"/>
  <c r="E47" i="15"/>
  <c r="F47" i="15"/>
  <c r="E47" i="14"/>
  <c r="F47" i="14"/>
  <c r="G47" i="14" s="1"/>
  <c r="E47" i="13"/>
  <c r="F47" i="13"/>
  <c r="G47" i="13" s="1"/>
  <c r="E47" i="12"/>
  <c r="F47" i="12"/>
  <c r="G47" i="12"/>
  <c r="G47" i="11"/>
  <c r="E47" i="11"/>
  <c r="F47" i="11"/>
  <c r="G47" i="10"/>
  <c r="E47" i="10"/>
  <c r="F47" i="10"/>
  <c r="G47" i="9"/>
  <c r="E47" i="9"/>
  <c r="F47" i="9"/>
  <c r="G47" i="8"/>
  <c r="E47" i="8"/>
  <c r="F47" i="8"/>
  <c r="G47" i="7"/>
  <c r="E47" i="7"/>
  <c r="F47" i="7"/>
  <c r="G47" i="6"/>
  <c r="E47" i="6"/>
  <c r="F47" i="6"/>
  <c r="G47" i="5"/>
  <c r="E47" i="5"/>
  <c r="F47" i="5"/>
  <c r="K59" i="3"/>
  <c r="L59" i="3"/>
  <c r="F83" i="2"/>
  <c r="G83" i="2" s="1"/>
  <c r="E83" i="2"/>
  <c r="E46" i="31"/>
  <c r="F46" i="31"/>
  <c r="G46" i="31" s="1"/>
  <c r="E46" i="16"/>
  <c r="F46" i="16"/>
  <c r="G46" i="16" s="1"/>
  <c r="E46" i="30"/>
  <c r="F46" i="30"/>
  <c r="G46" i="30" s="1"/>
  <c r="G46" i="29"/>
  <c r="E46" i="29"/>
  <c r="F46" i="29"/>
  <c r="E46" i="18"/>
  <c r="F46" i="18"/>
  <c r="G46" i="18"/>
  <c r="G46" i="28"/>
  <c r="E46" i="28"/>
  <c r="F46" i="28"/>
  <c r="G50" i="15" l="1"/>
  <c r="G47" i="15"/>
  <c r="G48" i="15"/>
  <c r="G52" i="10"/>
  <c r="G52" i="8"/>
  <c r="G52" i="12"/>
  <c r="G51" i="16"/>
  <c r="G51" i="25"/>
  <c r="G51" i="24"/>
  <c r="G51" i="23"/>
  <c r="G51" i="21"/>
  <c r="G51" i="19"/>
  <c r="G46" i="27"/>
  <c r="E46" i="27"/>
  <c r="F46" i="27"/>
  <c r="E46" i="26"/>
  <c r="F46" i="26"/>
  <c r="G46" i="26"/>
  <c r="E46" i="17"/>
  <c r="F46" i="17"/>
  <c r="G46" i="17" s="1"/>
  <c r="E46" i="25"/>
  <c r="F46" i="25"/>
  <c r="G46" i="25"/>
  <c r="E46" i="24"/>
  <c r="G46" i="24" s="1"/>
  <c r="F46" i="24"/>
  <c r="E46" i="23"/>
  <c r="F46" i="23"/>
  <c r="G46" i="23" s="1"/>
  <c r="E46" i="22"/>
  <c r="F46" i="22"/>
  <c r="G46" i="22" s="1"/>
  <c r="E46" i="21" l="1"/>
  <c r="F46" i="21"/>
  <c r="G46" i="21" s="1"/>
  <c r="E46" i="20"/>
  <c r="F46" i="20"/>
  <c r="G46" i="20" s="1"/>
  <c r="E46" i="19"/>
  <c r="F46" i="19"/>
  <c r="G46" i="19" s="1"/>
  <c r="F46" i="15"/>
  <c r="G46" i="15" s="1"/>
  <c r="G45" i="15"/>
  <c r="E46" i="15"/>
  <c r="E45" i="15"/>
  <c r="E46" i="14"/>
  <c r="F46" i="14"/>
  <c r="G46" i="14" s="1"/>
  <c r="G46" i="13"/>
  <c r="G45" i="13"/>
  <c r="E46" i="13"/>
  <c r="F46" i="13"/>
  <c r="E46" i="12"/>
  <c r="F46" i="12"/>
  <c r="G46" i="12" s="1"/>
  <c r="G46" i="11"/>
  <c r="E46" i="11"/>
  <c r="F46" i="11"/>
  <c r="G46" i="10"/>
  <c r="E46" i="10"/>
  <c r="F46" i="10"/>
  <c r="E46" i="9"/>
  <c r="F46" i="9"/>
  <c r="G46" i="9" s="1"/>
  <c r="E46" i="8"/>
  <c r="G46" i="8" s="1"/>
  <c r="F46" i="8"/>
  <c r="G46" i="7"/>
  <c r="E46" i="7"/>
  <c r="F46" i="7"/>
  <c r="G46" i="6"/>
  <c r="E46" i="6"/>
  <c r="F46" i="6"/>
  <c r="G46" i="5"/>
  <c r="E46" i="5"/>
  <c r="F46" i="5"/>
  <c r="K58" i="3"/>
  <c r="L58" i="3"/>
  <c r="F82" i="2"/>
  <c r="G82" i="2" s="1"/>
  <c r="E82" i="2"/>
  <c r="F45" i="31"/>
  <c r="E45" i="31"/>
  <c r="G45" i="31"/>
  <c r="F45" i="16"/>
  <c r="E45" i="16"/>
  <c r="G45" i="16"/>
  <c r="F45" i="30"/>
  <c r="E45" i="30"/>
  <c r="G45" i="30"/>
  <c r="F45" i="29"/>
  <c r="E45" i="29"/>
  <c r="G45" i="29"/>
  <c r="F45" i="18"/>
  <c r="E45" i="18"/>
  <c r="G45" i="18"/>
  <c r="F45" i="28"/>
  <c r="E45" i="28"/>
  <c r="G45" i="28"/>
  <c r="F45" i="27"/>
  <c r="E45" i="27"/>
  <c r="G45" i="27"/>
  <c r="F45" i="26"/>
  <c r="E45" i="26"/>
  <c r="G45" i="26"/>
  <c r="F45" i="17"/>
  <c r="E45" i="17"/>
  <c r="G45" i="17"/>
  <c r="F45" i="25"/>
  <c r="E45" i="25"/>
  <c r="G45" i="25"/>
  <c r="F45" i="24"/>
  <c r="E45" i="24"/>
  <c r="G45" i="24"/>
  <c r="F45" i="23"/>
  <c r="E45" i="23"/>
  <c r="G45" i="23"/>
  <c r="F45" i="22"/>
  <c r="E45" i="22"/>
  <c r="G45" i="22"/>
  <c r="F45" i="21"/>
  <c r="E45" i="21"/>
  <c r="G45" i="21"/>
  <c r="F45" i="20"/>
  <c r="E45" i="20"/>
  <c r="G45" i="20"/>
  <c r="F45" i="19"/>
  <c r="E45" i="19"/>
  <c r="G45" i="19"/>
  <c r="F45" i="15"/>
  <c r="F45" i="14"/>
  <c r="E45" i="14"/>
  <c r="G45" i="14"/>
  <c r="F45" i="13"/>
  <c r="E45" i="13"/>
  <c r="F45" i="12"/>
  <c r="E45" i="12"/>
  <c r="G45" i="12"/>
  <c r="F45" i="11"/>
  <c r="E45" i="11"/>
  <c r="G45" i="11"/>
  <c r="F45" i="10"/>
  <c r="E45" i="10"/>
  <c r="G45" i="10"/>
  <c r="F45" i="9"/>
  <c r="E45" i="9"/>
  <c r="G45" i="9"/>
  <c r="F45" i="8"/>
  <c r="E45" i="8"/>
  <c r="G45" i="8"/>
  <c r="F45" i="7"/>
  <c r="E45" i="7"/>
  <c r="G45" i="7"/>
  <c r="F45" i="6"/>
  <c r="E45" i="6"/>
  <c r="G45" i="6"/>
  <c r="F45" i="5"/>
  <c r="E45" i="5"/>
  <c r="G45" i="5"/>
  <c r="K57" i="3"/>
  <c r="L57" i="3"/>
  <c r="F81" i="2"/>
  <c r="E81" i="2"/>
  <c r="G81" i="2"/>
  <c r="F5" i="6"/>
  <c r="E5" i="6"/>
  <c r="G5" i="6"/>
  <c r="F6" i="6"/>
  <c r="E6" i="6"/>
  <c r="G6" i="6"/>
  <c r="F7" i="6"/>
  <c r="E7" i="6"/>
  <c r="G7" i="6"/>
  <c r="F8" i="6"/>
  <c r="E8" i="6"/>
  <c r="G8" i="6"/>
  <c r="F9" i="6"/>
  <c r="E9" i="6"/>
  <c r="G9" i="6"/>
  <c r="F10" i="6"/>
  <c r="E10" i="6"/>
  <c r="G10" i="6"/>
  <c r="F11" i="6"/>
  <c r="E11" i="6"/>
  <c r="G11" i="6"/>
  <c r="F12" i="6"/>
  <c r="E12" i="6"/>
  <c r="G12" i="6"/>
  <c r="F13" i="6"/>
  <c r="E13" i="6"/>
  <c r="G13" i="6"/>
  <c r="F14" i="6"/>
  <c r="E14" i="6"/>
  <c r="G14" i="6"/>
  <c r="F15" i="6"/>
  <c r="E15" i="6"/>
  <c r="G15" i="6"/>
  <c r="F16" i="6"/>
  <c r="E16" i="6"/>
  <c r="G16" i="6"/>
  <c r="F17" i="6"/>
  <c r="E17" i="6"/>
  <c r="G17" i="6"/>
  <c r="F18" i="6"/>
  <c r="E18" i="6"/>
  <c r="G18" i="6"/>
  <c r="F19" i="6"/>
  <c r="E19" i="6"/>
  <c r="G19" i="6"/>
  <c r="F20" i="6"/>
  <c r="E20" i="6"/>
  <c r="G20" i="6"/>
  <c r="F21" i="6"/>
  <c r="E21" i="6"/>
  <c r="G21" i="6"/>
  <c r="F22" i="6"/>
  <c r="E22" i="6"/>
  <c r="G22" i="6"/>
  <c r="F23" i="6"/>
  <c r="E23" i="6"/>
  <c r="G23" i="6"/>
  <c r="F24" i="6"/>
  <c r="E24" i="6"/>
  <c r="G24" i="6"/>
  <c r="F25" i="6"/>
  <c r="E25" i="6"/>
  <c r="G25" i="6"/>
  <c r="F26" i="6"/>
  <c r="E26" i="6"/>
  <c r="G26" i="6"/>
  <c r="F27" i="6"/>
  <c r="E27" i="6"/>
  <c r="G27" i="6"/>
  <c r="F28" i="6"/>
  <c r="E28" i="6"/>
  <c r="G28" i="6"/>
  <c r="F29" i="6"/>
  <c r="E29" i="6"/>
  <c r="G29" i="6"/>
  <c r="F30" i="6"/>
  <c r="E30" i="6"/>
  <c r="G30" i="6"/>
  <c r="F31" i="6"/>
  <c r="E31" i="6"/>
  <c r="G31" i="6"/>
  <c r="F32" i="6"/>
  <c r="E32" i="6"/>
  <c r="G32" i="6"/>
  <c r="F33" i="6"/>
  <c r="E33" i="6"/>
  <c r="G33" i="6"/>
  <c r="F34" i="6"/>
  <c r="E34" i="6"/>
  <c r="G34" i="6"/>
  <c r="F35" i="6"/>
  <c r="E35" i="6"/>
  <c r="G35" i="6"/>
  <c r="F36" i="6"/>
  <c r="E36" i="6"/>
  <c r="G36" i="6"/>
  <c r="F37" i="6"/>
  <c r="E37" i="6"/>
  <c r="G37" i="6"/>
  <c r="F38" i="6"/>
  <c r="E38" i="6"/>
  <c r="G38" i="6"/>
  <c r="F39" i="6"/>
  <c r="E39" i="6"/>
  <c r="G39" i="6"/>
  <c r="F40" i="6"/>
  <c r="E40" i="6"/>
  <c r="G40" i="6"/>
  <c r="F41" i="6"/>
  <c r="E41" i="6"/>
  <c r="G41" i="6"/>
  <c r="F42" i="6"/>
  <c r="E42" i="6"/>
  <c r="G42" i="6"/>
  <c r="F43" i="6"/>
  <c r="E43" i="6"/>
  <c r="G43" i="6"/>
  <c r="F44" i="6"/>
  <c r="E44" i="6"/>
  <c r="G44" i="6"/>
  <c r="F5" i="7"/>
  <c r="E5" i="7"/>
  <c r="G5" i="7"/>
  <c r="F6" i="7"/>
  <c r="E6" i="7"/>
  <c r="G6" i="7"/>
  <c r="F7" i="7"/>
  <c r="E7" i="7"/>
  <c r="G7" i="7"/>
  <c r="F8" i="7"/>
  <c r="E8" i="7"/>
  <c r="G8" i="7"/>
  <c r="F9" i="7"/>
  <c r="E9" i="7"/>
  <c r="G9" i="7"/>
  <c r="F10" i="7"/>
  <c r="E10" i="7"/>
  <c r="G10" i="7"/>
  <c r="F11" i="7"/>
  <c r="E11" i="7"/>
  <c r="G11" i="7"/>
  <c r="F12" i="7"/>
  <c r="E12" i="7"/>
  <c r="G12" i="7"/>
  <c r="F13" i="7"/>
  <c r="E13" i="7"/>
  <c r="G13" i="7"/>
  <c r="F14" i="7"/>
  <c r="E14" i="7"/>
  <c r="G14" i="7"/>
  <c r="F15" i="7"/>
  <c r="E15" i="7"/>
  <c r="G15" i="7"/>
  <c r="F16" i="7"/>
  <c r="E16" i="7"/>
  <c r="G16" i="7"/>
  <c r="F17" i="7"/>
  <c r="E17" i="7"/>
  <c r="G17" i="7"/>
  <c r="F18" i="7"/>
  <c r="E18" i="7"/>
  <c r="G18" i="7"/>
  <c r="F19" i="7"/>
  <c r="E19" i="7"/>
  <c r="G19" i="7"/>
  <c r="F20" i="7"/>
  <c r="E20" i="7"/>
  <c r="G20" i="7"/>
  <c r="F21" i="7"/>
  <c r="E21" i="7"/>
  <c r="G21" i="7"/>
  <c r="F22" i="7"/>
  <c r="E22" i="7"/>
  <c r="G22" i="7"/>
  <c r="F23" i="7"/>
  <c r="E23" i="7"/>
  <c r="G23" i="7"/>
  <c r="F24" i="7"/>
  <c r="E24" i="7"/>
  <c r="G24" i="7"/>
  <c r="F25" i="7"/>
  <c r="E25" i="7"/>
  <c r="G25" i="7"/>
  <c r="F26" i="7"/>
  <c r="E26" i="7"/>
  <c r="G26" i="7"/>
  <c r="F27" i="7"/>
  <c r="E27" i="7"/>
  <c r="G27" i="7"/>
  <c r="F28" i="7"/>
  <c r="E28" i="7"/>
  <c r="G28" i="7"/>
  <c r="F29" i="7"/>
  <c r="E29" i="7"/>
  <c r="G29" i="7"/>
  <c r="F30" i="7"/>
  <c r="E30" i="7"/>
  <c r="G30" i="7"/>
  <c r="F31" i="7"/>
  <c r="E31" i="7"/>
  <c r="G31" i="7"/>
  <c r="F32" i="7"/>
  <c r="E32" i="7"/>
  <c r="G32" i="7"/>
  <c r="F33" i="7"/>
  <c r="E33" i="7"/>
  <c r="G33" i="7"/>
  <c r="F34" i="7"/>
  <c r="E34" i="7"/>
  <c r="G34" i="7"/>
  <c r="F35" i="7"/>
  <c r="E35" i="7"/>
  <c r="G35" i="7"/>
  <c r="F36" i="7"/>
  <c r="E36" i="7"/>
  <c r="G36" i="7"/>
  <c r="F37" i="7"/>
  <c r="E37" i="7"/>
  <c r="G37" i="7"/>
  <c r="F38" i="7"/>
  <c r="E38" i="7"/>
  <c r="G38" i="7"/>
  <c r="F39" i="7"/>
  <c r="E39" i="7"/>
  <c r="G39" i="7"/>
  <c r="F40" i="7"/>
  <c r="E40" i="7"/>
  <c r="G40" i="7"/>
  <c r="F41" i="7"/>
  <c r="E41" i="7"/>
  <c r="G41" i="7"/>
  <c r="F42" i="7"/>
  <c r="E42" i="7"/>
  <c r="G42" i="7"/>
  <c r="F43" i="7"/>
  <c r="E43" i="7"/>
  <c r="G43" i="7"/>
  <c r="F44" i="7"/>
  <c r="E44" i="7"/>
  <c r="G44" i="7"/>
  <c r="F5" i="8"/>
  <c r="E5" i="8"/>
  <c r="G5" i="8"/>
  <c r="F6" i="8"/>
  <c r="E6" i="8"/>
  <c r="G6" i="8"/>
  <c r="F7" i="8"/>
  <c r="E7" i="8"/>
  <c r="G7" i="8"/>
  <c r="F8" i="8"/>
  <c r="E8" i="8"/>
  <c r="G8" i="8"/>
  <c r="F9" i="8"/>
  <c r="E9" i="8"/>
  <c r="G9" i="8"/>
  <c r="F10" i="8"/>
  <c r="E10" i="8"/>
  <c r="G10" i="8"/>
  <c r="F11" i="8"/>
  <c r="E11" i="8"/>
  <c r="G11" i="8"/>
  <c r="F12" i="8"/>
  <c r="E12" i="8"/>
  <c r="G12" i="8"/>
  <c r="F13" i="8"/>
  <c r="E13" i="8"/>
  <c r="G13" i="8"/>
  <c r="F14" i="8"/>
  <c r="E14" i="8"/>
  <c r="G14" i="8"/>
  <c r="F15" i="8"/>
  <c r="E15" i="8"/>
  <c r="G15" i="8"/>
  <c r="F16" i="8"/>
  <c r="E16" i="8"/>
  <c r="G16" i="8"/>
  <c r="F17" i="8"/>
  <c r="E17" i="8"/>
  <c r="G17" i="8"/>
  <c r="F18" i="8"/>
  <c r="E18" i="8"/>
  <c r="G18" i="8"/>
  <c r="F19" i="8"/>
  <c r="E19" i="8"/>
  <c r="G19" i="8"/>
  <c r="F20" i="8"/>
  <c r="E20" i="8"/>
  <c r="G20" i="8"/>
  <c r="F21" i="8"/>
  <c r="E21" i="8"/>
  <c r="G21" i="8"/>
  <c r="F22" i="8"/>
  <c r="E22" i="8"/>
  <c r="G22" i="8"/>
  <c r="F23" i="8"/>
  <c r="E23" i="8"/>
  <c r="G23" i="8"/>
  <c r="F24" i="8"/>
  <c r="E24" i="8"/>
  <c r="G24" i="8"/>
  <c r="F25" i="8"/>
  <c r="E25" i="8"/>
  <c r="G25" i="8"/>
  <c r="F26" i="8"/>
  <c r="E26" i="8"/>
  <c r="G26" i="8"/>
  <c r="F27" i="8"/>
  <c r="E27" i="8"/>
  <c r="G27" i="8"/>
  <c r="F28" i="8"/>
  <c r="E28" i="8"/>
  <c r="G28" i="8"/>
  <c r="F29" i="8"/>
  <c r="E29" i="8"/>
  <c r="G29" i="8"/>
  <c r="F30" i="8"/>
  <c r="E30" i="8"/>
  <c r="G30" i="8"/>
  <c r="F31" i="8"/>
  <c r="E31" i="8"/>
  <c r="G31" i="8"/>
  <c r="F32" i="8"/>
  <c r="E32" i="8"/>
  <c r="G32" i="8"/>
  <c r="F33" i="8"/>
  <c r="E33" i="8"/>
  <c r="G33" i="8"/>
  <c r="F34" i="8"/>
  <c r="E34" i="8"/>
  <c r="G34" i="8"/>
  <c r="F35" i="8"/>
  <c r="E35" i="8"/>
  <c r="G35" i="8"/>
  <c r="F36" i="8"/>
  <c r="E36" i="8"/>
  <c r="G36" i="8"/>
  <c r="F37" i="8"/>
  <c r="E37" i="8"/>
  <c r="G37" i="8"/>
  <c r="F38" i="8"/>
  <c r="E38" i="8"/>
  <c r="G38" i="8"/>
  <c r="F39" i="8"/>
  <c r="E39" i="8"/>
  <c r="G39" i="8"/>
  <c r="F40" i="8"/>
  <c r="E40" i="8"/>
  <c r="G40" i="8"/>
  <c r="F41" i="8"/>
  <c r="E41" i="8"/>
  <c r="G41" i="8"/>
  <c r="F42" i="8"/>
  <c r="E42" i="8"/>
  <c r="G42" i="8"/>
  <c r="F43" i="8"/>
  <c r="E43" i="8"/>
  <c r="G43" i="8"/>
  <c r="F44" i="8"/>
  <c r="E44" i="8"/>
  <c r="G44" i="8"/>
  <c r="F5" i="9"/>
  <c r="E5" i="9"/>
  <c r="G5" i="9"/>
  <c r="F6" i="9"/>
  <c r="E6" i="9"/>
  <c r="G6" i="9"/>
  <c r="F7" i="9"/>
  <c r="E7" i="9"/>
  <c r="G7" i="9"/>
  <c r="F8" i="9"/>
  <c r="E8" i="9"/>
  <c r="G8" i="9"/>
  <c r="F9" i="9"/>
  <c r="E9" i="9"/>
  <c r="G9" i="9"/>
  <c r="F10" i="9"/>
  <c r="E10" i="9"/>
  <c r="G10" i="9"/>
  <c r="F11" i="9"/>
  <c r="E11" i="9"/>
  <c r="G11" i="9"/>
  <c r="F12" i="9"/>
  <c r="E12" i="9"/>
  <c r="G12" i="9"/>
  <c r="F13" i="9"/>
  <c r="E13" i="9"/>
  <c r="G13" i="9"/>
  <c r="F14" i="9"/>
  <c r="E14" i="9"/>
  <c r="G14" i="9"/>
  <c r="F15" i="9"/>
  <c r="E15" i="9"/>
  <c r="G15" i="9"/>
  <c r="F16" i="9"/>
  <c r="E16" i="9"/>
  <c r="G16" i="9"/>
  <c r="F17" i="9"/>
  <c r="E17" i="9"/>
  <c r="G17" i="9"/>
  <c r="F18" i="9"/>
  <c r="E18" i="9"/>
  <c r="G18" i="9"/>
  <c r="F19" i="9"/>
  <c r="E19" i="9"/>
  <c r="G19" i="9"/>
  <c r="F20" i="9"/>
  <c r="E20" i="9"/>
  <c r="G20" i="9"/>
  <c r="F21" i="9"/>
  <c r="E21" i="9"/>
  <c r="G21" i="9"/>
  <c r="F22" i="9"/>
  <c r="E22" i="9"/>
  <c r="G22" i="9"/>
  <c r="F23" i="9"/>
  <c r="E23" i="9"/>
  <c r="G23" i="9"/>
  <c r="F24" i="9"/>
  <c r="E24" i="9"/>
  <c r="G24" i="9"/>
  <c r="F25" i="9"/>
  <c r="E25" i="9"/>
  <c r="G25" i="9"/>
  <c r="F26" i="9"/>
  <c r="E26" i="9"/>
  <c r="G26" i="9"/>
  <c r="F27" i="9"/>
  <c r="E27" i="9"/>
  <c r="G27" i="9"/>
  <c r="F28" i="9"/>
  <c r="E28" i="9"/>
  <c r="G28" i="9"/>
  <c r="F29" i="9"/>
  <c r="E29" i="9"/>
  <c r="G29" i="9"/>
  <c r="F30" i="9"/>
  <c r="E30" i="9"/>
  <c r="G30" i="9"/>
  <c r="F31" i="9"/>
  <c r="E31" i="9"/>
  <c r="G31" i="9"/>
  <c r="F32" i="9"/>
  <c r="E32" i="9"/>
  <c r="G32" i="9"/>
  <c r="F33" i="9"/>
  <c r="E33" i="9"/>
  <c r="G33" i="9"/>
  <c r="F34" i="9"/>
  <c r="E34" i="9"/>
  <c r="G34" i="9"/>
  <c r="F35" i="9"/>
  <c r="E35" i="9"/>
  <c r="G35" i="9"/>
  <c r="F36" i="9"/>
  <c r="E36" i="9"/>
  <c r="G36" i="9"/>
  <c r="F37" i="9"/>
  <c r="E37" i="9"/>
  <c r="G37" i="9"/>
  <c r="F38" i="9"/>
  <c r="E38" i="9"/>
  <c r="G38" i="9"/>
  <c r="F39" i="9"/>
  <c r="E39" i="9"/>
  <c r="G39" i="9"/>
  <c r="F40" i="9"/>
  <c r="E40" i="9"/>
  <c r="G40" i="9"/>
  <c r="F41" i="9"/>
  <c r="E41" i="9"/>
  <c r="G41" i="9"/>
  <c r="F42" i="9"/>
  <c r="E42" i="9"/>
  <c r="G42" i="9"/>
  <c r="F43" i="9"/>
  <c r="E43" i="9"/>
  <c r="G43" i="9"/>
  <c r="F44" i="9"/>
  <c r="E44" i="9"/>
  <c r="G44" i="9"/>
  <c r="F5" i="10"/>
  <c r="E5" i="10"/>
  <c r="G5" i="10"/>
  <c r="F6" i="10"/>
  <c r="E6" i="10"/>
  <c r="G6" i="10"/>
  <c r="F7" i="10"/>
  <c r="E7" i="10"/>
  <c r="G7" i="10"/>
  <c r="F8" i="10"/>
  <c r="E8" i="10"/>
  <c r="G8" i="10"/>
  <c r="F9" i="10"/>
  <c r="E9" i="10"/>
  <c r="G9" i="10"/>
  <c r="F10" i="10"/>
  <c r="E10" i="10"/>
  <c r="G10" i="10"/>
  <c r="F11" i="10"/>
  <c r="E11" i="10"/>
  <c r="G11" i="10"/>
  <c r="F12" i="10"/>
  <c r="E12" i="10"/>
  <c r="G12" i="10"/>
  <c r="F13" i="10"/>
  <c r="E13" i="10"/>
  <c r="G13" i="10"/>
  <c r="F14" i="10"/>
  <c r="E14" i="10"/>
  <c r="G14" i="10"/>
  <c r="F15" i="10"/>
  <c r="E15" i="10"/>
  <c r="G15" i="10"/>
  <c r="F16" i="10"/>
  <c r="E16" i="10"/>
  <c r="G16" i="10"/>
  <c r="F17" i="10"/>
  <c r="E17" i="10"/>
  <c r="G17" i="10"/>
  <c r="F18" i="10"/>
  <c r="E18" i="10"/>
  <c r="G18" i="10"/>
  <c r="F19" i="10"/>
  <c r="E19" i="10"/>
  <c r="G19" i="10"/>
  <c r="F20" i="10"/>
  <c r="E20" i="10"/>
  <c r="G20" i="10"/>
  <c r="F21" i="10"/>
  <c r="E21" i="10"/>
  <c r="G21" i="10"/>
  <c r="F22" i="10"/>
  <c r="E22" i="10"/>
  <c r="G22" i="10"/>
  <c r="F23" i="10"/>
  <c r="E23" i="10"/>
  <c r="G23" i="10"/>
  <c r="F24" i="10"/>
  <c r="E24" i="10"/>
  <c r="G24" i="10"/>
  <c r="F25" i="10"/>
  <c r="E25" i="10"/>
  <c r="G25" i="10"/>
  <c r="F26" i="10"/>
  <c r="E26" i="10"/>
  <c r="G26" i="10"/>
  <c r="F27" i="10"/>
  <c r="E27" i="10"/>
  <c r="G27" i="10"/>
  <c r="F28" i="10"/>
  <c r="E28" i="10"/>
  <c r="G28" i="10"/>
  <c r="F29" i="10"/>
  <c r="E29" i="10"/>
  <c r="G29" i="10"/>
  <c r="F30" i="10"/>
  <c r="E30" i="10"/>
  <c r="G30" i="10"/>
  <c r="F31" i="10"/>
  <c r="E31" i="10"/>
  <c r="G31" i="10"/>
  <c r="F32" i="10"/>
  <c r="E32" i="10"/>
  <c r="G32" i="10"/>
  <c r="F33" i="10"/>
  <c r="E33" i="10"/>
  <c r="G33" i="10"/>
  <c r="F34" i="10"/>
  <c r="E34" i="10"/>
  <c r="G34" i="10"/>
  <c r="F35" i="10"/>
  <c r="E35" i="10"/>
  <c r="G35" i="10"/>
  <c r="F36" i="10"/>
  <c r="E36" i="10"/>
  <c r="G36" i="10"/>
  <c r="F37" i="10"/>
  <c r="E37" i="10"/>
  <c r="G37" i="10"/>
  <c r="F38" i="10"/>
  <c r="E38" i="10"/>
  <c r="G38" i="10"/>
  <c r="F39" i="10"/>
  <c r="E39" i="10"/>
  <c r="G39" i="10"/>
  <c r="F40" i="10"/>
  <c r="E40" i="10"/>
  <c r="G40" i="10"/>
  <c r="F41" i="10"/>
  <c r="E41" i="10"/>
  <c r="G41" i="10"/>
  <c r="F42" i="10"/>
  <c r="E42" i="10"/>
  <c r="G42" i="10"/>
  <c r="F43" i="10"/>
  <c r="E43" i="10"/>
  <c r="G43" i="10"/>
  <c r="F44" i="10"/>
  <c r="E44" i="10"/>
  <c r="G44" i="10"/>
  <c r="F5" i="11"/>
  <c r="E5" i="11"/>
  <c r="G5" i="11"/>
  <c r="F6" i="11"/>
  <c r="E6" i="11"/>
  <c r="G6" i="11"/>
  <c r="F7" i="11"/>
  <c r="E7" i="11"/>
  <c r="G7" i="11"/>
  <c r="F8" i="11"/>
  <c r="E8" i="11"/>
  <c r="G8" i="11"/>
  <c r="F9" i="11"/>
  <c r="E9" i="11"/>
  <c r="G9" i="11"/>
  <c r="F10" i="11"/>
  <c r="E10" i="11"/>
  <c r="G10" i="11"/>
  <c r="F11" i="11"/>
  <c r="E11" i="11"/>
  <c r="G11" i="11"/>
  <c r="F12" i="11"/>
  <c r="E12" i="11"/>
  <c r="G12" i="11"/>
  <c r="F13" i="11"/>
  <c r="E13" i="11"/>
  <c r="G13" i="11"/>
  <c r="F14" i="11"/>
  <c r="E14" i="11"/>
  <c r="G14" i="11"/>
  <c r="F15" i="11"/>
  <c r="E15" i="11"/>
  <c r="G15" i="11"/>
  <c r="F16" i="11"/>
  <c r="E16" i="11"/>
  <c r="G16" i="11"/>
  <c r="F17" i="11"/>
  <c r="E17" i="11"/>
  <c r="G17" i="11"/>
  <c r="F18" i="11"/>
  <c r="E18" i="11"/>
  <c r="G18" i="11"/>
  <c r="F19" i="11"/>
  <c r="E19" i="11"/>
  <c r="G19" i="11"/>
  <c r="F20" i="11"/>
  <c r="E20" i="11"/>
  <c r="G20" i="11"/>
  <c r="F21" i="11"/>
  <c r="E21" i="11"/>
  <c r="G21" i="11"/>
  <c r="F22" i="11"/>
  <c r="E22" i="11"/>
  <c r="G22" i="11"/>
  <c r="F23" i="11"/>
  <c r="E23" i="11"/>
  <c r="G23" i="11"/>
  <c r="F24" i="11"/>
  <c r="E24" i="11"/>
  <c r="G24" i="11"/>
  <c r="F25" i="11"/>
  <c r="E25" i="11"/>
  <c r="G25" i="11"/>
  <c r="F26" i="11"/>
  <c r="E26" i="11"/>
  <c r="G26" i="11"/>
  <c r="F27" i="11"/>
  <c r="E27" i="11"/>
  <c r="G27" i="11"/>
  <c r="F28" i="11"/>
  <c r="E28" i="11"/>
  <c r="G28" i="11"/>
  <c r="F29" i="11"/>
  <c r="E29" i="11"/>
  <c r="G29" i="11"/>
  <c r="F30" i="11"/>
  <c r="E30" i="11"/>
  <c r="G30" i="11"/>
  <c r="F31" i="11"/>
  <c r="E31" i="11"/>
  <c r="G31" i="11"/>
  <c r="F32" i="11"/>
  <c r="E32" i="11"/>
  <c r="G32" i="11"/>
  <c r="F33" i="11"/>
  <c r="E33" i="11"/>
  <c r="G33" i="11"/>
  <c r="F34" i="11"/>
  <c r="E34" i="11"/>
  <c r="G34" i="11"/>
  <c r="F35" i="11"/>
  <c r="E35" i="11"/>
  <c r="G35" i="11"/>
  <c r="F36" i="11"/>
  <c r="E36" i="11"/>
  <c r="G36" i="11"/>
  <c r="F37" i="11"/>
  <c r="E37" i="11"/>
  <c r="G37" i="11"/>
  <c r="F38" i="11"/>
  <c r="E38" i="11"/>
  <c r="G38" i="11"/>
  <c r="F39" i="11"/>
  <c r="E39" i="11"/>
  <c r="G39" i="11"/>
  <c r="F40" i="11"/>
  <c r="E40" i="11"/>
  <c r="G40" i="11"/>
  <c r="F41" i="11"/>
  <c r="E41" i="11"/>
  <c r="G41" i="11"/>
  <c r="F42" i="11"/>
  <c r="E42" i="11"/>
  <c r="G42" i="11"/>
  <c r="F43" i="11"/>
  <c r="E43" i="11"/>
  <c r="G43" i="11"/>
  <c r="F44" i="11"/>
  <c r="E44" i="11"/>
  <c r="G44" i="11"/>
  <c r="F5" i="12"/>
  <c r="E5" i="12"/>
  <c r="G5" i="12"/>
  <c r="F6" i="12"/>
  <c r="E6" i="12"/>
  <c r="G6" i="12"/>
  <c r="F7" i="12"/>
  <c r="E7" i="12"/>
  <c r="G7" i="12"/>
  <c r="F8" i="12"/>
  <c r="E8" i="12"/>
  <c r="G8" i="12"/>
  <c r="F9" i="12"/>
  <c r="E9" i="12"/>
  <c r="G9" i="12"/>
  <c r="F10" i="12"/>
  <c r="E10" i="12"/>
  <c r="G10" i="12"/>
  <c r="F11" i="12"/>
  <c r="E11" i="12"/>
  <c r="G11" i="12"/>
  <c r="F12" i="12"/>
  <c r="E12" i="12"/>
  <c r="G12" i="12"/>
  <c r="F13" i="12"/>
  <c r="E13" i="12"/>
  <c r="G13" i="12"/>
  <c r="F14" i="12"/>
  <c r="E14" i="12"/>
  <c r="G14" i="12"/>
  <c r="F15" i="12"/>
  <c r="E15" i="12"/>
  <c r="G15" i="12"/>
  <c r="F16" i="12"/>
  <c r="E16" i="12"/>
  <c r="G16" i="12"/>
  <c r="F17" i="12"/>
  <c r="E17" i="12"/>
  <c r="G17" i="12"/>
  <c r="F18" i="12"/>
  <c r="E18" i="12"/>
  <c r="G18" i="12"/>
  <c r="F19" i="12"/>
  <c r="E19" i="12"/>
  <c r="G19" i="12"/>
  <c r="F20" i="12"/>
  <c r="E20" i="12"/>
  <c r="G20" i="12"/>
  <c r="F21" i="12"/>
  <c r="E21" i="12"/>
  <c r="G21" i="12"/>
  <c r="F22" i="12"/>
  <c r="E22" i="12"/>
  <c r="G22" i="12"/>
  <c r="F23" i="12"/>
  <c r="E23" i="12"/>
  <c r="G23" i="12"/>
  <c r="F24" i="12"/>
  <c r="E24" i="12"/>
  <c r="G24" i="12"/>
  <c r="F25" i="12"/>
  <c r="E25" i="12"/>
  <c r="G25" i="12"/>
  <c r="F26" i="12"/>
  <c r="E26" i="12"/>
  <c r="G26" i="12"/>
  <c r="F27" i="12"/>
  <c r="E27" i="12"/>
  <c r="G27" i="12"/>
  <c r="F28" i="12"/>
  <c r="E28" i="12"/>
  <c r="G28" i="12"/>
  <c r="F29" i="12"/>
  <c r="E29" i="12"/>
  <c r="G29" i="12"/>
  <c r="F30" i="12"/>
  <c r="E30" i="12"/>
  <c r="G30" i="12"/>
  <c r="F31" i="12"/>
  <c r="E31" i="12"/>
  <c r="G31" i="12"/>
  <c r="F32" i="12"/>
  <c r="E32" i="12"/>
  <c r="G32" i="12"/>
  <c r="F33" i="12"/>
  <c r="E33" i="12"/>
  <c r="G33" i="12"/>
  <c r="F34" i="12"/>
  <c r="E34" i="12"/>
  <c r="G34" i="12"/>
  <c r="F35" i="12"/>
  <c r="E35" i="12"/>
  <c r="G35" i="12"/>
  <c r="F36" i="12"/>
  <c r="E36" i="12"/>
  <c r="G36" i="12"/>
  <c r="F37" i="12"/>
  <c r="E37" i="12"/>
  <c r="G37" i="12"/>
  <c r="F38" i="12"/>
  <c r="E38" i="12"/>
  <c r="G38" i="12"/>
  <c r="F39" i="12"/>
  <c r="E39" i="12"/>
  <c r="G39" i="12"/>
  <c r="F40" i="12"/>
  <c r="E40" i="12"/>
  <c r="G40" i="12"/>
  <c r="F41" i="12"/>
  <c r="E41" i="12"/>
  <c r="G41" i="12"/>
  <c r="F42" i="12"/>
  <c r="E42" i="12"/>
  <c r="G42" i="12"/>
  <c r="F43" i="12"/>
  <c r="E43" i="12"/>
  <c r="G43" i="12"/>
  <c r="F44" i="12"/>
  <c r="E44" i="12"/>
  <c r="G44" i="12"/>
  <c r="F5" i="13"/>
  <c r="E5" i="13"/>
  <c r="G5" i="13"/>
  <c r="F6" i="13"/>
  <c r="E6" i="13"/>
  <c r="G6" i="13"/>
  <c r="F7" i="13"/>
  <c r="E7" i="13"/>
  <c r="G7" i="13"/>
  <c r="F8" i="13"/>
  <c r="E8" i="13"/>
  <c r="G8" i="13"/>
  <c r="F9" i="13"/>
  <c r="E9" i="13"/>
  <c r="G9" i="13"/>
  <c r="F10" i="13"/>
  <c r="E10" i="13"/>
  <c r="G10" i="13"/>
  <c r="F11" i="13"/>
  <c r="E11" i="13"/>
  <c r="G11" i="13"/>
  <c r="F12" i="13"/>
  <c r="E12" i="13"/>
  <c r="G12" i="13"/>
  <c r="F13" i="13"/>
  <c r="E13" i="13"/>
  <c r="G13" i="13"/>
  <c r="F14" i="13"/>
  <c r="E14" i="13"/>
  <c r="G14" i="13"/>
  <c r="F15" i="13"/>
  <c r="E15" i="13"/>
  <c r="G15" i="13"/>
  <c r="F16" i="13"/>
  <c r="E16" i="13"/>
  <c r="G16" i="13"/>
  <c r="F17" i="13"/>
  <c r="E17" i="13"/>
  <c r="G17" i="13"/>
  <c r="F18" i="13"/>
  <c r="E18" i="13"/>
  <c r="G18" i="13"/>
  <c r="F19" i="13"/>
  <c r="E19" i="13"/>
  <c r="G19" i="13"/>
  <c r="F20" i="13"/>
  <c r="E20" i="13"/>
  <c r="G20" i="13"/>
  <c r="F21" i="13"/>
  <c r="E21" i="13"/>
  <c r="G21" i="13"/>
  <c r="F22" i="13"/>
  <c r="E22" i="13"/>
  <c r="G22" i="13"/>
  <c r="F23" i="13"/>
  <c r="E23" i="13"/>
  <c r="G23" i="13"/>
  <c r="F24" i="13"/>
  <c r="E24" i="13"/>
  <c r="G24" i="13"/>
  <c r="F25" i="13"/>
  <c r="E25" i="13"/>
  <c r="G25" i="13"/>
  <c r="F26" i="13"/>
  <c r="E26" i="13"/>
  <c r="G26" i="13"/>
  <c r="F27" i="13"/>
  <c r="E27" i="13"/>
  <c r="G27" i="13"/>
  <c r="F28" i="13"/>
  <c r="E28" i="13"/>
  <c r="G28" i="13"/>
  <c r="F29" i="13"/>
  <c r="E29" i="13"/>
  <c r="G29" i="13"/>
  <c r="F30" i="13"/>
  <c r="E30" i="13"/>
  <c r="G30" i="13"/>
  <c r="F31" i="13"/>
  <c r="E31" i="13"/>
  <c r="G31" i="13"/>
  <c r="F32" i="13"/>
  <c r="E32" i="13"/>
  <c r="G32" i="13"/>
  <c r="F33" i="13"/>
  <c r="E33" i="13"/>
  <c r="G33" i="13"/>
  <c r="F34" i="13"/>
  <c r="E34" i="13"/>
  <c r="G34" i="13"/>
  <c r="F35" i="13"/>
  <c r="E35" i="13"/>
  <c r="G35" i="13"/>
  <c r="F36" i="13"/>
  <c r="E36" i="13"/>
  <c r="G36" i="13"/>
  <c r="F37" i="13"/>
  <c r="E37" i="13"/>
  <c r="G37" i="13"/>
  <c r="F38" i="13"/>
  <c r="E38" i="13"/>
  <c r="G38" i="13"/>
  <c r="F39" i="13"/>
  <c r="E39" i="13"/>
  <c r="G39" i="13"/>
  <c r="F40" i="13"/>
  <c r="E40" i="13"/>
  <c r="G40" i="13"/>
  <c r="F41" i="13"/>
  <c r="E41" i="13"/>
  <c r="G41" i="13"/>
  <c r="F42" i="13"/>
  <c r="E42" i="13"/>
  <c r="G42" i="13"/>
  <c r="F43" i="13"/>
  <c r="E43" i="13"/>
  <c r="G43" i="13"/>
  <c r="F44" i="13"/>
  <c r="E44" i="13"/>
  <c r="G44" i="13"/>
  <c r="F5" i="14"/>
  <c r="E5" i="14"/>
  <c r="G5" i="14"/>
  <c r="F6" i="14"/>
  <c r="E6" i="14"/>
  <c r="G6" i="14"/>
  <c r="F7" i="14"/>
  <c r="E7" i="14"/>
  <c r="G7" i="14"/>
  <c r="F8" i="14"/>
  <c r="E8" i="14"/>
  <c r="G8" i="14"/>
  <c r="F9" i="14"/>
  <c r="E9" i="14"/>
  <c r="G9" i="14"/>
  <c r="F10" i="14"/>
  <c r="E10" i="14"/>
  <c r="G10" i="14"/>
  <c r="F11" i="14"/>
  <c r="E11" i="14"/>
  <c r="G11" i="14"/>
  <c r="F12" i="14"/>
  <c r="E12" i="14"/>
  <c r="G12" i="14"/>
  <c r="F13" i="14"/>
  <c r="E13" i="14"/>
  <c r="G13" i="14"/>
  <c r="F14" i="14"/>
  <c r="E14" i="14"/>
  <c r="G14" i="14"/>
  <c r="F15" i="14"/>
  <c r="E15" i="14"/>
  <c r="G15" i="14"/>
  <c r="F16" i="14"/>
  <c r="E16" i="14"/>
  <c r="G16" i="14"/>
  <c r="F17" i="14"/>
  <c r="E17" i="14"/>
  <c r="G17" i="14"/>
  <c r="F18" i="14"/>
  <c r="E18" i="14"/>
  <c r="G18" i="14"/>
  <c r="F19" i="14"/>
  <c r="E19" i="14"/>
  <c r="G19" i="14"/>
  <c r="F20" i="14"/>
  <c r="E20" i="14"/>
  <c r="G20" i="14"/>
  <c r="F21" i="14"/>
  <c r="E21" i="14"/>
  <c r="G21" i="14"/>
  <c r="F22" i="14"/>
  <c r="E22" i="14"/>
  <c r="G22" i="14"/>
  <c r="F23" i="14"/>
  <c r="E23" i="14"/>
  <c r="G23" i="14"/>
  <c r="F24" i="14"/>
  <c r="E24" i="14"/>
  <c r="G24" i="14"/>
  <c r="F25" i="14"/>
  <c r="E25" i="14"/>
  <c r="G25" i="14"/>
  <c r="F26" i="14"/>
  <c r="E26" i="14"/>
  <c r="G26" i="14"/>
  <c r="F27" i="14"/>
  <c r="E27" i="14"/>
  <c r="G27" i="14"/>
  <c r="F28" i="14"/>
  <c r="E28" i="14"/>
  <c r="G28" i="14"/>
  <c r="F29" i="14"/>
  <c r="E29" i="14"/>
  <c r="G29" i="14"/>
  <c r="F30" i="14"/>
  <c r="E30" i="14"/>
  <c r="G30" i="14"/>
  <c r="F31" i="14"/>
  <c r="E31" i="14"/>
  <c r="G31" i="14"/>
  <c r="F32" i="14"/>
  <c r="E32" i="14"/>
  <c r="G32" i="14"/>
  <c r="F33" i="14"/>
  <c r="E33" i="14"/>
  <c r="G33" i="14"/>
  <c r="F34" i="14"/>
  <c r="E34" i="14"/>
  <c r="G34" i="14"/>
  <c r="F35" i="14"/>
  <c r="E35" i="14"/>
  <c r="G35" i="14"/>
  <c r="F36" i="14"/>
  <c r="E36" i="14"/>
  <c r="G36" i="14"/>
  <c r="F37" i="14"/>
  <c r="E37" i="14"/>
  <c r="G37" i="14"/>
  <c r="F38" i="14"/>
  <c r="E38" i="14"/>
  <c r="G38" i="14"/>
  <c r="F39" i="14"/>
  <c r="E39" i="14"/>
  <c r="G39" i="14"/>
  <c r="F40" i="14"/>
  <c r="E40" i="14"/>
  <c r="G40" i="14"/>
  <c r="F41" i="14"/>
  <c r="E41" i="14"/>
  <c r="G41" i="14"/>
  <c r="F42" i="14"/>
  <c r="E42" i="14"/>
  <c r="G42" i="14"/>
  <c r="F43" i="14"/>
  <c r="E43" i="14"/>
  <c r="G43" i="14"/>
  <c r="F44" i="14"/>
  <c r="E44" i="14"/>
  <c r="G44" i="14"/>
  <c r="F5" i="15"/>
  <c r="E5" i="15"/>
  <c r="G5" i="15"/>
  <c r="F6" i="15"/>
  <c r="G6" i="15" s="1"/>
  <c r="E6" i="15"/>
  <c r="F7" i="15"/>
  <c r="G7" i="15" s="1"/>
  <c r="E7" i="15"/>
  <c r="F8" i="15"/>
  <c r="G8" i="15" s="1"/>
  <c r="E8" i="15"/>
  <c r="F9" i="15"/>
  <c r="E9" i="15"/>
  <c r="G9" i="15" s="1"/>
  <c r="F10" i="15"/>
  <c r="G10" i="15" s="1"/>
  <c r="E10" i="15"/>
  <c r="F11" i="15"/>
  <c r="G11" i="15" s="1"/>
  <c r="E11" i="15"/>
  <c r="F12" i="15"/>
  <c r="E12" i="15"/>
  <c r="G12" i="15"/>
  <c r="F13" i="15"/>
  <c r="E13" i="15"/>
  <c r="G13" i="15"/>
  <c r="F14" i="15"/>
  <c r="E14" i="15"/>
  <c r="G14" i="15" s="1"/>
  <c r="F15" i="15"/>
  <c r="G15" i="15" s="1"/>
  <c r="E15" i="15"/>
  <c r="F16" i="15"/>
  <c r="G16" i="15" s="1"/>
  <c r="E16" i="15"/>
  <c r="F17" i="15"/>
  <c r="E17" i="15"/>
  <c r="G17" i="15"/>
  <c r="F18" i="15"/>
  <c r="G18" i="15" s="1"/>
  <c r="E18" i="15"/>
  <c r="F19" i="15"/>
  <c r="G19" i="15" s="1"/>
  <c r="E19" i="15"/>
  <c r="F20" i="15"/>
  <c r="E20" i="15"/>
  <c r="G20" i="15"/>
  <c r="F21" i="15"/>
  <c r="E21" i="15"/>
  <c r="G21" i="15"/>
  <c r="F22" i="15"/>
  <c r="E22" i="15"/>
  <c r="G22" i="15" s="1"/>
  <c r="F23" i="15"/>
  <c r="G23" i="15" s="1"/>
  <c r="E23" i="15"/>
  <c r="F24" i="15"/>
  <c r="G24" i="15" s="1"/>
  <c r="E24" i="15"/>
  <c r="F25" i="15"/>
  <c r="E25" i="15"/>
  <c r="G25" i="15"/>
  <c r="F26" i="15"/>
  <c r="G26" i="15" s="1"/>
  <c r="E26" i="15"/>
  <c r="F27" i="15"/>
  <c r="G27" i="15" s="1"/>
  <c r="E27" i="15"/>
  <c r="F28" i="15"/>
  <c r="E28" i="15"/>
  <c r="G28" i="15"/>
  <c r="F29" i="15"/>
  <c r="E29" i="15"/>
  <c r="G29" i="15"/>
  <c r="F30" i="15"/>
  <c r="E30" i="15"/>
  <c r="G30" i="15" s="1"/>
  <c r="F31" i="15"/>
  <c r="G31" i="15" s="1"/>
  <c r="E31" i="15"/>
  <c r="F32" i="15"/>
  <c r="G32" i="15" s="1"/>
  <c r="E32" i="15"/>
  <c r="F33" i="15"/>
  <c r="E33" i="15"/>
  <c r="G33" i="15"/>
  <c r="F34" i="15"/>
  <c r="G34" i="15" s="1"/>
  <c r="E34" i="15"/>
  <c r="F35" i="15"/>
  <c r="G35" i="15" s="1"/>
  <c r="E35" i="15"/>
  <c r="F36" i="15"/>
  <c r="E36" i="15"/>
  <c r="G36" i="15"/>
  <c r="F37" i="15"/>
  <c r="E37" i="15"/>
  <c r="G37" i="15"/>
  <c r="F38" i="15"/>
  <c r="E38" i="15"/>
  <c r="G38" i="15" s="1"/>
  <c r="F39" i="15"/>
  <c r="G39" i="15" s="1"/>
  <c r="E39" i="15"/>
  <c r="F40" i="15"/>
  <c r="G40" i="15" s="1"/>
  <c r="E40" i="15"/>
  <c r="F41" i="15"/>
  <c r="G41" i="15" s="1"/>
  <c r="E41" i="15"/>
  <c r="F42" i="15"/>
  <c r="G42" i="15" s="1"/>
  <c r="E42" i="15"/>
  <c r="F43" i="15"/>
  <c r="G43" i="15" s="1"/>
  <c r="E43" i="15"/>
  <c r="F44" i="15"/>
  <c r="E44" i="15"/>
  <c r="G44" i="15"/>
  <c r="F5" i="19"/>
  <c r="E5" i="19"/>
  <c r="G5" i="19"/>
  <c r="F6" i="19"/>
  <c r="E6" i="19"/>
  <c r="G6" i="19"/>
  <c r="F7" i="19"/>
  <c r="E7" i="19"/>
  <c r="G7" i="19"/>
  <c r="F8" i="19"/>
  <c r="E8" i="19"/>
  <c r="G8" i="19"/>
  <c r="F9" i="19"/>
  <c r="E9" i="19"/>
  <c r="G9" i="19"/>
  <c r="F10" i="19"/>
  <c r="E10" i="19"/>
  <c r="G10" i="19"/>
  <c r="F11" i="19"/>
  <c r="E11" i="19"/>
  <c r="G11" i="19"/>
  <c r="F12" i="19"/>
  <c r="E12" i="19"/>
  <c r="G12" i="19"/>
  <c r="F13" i="19"/>
  <c r="E13" i="19"/>
  <c r="G13" i="19"/>
  <c r="F14" i="19"/>
  <c r="E14" i="19"/>
  <c r="G14" i="19"/>
  <c r="F15" i="19"/>
  <c r="E15" i="19"/>
  <c r="G15" i="19"/>
  <c r="F16" i="19"/>
  <c r="E16" i="19"/>
  <c r="G16" i="19"/>
  <c r="F17" i="19"/>
  <c r="E17" i="19"/>
  <c r="G17" i="19"/>
  <c r="F18" i="19"/>
  <c r="E18" i="19"/>
  <c r="G18" i="19"/>
  <c r="F19" i="19"/>
  <c r="E19" i="19"/>
  <c r="G19" i="19"/>
  <c r="F20" i="19"/>
  <c r="E20" i="19"/>
  <c r="G20" i="19"/>
  <c r="F21" i="19"/>
  <c r="E21" i="19"/>
  <c r="G21" i="19"/>
  <c r="F22" i="19"/>
  <c r="E22" i="19"/>
  <c r="G22" i="19"/>
  <c r="F23" i="19"/>
  <c r="E23" i="19"/>
  <c r="G23" i="19"/>
  <c r="F24" i="19"/>
  <c r="E24" i="19"/>
  <c r="G24" i="19"/>
  <c r="F25" i="19"/>
  <c r="E25" i="19"/>
  <c r="G25" i="19"/>
  <c r="F26" i="19"/>
  <c r="E26" i="19"/>
  <c r="G26" i="19"/>
  <c r="F27" i="19"/>
  <c r="E27" i="19"/>
  <c r="G27" i="19"/>
  <c r="F28" i="19"/>
  <c r="E28" i="19"/>
  <c r="G28" i="19"/>
  <c r="F29" i="19"/>
  <c r="E29" i="19"/>
  <c r="G29" i="19"/>
  <c r="F30" i="19"/>
  <c r="E30" i="19"/>
  <c r="G30" i="19"/>
  <c r="F31" i="19"/>
  <c r="E31" i="19"/>
  <c r="G31" i="19"/>
  <c r="F32" i="19"/>
  <c r="E32" i="19"/>
  <c r="G32" i="19"/>
  <c r="F33" i="19"/>
  <c r="E33" i="19"/>
  <c r="G33" i="19"/>
  <c r="F34" i="19"/>
  <c r="E34" i="19"/>
  <c r="G34" i="19"/>
  <c r="F35" i="19"/>
  <c r="E35" i="19"/>
  <c r="G35" i="19"/>
  <c r="F36" i="19"/>
  <c r="E36" i="19"/>
  <c r="G36" i="19"/>
  <c r="F37" i="19"/>
  <c r="E37" i="19"/>
  <c r="G37" i="19"/>
  <c r="F38" i="19"/>
  <c r="E38" i="19"/>
  <c r="G38" i="19"/>
  <c r="F39" i="19"/>
  <c r="E39" i="19"/>
  <c r="G39" i="19"/>
  <c r="F40" i="19"/>
  <c r="E40" i="19"/>
  <c r="G40" i="19"/>
  <c r="F41" i="19"/>
  <c r="E41" i="19"/>
  <c r="G41" i="19"/>
  <c r="F42" i="19"/>
  <c r="E42" i="19"/>
  <c r="G42" i="19"/>
  <c r="F43" i="19"/>
  <c r="E43" i="19"/>
  <c r="G43" i="19"/>
  <c r="F44" i="19"/>
  <c r="E44" i="19"/>
  <c r="G44" i="19"/>
  <c r="F5" i="20"/>
  <c r="E5" i="20"/>
  <c r="G5" i="20"/>
  <c r="F6" i="20"/>
  <c r="E6" i="20"/>
  <c r="G6" i="20"/>
  <c r="F7" i="20"/>
  <c r="E7" i="20"/>
  <c r="G7" i="20"/>
  <c r="F8" i="20"/>
  <c r="E8" i="20"/>
  <c r="G8" i="20"/>
  <c r="F9" i="20"/>
  <c r="E9" i="20"/>
  <c r="G9" i="20"/>
  <c r="F10" i="20"/>
  <c r="E10" i="20"/>
  <c r="G10" i="20"/>
  <c r="F11" i="20"/>
  <c r="E11" i="20"/>
  <c r="G11" i="20"/>
  <c r="F12" i="20"/>
  <c r="E12" i="20"/>
  <c r="G12" i="20"/>
  <c r="F13" i="20"/>
  <c r="E13" i="20"/>
  <c r="G13" i="20"/>
  <c r="F14" i="20"/>
  <c r="E14" i="20"/>
  <c r="G14" i="20"/>
  <c r="F15" i="20"/>
  <c r="E15" i="20"/>
  <c r="G15" i="20"/>
  <c r="F16" i="20"/>
  <c r="E16" i="20"/>
  <c r="G16" i="20"/>
  <c r="F17" i="20"/>
  <c r="E17" i="20"/>
  <c r="G17" i="20"/>
  <c r="F18" i="20"/>
  <c r="E18" i="20"/>
  <c r="G18" i="20"/>
  <c r="F19" i="20"/>
  <c r="E19" i="20"/>
  <c r="G19" i="20"/>
  <c r="F20" i="20"/>
  <c r="E20" i="20"/>
  <c r="G20" i="20"/>
  <c r="F21" i="20"/>
  <c r="E21" i="20"/>
  <c r="G21" i="20"/>
  <c r="F22" i="20"/>
  <c r="E22" i="20"/>
  <c r="G22" i="20"/>
  <c r="F23" i="20"/>
  <c r="E23" i="20"/>
  <c r="G23" i="20"/>
  <c r="F24" i="20"/>
  <c r="E24" i="20"/>
  <c r="G24" i="20"/>
  <c r="F25" i="20"/>
  <c r="E25" i="20"/>
  <c r="G25" i="20"/>
  <c r="F26" i="20"/>
  <c r="E26" i="20"/>
  <c r="G26" i="20"/>
  <c r="F27" i="20"/>
  <c r="E27" i="20"/>
  <c r="G27" i="20"/>
  <c r="F28" i="20"/>
  <c r="E28" i="20"/>
  <c r="G28" i="20"/>
  <c r="F29" i="20"/>
  <c r="E29" i="20"/>
  <c r="G29" i="20"/>
  <c r="F30" i="20"/>
  <c r="E30" i="20"/>
  <c r="G30" i="20"/>
  <c r="F31" i="20"/>
  <c r="E31" i="20"/>
  <c r="G31" i="20"/>
  <c r="F32" i="20"/>
  <c r="E32" i="20"/>
  <c r="G32" i="20"/>
  <c r="F33" i="20"/>
  <c r="E33" i="20"/>
  <c r="G33" i="20"/>
  <c r="F34" i="20"/>
  <c r="E34" i="20"/>
  <c r="G34" i="20"/>
  <c r="F35" i="20"/>
  <c r="E35" i="20"/>
  <c r="G35" i="20"/>
  <c r="F36" i="20"/>
  <c r="E36" i="20"/>
  <c r="G36" i="20"/>
  <c r="F37" i="20"/>
  <c r="E37" i="20"/>
  <c r="G37" i="20"/>
  <c r="F38" i="20"/>
  <c r="E38" i="20"/>
  <c r="G38" i="20"/>
  <c r="F39" i="20"/>
  <c r="E39" i="20"/>
  <c r="G39" i="20"/>
  <c r="F40" i="20"/>
  <c r="E40" i="20"/>
  <c r="G40" i="20"/>
  <c r="F41" i="20"/>
  <c r="E41" i="20"/>
  <c r="G41" i="20"/>
  <c r="F42" i="20"/>
  <c r="E42" i="20"/>
  <c r="G42" i="20"/>
  <c r="F43" i="20"/>
  <c r="E43" i="20"/>
  <c r="G43" i="20"/>
  <c r="F44" i="20"/>
  <c r="E44" i="20"/>
  <c r="G44" i="20"/>
  <c r="F5" i="21"/>
  <c r="G5" i="21" s="1"/>
  <c r="E5" i="21"/>
  <c r="F6" i="21"/>
  <c r="G6" i="21" s="1"/>
  <c r="E6" i="21"/>
  <c r="F7" i="21"/>
  <c r="E7" i="21"/>
  <c r="G7" i="21"/>
  <c r="F8" i="21"/>
  <c r="E8" i="21"/>
  <c r="G8" i="21" s="1"/>
  <c r="F9" i="21"/>
  <c r="E9" i="21"/>
  <c r="G9" i="21" s="1"/>
  <c r="F10" i="21"/>
  <c r="G10" i="21" s="1"/>
  <c r="E10" i="21"/>
  <c r="F11" i="21"/>
  <c r="G11" i="21" s="1"/>
  <c r="E11" i="21"/>
  <c r="F12" i="21"/>
  <c r="G12" i="21" s="1"/>
  <c r="E12" i="21"/>
  <c r="F13" i="21"/>
  <c r="G13" i="21" s="1"/>
  <c r="E13" i="21"/>
  <c r="F14" i="21"/>
  <c r="E14" i="21"/>
  <c r="G14" i="21"/>
  <c r="F15" i="21"/>
  <c r="E15" i="21"/>
  <c r="G15" i="21"/>
  <c r="F16" i="21"/>
  <c r="G16" i="21" s="1"/>
  <c r="E16" i="21"/>
  <c r="F17" i="21"/>
  <c r="E17" i="21"/>
  <c r="G17" i="21" s="1"/>
  <c r="F18" i="21"/>
  <c r="E18" i="21"/>
  <c r="G18" i="21"/>
  <c r="F19" i="21"/>
  <c r="G19" i="21" s="1"/>
  <c r="E19" i="21"/>
  <c r="F20" i="21"/>
  <c r="G20" i="21" s="1"/>
  <c r="E20" i="21"/>
  <c r="F21" i="21"/>
  <c r="G21" i="21" s="1"/>
  <c r="E21" i="21"/>
  <c r="F22" i="21"/>
  <c r="E22" i="21"/>
  <c r="G22" i="21"/>
  <c r="F23" i="21"/>
  <c r="E23" i="21"/>
  <c r="G23" i="21"/>
  <c r="F24" i="21"/>
  <c r="G24" i="21" s="1"/>
  <c r="E24" i="21"/>
  <c r="F25" i="21"/>
  <c r="E25" i="21"/>
  <c r="G25" i="21" s="1"/>
  <c r="F26" i="21"/>
  <c r="E26" i="21"/>
  <c r="G26" i="21"/>
  <c r="F27" i="21"/>
  <c r="G27" i="21" s="1"/>
  <c r="E27" i="21"/>
  <c r="F28" i="21"/>
  <c r="G28" i="21" s="1"/>
  <c r="E28" i="21"/>
  <c r="F29" i="21"/>
  <c r="G29" i="21" s="1"/>
  <c r="E29" i="21"/>
  <c r="F30" i="21"/>
  <c r="E30" i="21"/>
  <c r="G30" i="21"/>
  <c r="F31" i="21"/>
  <c r="E31" i="21"/>
  <c r="G31" i="21"/>
  <c r="F32" i="21"/>
  <c r="G32" i="21" s="1"/>
  <c r="E32" i="21"/>
  <c r="F33" i="21"/>
  <c r="E33" i="21"/>
  <c r="G33" i="21" s="1"/>
  <c r="F34" i="21"/>
  <c r="E34" i="21"/>
  <c r="G34" i="21"/>
  <c r="F35" i="21"/>
  <c r="G35" i="21" s="1"/>
  <c r="E35" i="21"/>
  <c r="F36" i="21"/>
  <c r="G36" i="21" s="1"/>
  <c r="E36" i="21"/>
  <c r="F37" i="21"/>
  <c r="G37" i="21" s="1"/>
  <c r="E37" i="21"/>
  <c r="F38" i="21"/>
  <c r="E38" i="21"/>
  <c r="G38" i="21"/>
  <c r="F39" i="21"/>
  <c r="E39" i="21"/>
  <c r="G39" i="21"/>
  <c r="F40" i="21"/>
  <c r="G40" i="21" s="1"/>
  <c r="E40" i="21"/>
  <c r="F41" i="21"/>
  <c r="E41" i="21"/>
  <c r="G41" i="21" s="1"/>
  <c r="F42" i="21"/>
  <c r="E42" i="21"/>
  <c r="G42" i="21"/>
  <c r="F43" i="21"/>
  <c r="G43" i="21" s="1"/>
  <c r="E43" i="21"/>
  <c r="F44" i="21"/>
  <c r="G44" i="21" s="1"/>
  <c r="E44" i="21"/>
  <c r="F5" i="22"/>
  <c r="E5" i="22"/>
  <c r="G5" i="22"/>
  <c r="F6" i="22"/>
  <c r="E6" i="22"/>
  <c r="G6" i="22"/>
  <c r="F7" i="22"/>
  <c r="E7" i="22"/>
  <c r="G7" i="22"/>
  <c r="F8" i="22"/>
  <c r="E8" i="22"/>
  <c r="G8" i="22"/>
  <c r="F9" i="22"/>
  <c r="E9" i="22"/>
  <c r="G9" i="22"/>
  <c r="F10" i="22"/>
  <c r="E10" i="22"/>
  <c r="G10" i="22"/>
  <c r="F11" i="22"/>
  <c r="E11" i="22"/>
  <c r="G11" i="22"/>
  <c r="F12" i="22"/>
  <c r="E12" i="22"/>
  <c r="G12" i="22"/>
  <c r="F13" i="22"/>
  <c r="E13" i="22"/>
  <c r="G13" i="22"/>
  <c r="F14" i="22"/>
  <c r="E14" i="22"/>
  <c r="G14" i="22"/>
  <c r="F15" i="22"/>
  <c r="E15" i="22"/>
  <c r="G15" i="22"/>
  <c r="F16" i="22"/>
  <c r="E16" i="22"/>
  <c r="G16" i="22"/>
  <c r="F17" i="22"/>
  <c r="E17" i="22"/>
  <c r="G17" i="22"/>
  <c r="F18" i="22"/>
  <c r="E18" i="22"/>
  <c r="G18" i="22"/>
  <c r="F19" i="22"/>
  <c r="E19" i="22"/>
  <c r="G19" i="22"/>
  <c r="F20" i="22"/>
  <c r="E20" i="22"/>
  <c r="G20" i="22"/>
  <c r="F21" i="22"/>
  <c r="E21" i="22"/>
  <c r="G21" i="22"/>
  <c r="F22" i="22"/>
  <c r="E22" i="22"/>
  <c r="G22" i="22"/>
  <c r="F23" i="22"/>
  <c r="E23" i="22"/>
  <c r="G23" i="22"/>
  <c r="F24" i="22"/>
  <c r="E24" i="22"/>
  <c r="G24" i="22"/>
  <c r="F25" i="22"/>
  <c r="E25" i="22"/>
  <c r="G25" i="22"/>
  <c r="F26" i="22"/>
  <c r="E26" i="22"/>
  <c r="G26" i="22"/>
  <c r="F27" i="22"/>
  <c r="E27" i="22"/>
  <c r="G27" i="22"/>
  <c r="F28" i="22"/>
  <c r="E28" i="22"/>
  <c r="G28" i="22"/>
  <c r="F29" i="22"/>
  <c r="E29" i="22"/>
  <c r="G29" i="22"/>
  <c r="F30" i="22"/>
  <c r="E30" i="22"/>
  <c r="G30" i="22"/>
  <c r="F31" i="22"/>
  <c r="E31" i="22"/>
  <c r="G31" i="22"/>
  <c r="F32" i="22"/>
  <c r="E32" i="22"/>
  <c r="G32" i="22"/>
  <c r="F33" i="22"/>
  <c r="E33" i="22"/>
  <c r="G33" i="22"/>
  <c r="F34" i="22"/>
  <c r="E34" i="22"/>
  <c r="G34" i="22"/>
  <c r="F35" i="22"/>
  <c r="E35" i="22"/>
  <c r="G35" i="22"/>
  <c r="F36" i="22"/>
  <c r="E36" i="22"/>
  <c r="G36" i="22"/>
  <c r="F37" i="22"/>
  <c r="E37" i="22"/>
  <c r="G37" i="22"/>
  <c r="F38" i="22"/>
  <c r="E38" i="22"/>
  <c r="G38" i="22"/>
  <c r="F39" i="22"/>
  <c r="E39" i="22"/>
  <c r="G39" i="22"/>
  <c r="F40" i="22"/>
  <c r="E40" i="22"/>
  <c r="G40" i="22"/>
  <c r="F41" i="22"/>
  <c r="E41" i="22"/>
  <c r="G41" i="22"/>
  <c r="F42" i="22"/>
  <c r="E42" i="22"/>
  <c r="G42" i="22"/>
  <c r="F43" i="22"/>
  <c r="E43" i="22"/>
  <c r="G43" i="22"/>
  <c r="F44" i="22"/>
  <c r="E44" i="22"/>
  <c r="G44" i="22"/>
  <c r="F5" i="23"/>
  <c r="E5" i="23"/>
  <c r="G5" i="23"/>
  <c r="F6" i="23"/>
  <c r="E6" i="23"/>
  <c r="G6" i="23"/>
  <c r="F7" i="23"/>
  <c r="E7" i="23"/>
  <c r="G7" i="23"/>
  <c r="F8" i="23"/>
  <c r="E8" i="23"/>
  <c r="G8" i="23"/>
  <c r="F9" i="23"/>
  <c r="E9" i="23"/>
  <c r="G9" i="23"/>
  <c r="F10" i="23"/>
  <c r="E10" i="23"/>
  <c r="G10" i="23"/>
  <c r="F11" i="23"/>
  <c r="E11" i="23"/>
  <c r="G11" i="23"/>
  <c r="F12" i="23"/>
  <c r="E12" i="23"/>
  <c r="G12" i="23"/>
  <c r="F13" i="23"/>
  <c r="E13" i="23"/>
  <c r="G13" i="23"/>
  <c r="F14" i="23"/>
  <c r="E14" i="23"/>
  <c r="G14" i="23"/>
  <c r="F15" i="23"/>
  <c r="E15" i="23"/>
  <c r="G15" i="23"/>
  <c r="F16" i="23"/>
  <c r="E16" i="23"/>
  <c r="G16" i="23"/>
  <c r="F17" i="23"/>
  <c r="E17" i="23"/>
  <c r="G17" i="23"/>
  <c r="F18" i="23"/>
  <c r="E18" i="23"/>
  <c r="G18" i="23"/>
  <c r="F19" i="23"/>
  <c r="E19" i="23"/>
  <c r="G19" i="23"/>
  <c r="F20" i="23"/>
  <c r="E20" i="23"/>
  <c r="G20" i="23"/>
  <c r="F21" i="23"/>
  <c r="E21" i="23"/>
  <c r="G21" i="23"/>
  <c r="F22" i="23"/>
  <c r="E22" i="23"/>
  <c r="G22" i="23"/>
  <c r="F23" i="23"/>
  <c r="E23" i="23"/>
  <c r="G23" i="23"/>
  <c r="F24" i="23"/>
  <c r="E24" i="23"/>
  <c r="G24" i="23"/>
  <c r="F25" i="23"/>
  <c r="E25" i="23"/>
  <c r="G25" i="23"/>
  <c r="F26" i="23"/>
  <c r="E26" i="23"/>
  <c r="G26" i="23"/>
  <c r="F27" i="23"/>
  <c r="E27" i="23"/>
  <c r="G27" i="23"/>
  <c r="F28" i="23"/>
  <c r="E28" i="23"/>
  <c r="G28" i="23"/>
  <c r="F29" i="23"/>
  <c r="E29" i="23"/>
  <c r="G29" i="23"/>
  <c r="F30" i="23"/>
  <c r="E30" i="23"/>
  <c r="G30" i="23"/>
  <c r="F31" i="23"/>
  <c r="E31" i="23"/>
  <c r="G31" i="23"/>
  <c r="F32" i="23"/>
  <c r="E32" i="23"/>
  <c r="G32" i="23"/>
  <c r="F33" i="23"/>
  <c r="E33" i="23"/>
  <c r="G33" i="23"/>
  <c r="F34" i="23"/>
  <c r="E34" i="23"/>
  <c r="G34" i="23"/>
  <c r="F35" i="23"/>
  <c r="E35" i="23"/>
  <c r="G35" i="23"/>
  <c r="F36" i="23"/>
  <c r="E36" i="23"/>
  <c r="G36" i="23"/>
  <c r="F37" i="23"/>
  <c r="E37" i="23"/>
  <c r="G37" i="23"/>
  <c r="F38" i="23"/>
  <c r="E38" i="23"/>
  <c r="G38" i="23"/>
  <c r="F39" i="23"/>
  <c r="E39" i="23"/>
  <c r="G39" i="23"/>
  <c r="F40" i="23"/>
  <c r="E40" i="23"/>
  <c r="G40" i="23"/>
  <c r="F41" i="23"/>
  <c r="E41" i="23"/>
  <c r="G41" i="23"/>
  <c r="F42" i="23"/>
  <c r="E42" i="23"/>
  <c r="G42" i="23"/>
  <c r="F43" i="23"/>
  <c r="E43" i="23"/>
  <c r="G43" i="23"/>
  <c r="F44" i="23"/>
  <c r="E44" i="23"/>
  <c r="G44" i="23"/>
  <c r="F5" i="24"/>
  <c r="E5" i="24"/>
  <c r="G5" i="24"/>
  <c r="F6" i="24"/>
  <c r="E6" i="24"/>
  <c r="G6" i="24"/>
  <c r="F7" i="24"/>
  <c r="E7" i="24"/>
  <c r="G7" i="24"/>
  <c r="F8" i="24"/>
  <c r="E8" i="24"/>
  <c r="G8" i="24"/>
  <c r="F9" i="24"/>
  <c r="E9" i="24"/>
  <c r="G9" i="24"/>
  <c r="F10" i="24"/>
  <c r="E10" i="24"/>
  <c r="G10" i="24"/>
  <c r="F11" i="24"/>
  <c r="E11" i="24"/>
  <c r="G11" i="24"/>
  <c r="F12" i="24"/>
  <c r="E12" i="24"/>
  <c r="G12" i="24"/>
  <c r="F13" i="24"/>
  <c r="E13" i="24"/>
  <c r="G13" i="24"/>
  <c r="F14" i="24"/>
  <c r="E14" i="24"/>
  <c r="G14" i="24"/>
  <c r="F15" i="24"/>
  <c r="E15" i="24"/>
  <c r="G15" i="24"/>
  <c r="F16" i="24"/>
  <c r="E16" i="24"/>
  <c r="G16" i="24"/>
  <c r="F17" i="24"/>
  <c r="E17" i="24"/>
  <c r="G17" i="24"/>
  <c r="F18" i="24"/>
  <c r="E18" i="24"/>
  <c r="G18" i="24"/>
  <c r="F19" i="24"/>
  <c r="E19" i="24"/>
  <c r="G19" i="24"/>
  <c r="F20" i="24"/>
  <c r="E20" i="24"/>
  <c r="G20" i="24"/>
  <c r="F21" i="24"/>
  <c r="E21" i="24"/>
  <c r="G21" i="24"/>
  <c r="F22" i="24"/>
  <c r="E22" i="24"/>
  <c r="G22" i="24"/>
  <c r="F23" i="24"/>
  <c r="E23" i="24"/>
  <c r="G23" i="24"/>
  <c r="F24" i="24"/>
  <c r="E24" i="24"/>
  <c r="G24" i="24"/>
  <c r="F25" i="24"/>
  <c r="E25" i="24"/>
  <c r="G25" i="24"/>
  <c r="F26" i="24"/>
  <c r="E26" i="24"/>
  <c r="G26" i="24"/>
  <c r="F27" i="24"/>
  <c r="E27" i="24"/>
  <c r="G27" i="24"/>
  <c r="F28" i="24"/>
  <c r="E28" i="24"/>
  <c r="G28" i="24"/>
  <c r="F29" i="24"/>
  <c r="E29" i="24"/>
  <c r="G29" i="24"/>
  <c r="F30" i="24"/>
  <c r="E30" i="24"/>
  <c r="G30" i="24"/>
  <c r="F31" i="24"/>
  <c r="E31" i="24"/>
  <c r="G31" i="24"/>
  <c r="F32" i="24"/>
  <c r="E32" i="24"/>
  <c r="G32" i="24"/>
  <c r="F33" i="24"/>
  <c r="E33" i="24"/>
  <c r="G33" i="24"/>
  <c r="F34" i="24"/>
  <c r="E34" i="24"/>
  <c r="G34" i="24"/>
  <c r="F35" i="24"/>
  <c r="E35" i="24"/>
  <c r="G35" i="24"/>
  <c r="F36" i="24"/>
  <c r="E36" i="24"/>
  <c r="G36" i="24"/>
  <c r="F37" i="24"/>
  <c r="E37" i="24"/>
  <c r="G37" i="24"/>
  <c r="F38" i="24"/>
  <c r="E38" i="24"/>
  <c r="G38" i="24"/>
  <c r="F39" i="24"/>
  <c r="E39" i="24"/>
  <c r="G39" i="24"/>
  <c r="F40" i="24"/>
  <c r="E40" i="24"/>
  <c r="G40" i="24"/>
  <c r="F41" i="24"/>
  <c r="E41" i="24"/>
  <c r="G41" i="24"/>
  <c r="F42" i="24"/>
  <c r="E42" i="24"/>
  <c r="G42" i="24"/>
  <c r="F43" i="24"/>
  <c r="E43" i="24"/>
  <c r="G43" i="24"/>
  <c r="F44" i="24"/>
  <c r="E44" i="24"/>
  <c r="G44" i="24"/>
  <c r="F5" i="25"/>
  <c r="E5" i="25"/>
  <c r="G5" i="25"/>
  <c r="F6" i="25"/>
  <c r="E6" i="25"/>
  <c r="G6" i="25"/>
  <c r="F7" i="25"/>
  <c r="E7" i="25"/>
  <c r="G7" i="25"/>
  <c r="F8" i="25"/>
  <c r="E8" i="25"/>
  <c r="G8" i="25"/>
  <c r="F9" i="25"/>
  <c r="E9" i="25"/>
  <c r="G9" i="25"/>
  <c r="F10" i="25"/>
  <c r="E10" i="25"/>
  <c r="G10" i="25"/>
  <c r="F11" i="25"/>
  <c r="E11" i="25"/>
  <c r="G11" i="25"/>
  <c r="F12" i="25"/>
  <c r="E12" i="25"/>
  <c r="G12" i="25"/>
  <c r="F13" i="25"/>
  <c r="E13" i="25"/>
  <c r="G13" i="25"/>
  <c r="F14" i="25"/>
  <c r="E14" i="25"/>
  <c r="G14" i="25"/>
  <c r="F15" i="25"/>
  <c r="E15" i="25"/>
  <c r="G15" i="25"/>
  <c r="F16" i="25"/>
  <c r="E16" i="25"/>
  <c r="G16" i="25"/>
  <c r="F17" i="25"/>
  <c r="E17" i="25"/>
  <c r="G17" i="25"/>
  <c r="F18" i="25"/>
  <c r="E18" i="25"/>
  <c r="G18" i="25"/>
  <c r="F19" i="25"/>
  <c r="E19" i="25"/>
  <c r="G19" i="25"/>
  <c r="F20" i="25"/>
  <c r="E20" i="25"/>
  <c r="G20" i="25"/>
  <c r="F21" i="25"/>
  <c r="E21" i="25"/>
  <c r="G21" i="25"/>
  <c r="F22" i="25"/>
  <c r="E22" i="25"/>
  <c r="G22" i="25"/>
  <c r="F23" i="25"/>
  <c r="E23" i="25"/>
  <c r="G23" i="25"/>
  <c r="F24" i="25"/>
  <c r="E24" i="25"/>
  <c r="G24" i="25"/>
  <c r="F25" i="25"/>
  <c r="E25" i="25"/>
  <c r="G25" i="25"/>
  <c r="F26" i="25"/>
  <c r="E26" i="25"/>
  <c r="G26" i="25"/>
  <c r="F27" i="25"/>
  <c r="E27" i="25"/>
  <c r="G27" i="25"/>
  <c r="F28" i="25"/>
  <c r="E28" i="25"/>
  <c r="G28" i="25"/>
  <c r="F29" i="25"/>
  <c r="E29" i="25"/>
  <c r="G29" i="25"/>
  <c r="F30" i="25"/>
  <c r="E30" i="25"/>
  <c r="G30" i="25"/>
  <c r="F31" i="25"/>
  <c r="E31" i="25"/>
  <c r="G31" i="25"/>
  <c r="F32" i="25"/>
  <c r="E32" i="25"/>
  <c r="G32" i="25"/>
  <c r="F33" i="25"/>
  <c r="E33" i="25"/>
  <c r="G33" i="25"/>
  <c r="F34" i="25"/>
  <c r="E34" i="25"/>
  <c r="G34" i="25"/>
  <c r="F35" i="25"/>
  <c r="E35" i="25"/>
  <c r="G35" i="25"/>
  <c r="F36" i="25"/>
  <c r="E36" i="25"/>
  <c r="G36" i="25"/>
  <c r="F37" i="25"/>
  <c r="E37" i="25"/>
  <c r="G37" i="25"/>
  <c r="F38" i="25"/>
  <c r="E38" i="25"/>
  <c r="G38" i="25"/>
  <c r="F39" i="25"/>
  <c r="E39" i="25"/>
  <c r="G39" i="25"/>
  <c r="F40" i="25"/>
  <c r="E40" i="25"/>
  <c r="G40" i="25"/>
  <c r="F41" i="25"/>
  <c r="E41" i="25"/>
  <c r="G41" i="25"/>
  <c r="F42" i="25"/>
  <c r="E42" i="25"/>
  <c r="G42" i="25"/>
  <c r="F43" i="25"/>
  <c r="E43" i="25"/>
  <c r="G43" i="25"/>
  <c r="F44" i="25"/>
  <c r="E44" i="25"/>
  <c r="G44" i="25"/>
  <c r="F5" i="17"/>
  <c r="E5" i="17"/>
  <c r="G5" i="17"/>
  <c r="F6" i="17"/>
  <c r="E6" i="17"/>
  <c r="G6" i="17"/>
  <c r="F7" i="17"/>
  <c r="E7" i="17"/>
  <c r="G7" i="17"/>
  <c r="F8" i="17"/>
  <c r="E8" i="17"/>
  <c r="G8" i="17"/>
  <c r="F9" i="17"/>
  <c r="E9" i="17"/>
  <c r="G9" i="17"/>
  <c r="F10" i="17"/>
  <c r="E10" i="17"/>
  <c r="G10" i="17"/>
  <c r="F11" i="17"/>
  <c r="E11" i="17"/>
  <c r="G11" i="17"/>
  <c r="F12" i="17"/>
  <c r="E12" i="17"/>
  <c r="G12" i="17"/>
  <c r="F13" i="17"/>
  <c r="E13" i="17"/>
  <c r="G13" i="17"/>
  <c r="F14" i="17"/>
  <c r="E14" i="17"/>
  <c r="G14" i="17"/>
  <c r="F15" i="17"/>
  <c r="E15" i="17"/>
  <c r="G15" i="17"/>
  <c r="F16" i="17"/>
  <c r="E16" i="17"/>
  <c r="G16" i="17"/>
  <c r="F17" i="17"/>
  <c r="E17" i="17"/>
  <c r="G17" i="17"/>
  <c r="F18" i="17"/>
  <c r="E18" i="17"/>
  <c r="G18" i="17"/>
  <c r="F19" i="17"/>
  <c r="E19" i="17"/>
  <c r="G19" i="17"/>
  <c r="F20" i="17"/>
  <c r="E20" i="17"/>
  <c r="G20" i="17"/>
  <c r="F21" i="17"/>
  <c r="E21" i="17"/>
  <c r="G21" i="17"/>
  <c r="F22" i="17"/>
  <c r="E22" i="17"/>
  <c r="G22" i="17"/>
  <c r="F23" i="17"/>
  <c r="E23" i="17"/>
  <c r="G23" i="17"/>
  <c r="F24" i="17"/>
  <c r="E24" i="17"/>
  <c r="G24" i="17"/>
  <c r="F25" i="17"/>
  <c r="E25" i="17"/>
  <c r="G25" i="17"/>
  <c r="F26" i="17"/>
  <c r="E26" i="17"/>
  <c r="G26" i="17"/>
  <c r="F27" i="17"/>
  <c r="E27" i="17"/>
  <c r="G27" i="17"/>
  <c r="F28" i="17"/>
  <c r="E28" i="17"/>
  <c r="G28" i="17"/>
  <c r="F29" i="17"/>
  <c r="E29" i="17"/>
  <c r="G29" i="17"/>
  <c r="F30" i="17"/>
  <c r="E30" i="17"/>
  <c r="G30" i="17"/>
  <c r="F31" i="17"/>
  <c r="E31" i="17"/>
  <c r="G31" i="17"/>
  <c r="F32" i="17"/>
  <c r="E32" i="17"/>
  <c r="G32" i="17"/>
  <c r="F33" i="17"/>
  <c r="E33" i="17"/>
  <c r="G33" i="17"/>
  <c r="F34" i="17"/>
  <c r="E34" i="17"/>
  <c r="G34" i="17"/>
  <c r="F35" i="17"/>
  <c r="E35" i="17"/>
  <c r="G35" i="17"/>
  <c r="F36" i="17"/>
  <c r="E36" i="17"/>
  <c r="G36" i="17"/>
  <c r="F37" i="17"/>
  <c r="E37" i="17"/>
  <c r="G37" i="17"/>
  <c r="F38" i="17"/>
  <c r="E38" i="17"/>
  <c r="G38" i="17"/>
  <c r="F39" i="17"/>
  <c r="E39" i="17"/>
  <c r="G39" i="17"/>
  <c r="F40" i="17"/>
  <c r="E40" i="17"/>
  <c r="G40" i="17"/>
  <c r="F41" i="17"/>
  <c r="E41" i="17"/>
  <c r="G41" i="17"/>
  <c r="F42" i="17"/>
  <c r="E42" i="17"/>
  <c r="G42" i="17"/>
  <c r="F43" i="17"/>
  <c r="E43" i="17"/>
  <c r="G43" i="17"/>
  <c r="F44" i="17"/>
  <c r="E44" i="17"/>
  <c r="G44" i="17"/>
  <c r="F5" i="26"/>
  <c r="E5" i="26"/>
  <c r="G5" i="26"/>
  <c r="F6" i="26"/>
  <c r="E6" i="26"/>
  <c r="G6" i="26"/>
  <c r="F7" i="26"/>
  <c r="E7" i="26"/>
  <c r="G7" i="26"/>
  <c r="F8" i="26"/>
  <c r="E8" i="26"/>
  <c r="G8" i="26"/>
  <c r="F9" i="26"/>
  <c r="E9" i="26"/>
  <c r="G9" i="26"/>
  <c r="F10" i="26"/>
  <c r="E10" i="26"/>
  <c r="G10" i="26"/>
  <c r="F11" i="26"/>
  <c r="E11" i="26"/>
  <c r="G11" i="26"/>
  <c r="F12" i="26"/>
  <c r="E12" i="26"/>
  <c r="G12" i="26"/>
  <c r="F13" i="26"/>
  <c r="E13" i="26"/>
  <c r="G13" i="26"/>
  <c r="F14" i="26"/>
  <c r="E14" i="26"/>
  <c r="G14" i="26"/>
  <c r="F15" i="26"/>
  <c r="E15" i="26"/>
  <c r="G15" i="26"/>
  <c r="F16" i="26"/>
  <c r="E16" i="26"/>
  <c r="G16" i="26"/>
  <c r="F17" i="26"/>
  <c r="E17" i="26"/>
  <c r="G17" i="26"/>
  <c r="F18" i="26"/>
  <c r="E18" i="26"/>
  <c r="G18" i="26"/>
  <c r="F19" i="26"/>
  <c r="E19" i="26"/>
  <c r="G19" i="26"/>
  <c r="F20" i="26"/>
  <c r="E20" i="26"/>
  <c r="G20" i="26"/>
  <c r="F21" i="26"/>
  <c r="E21" i="26"/>
  <c r="G21" i="26"/>
  <c r="F22" i="26"/>
  <c r="E22" i="26"/>
  <c r="G22" i="26"/>
  <c r="F23" i="26"/>
  <c r="E23" i="26"/>
  <c r="G23" i="26"/>
  <c r="F24" i="26"/>
  <c r="E24" i="26"/>
  <c r="G24" i="26"/>
  <c r="F25" i="26"/>
  <c r="E25" i="26"/>
  <c r="G25" i="26"/>
  <c r="F26" i="26"/>
  <c r="E26" i="26"/>
  <c r="G26" i="26"/>
  <c r="F27" i="26"/>
  <c r="E27" i="26"/>
  <c r="G27" i="26"/>
  <c r="F28" i="26"/>
  <c r="E28" i="26"/>
  <c r="G28" i="26"/>
  <c r="F29" i="26"/>
  <c r="E29" i="26"/>
  <c r="G29" i="26"/>
  <c r="F30" i="26"/>
  <c r="E30" i="26"/>
  <c r="G30" i="26"/>
  <c r="F31" i="26"/>
  <c r="E31" i="26"/>
  <c r="G31" i="26"/>
  <c r="F32" i="26"/>
  <c r="E32" i="26"/>
  <c r="G32" i="26"/>
  <c r="F33" i="26"/>
  <c r="E33" i="26"/>
  <c r="G33" i="26"/>
  <c r="F34" i="26"/>
  <c r="E34" i="26"/>
  <c r="G34" i="26"/>
  <c r="F35" i="26"/>
  <c r="E35" i="26"/>
  <c r="G35" i="26"/>
  <c r="F36" i="26"/>
  <c r="E36" i="26"/>
  <c r="G36" i="26"/>
  <c r="F37" i="26"/>
  <c r="E37" i="26"/>
  <c r="G37" i="26"/>
  <c r="F38" i="26"/>
  <c r="E38" i="26"/>
  <c r="G38" i="26"/>
  <c r="F39" i="26"/>
  <c r="E39" i="26"/>
  <c r="G39" i="26"/>
  <c r="F40" i="26"/>
  <c r="E40" i="26"/>
  <c r="G40" i="26"/>
  <c r="F41" i="26"/>
  <c r="E41" i="26"/>
  <c r="G41" i="26"/>
  <c r="F42" i="26"/>
  <c r="E42" i="26"/>
  <c r="G42" i="26"/>
  <c r="F43" i="26"/>
  <c r="E43" i="26"/>
  <c r="G43" i="26"/>
  <c r="F44" i="26"/>
  <c r="E44" i="26"/>
  <c r="G44" i="26"/>
  <c r="F5" i="27"/>
  <c r="E5" i="27"/>
  <c r="G5" i="27"/>
  <c r="F6" i="27"/>
  <c r="E6" i="27"/>
  <c r="G6" i="27"/>
  <c r="F7" i="27"/>
  <c r="E7" i="27"/>
  <c r="G7" i="27"/>
  <c r="F8" i="27"/>
  <c r="E8" i="27"/>
  <c r="G8" i="27"/>
  <c r="F9" i="27"/>
  <c r="E9" i="27"/>
  <c r="G9" i="27"/>
  <c r="F10" i="27"/>
  <c r="E10" i="27"/>
  <c r="G10" i="27"/>
  <c r="F11" i="27"/>
  <c r="E11" i="27"/>
  <c r="G11" i="27"/>
  <c r="F12" i="27"/>
  <c r="E12" i="27"/>
  <c r="G12" i="27"/>
  <c r="F13" i="27"/>
  <c r="E13" i="27"/>
  <c r="G13" i="27"/>
  <c r="F14" i="27"/>
  <c r="E14" i="27"/>
  <c r="G14" i="27"/>
  <c r="F15" i="27"/>
  <c r="E15" i="27"/>
  <c r="G15" i="27"/>
  <c r="F16" i="27"/>
  <c r="E16" i="27"/>
  <c r="G16" i="27"/>
  <c r="F17" i="27"/>
  <c r="E17" i="27"/>
  <c r="G17" i="27"/>
  <c r="F18" i="27"/>
  <c r="E18" i="27"/>
  <c r="G18" i="27"/>
  <c r="F19" i="27"/>
  <c r="E19" i="27"/>
  <c r="G19" i="27"/>
  <c r="F20" i="27"/>
  <c r="E20" i="27"/>
  <c r="G20" i="27"/>
  <c r="F21" i="27"/>
  <c r="E21" i="27"/>
  <c r="G21" i="27"/>
  <c r="F22" i="27"/>
  <c r="E22" i="27"/>
  <c r="G22" i="27"/>
  <c r="F23" i="27"/>
  <c r="E23" i="27"/>
  <c r="G23" i="27"/>
  <c r="F24" i="27"/>
  <c r="E24" i="27"/>
  <c r="G24" i="27"/>
  <c r="F25" i="27"/>
  <c r="E25" i="27"/>
  <c r="G25" i="27"/>
  <c r="F26" i="27"/>
  <c r="E26" i="27"/>
  <c r="G26" i="27"/>
  <c r="F27" i="27"/>
  <c r="E27" i="27"/>
  <c r="G27" i="27"/>
  <c r="F28" i="27"/>
  <c r="E28" i="27"/>
  <c r="G28" i="27"/>
  <c r="F29" i="27"/>
  <c r="E29" i="27"/>
  <c r="G29" i="27"/>
  <c r="F30" i="27"/>
  <c r="E30" i="27"/>
  <c r="G30" i="27"/>
  <c r="F31" i="27"/>
  <c r="E31" i="27"/>
  <c r="G31" i="27"/>
  <c r="F32" i="27"/>
  <c r="E32" i="27"/>
  <c r="G32" i="27"/>
  <c r="F33" i="27"/>
  <c r="E33" i="27"/>
  <c r="G33" i="27"/>
  <c r="F34" i="27"/>
  <c r="E34" i="27"/>
  <c r="G34" i="27"/>
  <c r="F35" i="27"/>
  <c r="E35" i="27"/>
  <c r="G35" i="27"/>
  <c r="F36" i="27"/>
  <c r="E36" i="27"/>
  <c r="G36" i="27"/>
  <c r="F37" i="27"/>
  <c r="E37" i="27"/>
  <c r="G37" i="27"/>
  <c r="F38" i="27"/>
  <c r="E38" i="27"/>
  <c r="G38" i="27"/>
  <c r="F39" i="27"/>
  <c r="E39" i="27"/>
  <c r="G39" i="27"/>
  <c r="F40" i="27"/>
  <c r="E40" i="27"/>
  <c r="G40" i="27"/>
  <c r="F41" i="27"/>
  <c r="E41" i="27"/>
  <c r="G41" i="27"/>
  <c r="F42" i="27"/>
  <c r="E42" i="27"/>
  <c r="G42" i="27"/>
  <c r="F43" i="27"/>
  <c r="E43" i="27"/>
  <c r="G43" i="27"/>
  <c r="F44" i="27"/>
  <c r="E44" i="27"/>
  <c r="G44" i="27"/>
  <c r="F5" i="28"/>
  <c r="E5" i="28"/>
  <c r="G5" i="28"/>
  <c r="F6" i="28"/>
  <c r="E6" i="28"/>
  <c r="G6" i="28"/>
  <c r="F7" i="28"/>
  <c r="E7" i="28"/>
  <c r="G7" i="28"/>
  <c r="F8" i="28"/>
  <c r="E8" i="28"/>
  <c r="G8" i="28"/>
  <c r="F9" i="28"/>
  <c r="E9" i="28"/>
  <c r="G9" i="28"/>
  <c r="F10" i="28"/>
  <c r="E10" i="28"/>
  <c r="G10" i="28"/>
  <c r="F11" i="28"/>
  <c r="E11" i="28"/>
  <c r="G11" i="28"/>
  <c r="F12" i="28"/>
  <c r="E12" i="28"/>
  <c r="G12" i="28"/>
  <c r="F13" i="28"/>
  <c r="E13" i="28"/>
  <c r="G13" i="28"/>
  <c r="F14" i="28"/>
  <c r="E14" i="28"/>
  <c r="G14" i="28"/>
  <c r="F15" i="28"/>
  <c r="E15" i="28"/>
  <c r="G15" i="28"/>
  <c r="F16" i="28"/>
  <c r="E16" i="28"/>
  <c r="G16" i="28"/>
  <c r="F17" i="28"/>
  <c r="E17" i="28"/>
  <c r="G17" i="28"/>
  <c r="F18" i="28"/>
  <c r="E18" i="28"/>
  <c r="G18" i="28"/>
  <c r="F19" i="28"/>
  <c r="E19" i="28"/>
  <c r="G19" i="28"/>
  <c r="F20" i="28"/>
  <c r="E20" i="28"/>
  <c r="G20" i="28"/>
  <c r="F21" i="28"/>
  <c r="E21" i="28"/>
  <c r="G21" i="28"/>
  <c r="F22" i="28"/>
  <c r="E22" i="28"/>
  <c r="G22" i="28"/>
  <c r="F23" i="28"/>
  <c r="E23" i="28"/>
  <c r="G23" i="28"/>
  <c r="F24" i="28"/>
  <c r="E24" i="28"/>
  <c r="G24" i="28"/>
  <c r="F25" i="28"/>
  <c r="E25" i="28"/>
  <c r="G25" i="28"/>
  <c r="F26" i="28"/>
  <c r="E26" i="28"/>
  <c r="G26" i="28"/>
  <c r="F27" i="28"/>
  <c r="E27" i="28"/>
  <c r="G27" i="28"/>
  <c r="F28" i="28"/>
  <c r="E28" i="28"/>
  <c r="G28" i="28"/>
  <c r="F29" i="28"/>
  <c r="E29" i="28"/>
  <c r="G29" i="28"/>
  <c r="F30" i="28"/>
  <c r="E30" i="28"/>
  <c r="G30" i="28"/>
  <c r="F31" i="28"/>
  <c r="E31" i="28"/>
  <c r="G31" i="28"/>
  <c r="F32" i="28"/>
  <c r="E32" i="28"/>
  <c r="G32" i="28"/>
  <c r="F33" i="28"/>
  <c r="E33" i="28"/>
  <c r="G33" i="28"/>
  <c r="F34" i="28"/>
  <c r="E34" i="28"/>
  <c r="G34" i="28"/>
  <c r="F35" i="28"/>
  <c r="E35" i="28"/>
  <c r="G35" i="28"/>
  <c r="F36" i="28"/>
  <c r="E36" i="28"/>
  <c r="G36" i="28"/>
  <c r="F37" i="28"/>
  <c r="E37" i="28"/>
  <c r="G37" i="28"/>
  <c r="F38" i="28"/>
  <c r="E38" i="28"/>
  <c r="G38" i="28"/>
  <c r="F39" i="28"/>
  <c r="E39" i="28"/>
  <c r="G39" i="28"/>
  <c r="F40" i="28"/>
  <c r="E40" i="28"/>
  <c r="G40" i="28"/>
  <c r="F41" i="28"/>
  <c r="E41" i="28"/>
  <c r="G41" i="28"/>
  <c r="F42" i="28"/>
  <c r="E42" i="28"/>
  <c r="G42" i="28"/>
  <c r="F43" i="28"/>
  <c r="E43" i="28"/>
  <c r="G43" i="28"/>
  <c r="F44" i="28"/>
  <c r="E44" i="28"/>
  <c r="G44" i="28"/>
  <c r="F5" i="18"/>
  <c r="E5" i="18"/>
  <c r="G5" i="18"/>
  <c r="F6" i="18"/>
  <c r="E6" i="18"/>
  <c r="G6" i="18"/>
  <c r="F7" i="18"/>
  <c r="E7" i="18"/>
  <c r="G7" i="18"/>
  <c r="F8" i="18"/>
  <c r="E8" i="18"/>
  <c r="G8" i="18"/>
  <c r="F9" i="18"/>
  <c r="E9" i="18"/>
  <c r="G9" i="18"/>
  <c r="F10" i="18"/>
  <c r="E10" i="18"/>
  <c r="G10" i="18"/>
  <c r="F11" i="18"/>
  <c r="E11" i="18"/>
  <c r="G11" i="18"/>
  <c r="F12" i="18"/>
  <c r="E12" i="18"/>
  <c r="G12" i="18"/>
  <c r="F13" i="18"/>
  <c r="E13" i="18"/>
  <c r="G13" i="18"/>
  <c r="F14" i="18"/>
  <c r="E14" i="18"/>
  <c r="G14" i="18"/>
  <c r="F15" i="18"/>
  <c r="E15" i="18"/>
  <c r="G15" i="18"/>
  <c r="F16" i="18"/>
  <c r="E16" i="18"/>
  <c r="G16" i="18"/>
  <c r="F17" i="18"/>
  <c r="E17" i="18"/>
  <c r="G17" i="18"/>
  <c r="F18" i="18"/>
  <c r="E18" i="18"/>
  <c r="G18" i="18"/>
  <c r="F19" i="18"/>
  <c r="E19" i="18"/>
  <c r="G19" i="18"/>
  <c r="F20" i="18"/>
  <c r="E20" i="18"/>
  <c r="G20" i="18"/>
  <c r="F21" i="18"/>
  <c r="E21" i="18"/>
  <c r="G21" i="18"/>
  <c r="F22" i="18"/>
  <c r="E22" i="18"/>
  <c r="G22" i="18"/>
  <c r="F23" i="18"/>
  <c r="E23" i="18"/>
  <c r="G23" i="18"/>
  <c r="F24" i="18"/>
  <c r="E24" i="18"/>
  <c r="G24" i="18"/>
  <c r="F25" i="18"/>
  <c r="E25" i="18"/>
  <c r="G25" i="18"/>
  <c r="F26" i="18"/>
  <c r="E26" i="18"/>
  <c r="G26" i="18"/>
  <c r="F27" i="18"/>
  <c r="E27" i="18"/>
  <c r="G27" i="18"/>
  <c r="F28" i="18"/>
  <c r="E28" i="18"/>
  <c r="G28" i="18"/>
  <c r="F29" i="18"/>
  <c r="E29" i="18"/>
  <c r="G29" i="18"/>
  <c r="F30" i="18"/>
  <c r="E30" i="18"/>
  <c r="G30" i="18"/>
  <c r="F31" i="18"/>
  <c r="E31" i="18"/>
  <c r="G31" i="18"/>
  <c r="F32" i="18"/>
  <c r="E32" i="18"/>
  <c r="G32" i="18"/>
  <c r="F33" i="18"/>
  <c r="E33" i="18"/>
  <c r="G33" i="18"/>
  <c r="F34" i="18"/>
  <c r="E34" i="18"/>
  <c r="G34" i="18"/>
  <c r="F35" i="18"/>
  <c r="E35" i="18"/>
  <c r="G35" i="18"/>
  <c r="F36" i="18"/>
  <c r="E36" i="18"/>
  <c r="G36" i="18"/>
  <c r="F37" i="18"/>
  <c r="E37" i="18"/>
  <c r="G37" i="18"/>
  <c r="F38" i="18"/>
  <c r="E38" i="18"/>
  <c r="G38" i="18"/>
  <c r="F39" i="18"/>
  <c r="E39" i="18"/>
  <c r="G39" i="18"/>
  <c r="F40" i="18"/>
  <c r="E40" i="18"/>
  <c r="G40" i="18"/>
  <c r="F41" i="18"/>
  <c r="E41" i="18"/>
  <c r="G41" i="18"/>
  <c r="F42" i="18"/>
  <c r="E42" i="18"/>
  <c r="G42" i="18"/>
  <c r="F43" i="18"/>
  <c r="E43" i="18"/>
  <c r="G43" i="18"/>
  <c r="F44" i="18"/>
  <c r="E44" i="18"/>
  <c r="G44" i="18"/>
  <c r="F5" i="29"/>
  <c r="E5" i="29"/>
  <c r="G5" i="29"/>
  <c r="F6" i="29"/>
  <c r="E6" i="29"/>
  <c r="G6" i="29"/>
  <c r="F7" i="29"/>
  <c r="E7" i="29"/>
  <c r="G7" i="29"/>
  <c r="F8" i="29"/>
  <c r="E8" i="29"/>
  <c r="G8" i="29"/>
  <c r="F9" i="29"/>
  <c r="E9" i="29"/>
  <c r="G9" i="29"/>
  <c r="F10" i="29"/>
  <c r="E10" i="29"/>
  <c r="G10" i="29"/>
  <c r="F11" i="29"/>
  <c r="E11" i="29"/>
  <c r="G11" i="29"/>
  <c r="F12" i="29"/>
  <c r="E12" i="29"/>
  <c r="G12" i="29"/>
  <c r="F13" i="29"/>
  <c r="E13" i="29"/>
  <c r="G13" i="29"/>
  <c r="F14" i="29"/>
  <c r="E14" i="29"/>
  <c r="G14" i="29"/>
  <c r="F15" i="29"/>
  <c r="E15" i="29"/>
  <c r="G15" i="29"/>
  <c r="F16" i="29"/>
  <c r="E16" i="29"/>
  <c r="G16" i="29"/>
  <c r="F17" i="29"/>
  <c r="E17" i="29"/>
  <c r="G17" i="29"/>
  <c r="F18" i="29"/>
  <c r="E18" i="29"/>
  <c r="G18" i="29"/>
  <c r="F19" i="29"/>
  <c r="E19" i="29"/>
  <c r="G19" i="29"/>
  <c r="F20" i="29"/>
  <c r="E20" i="29"/>
  <c r="G20" i="29"/>
  <c r="F21" i="29"/>
  <c r="E21" i="29"/>
  <c r="G21" i="29"/>
  <c r="F22" i="29"/>
  <c r="E22" i="29"/>
  <c r="G22" i="29"/>
  <c r="F23" i="29"/>
  <c r="E23" i="29"/>
  <c r="G23" i="29"/>
  <c r="F24" i="29"/>
  <c r="E24" i="29"/>
  <c r="G24" i="29"/>
  <c r="F25" i="29"/>
  <c r="E25" i="29"/>
  <c r="G25" i="29"/>
  <c r="F26" i="29"/>
  <c r="E26" i="29"/>
  <c r="G26" i="29"/>
  <c r="F27" i="29"/>
  <c r="E27" i="29"/>
  <c r="G27" i="29"/>
  <c r="F28" i="29"/>
  <c r="E28" i="29"/>
  <c r="G28" i="29"/>
  <c r="F29" i="29"/>
  <c r="E29" i="29"/>
  <c r="G29" i="29"/>
  <c r="F30" i="29"/>
  <c r="E30" i="29"/>
  <c r="G30" i="29"/>
  <c r="F31" i="29"/>
  <c r="E31" i="29"/>
  <c r="G31" i="29"/>
  <c r="F32" i="29"/>
  <c r="E32" i="29"/>
  <c r="G32" i="29"/>
  <c r="F33" i="29"/>
  <c r="E33" i="29"/>
  <c r="G33" i="29"/>
  <c r="F34" i="29"/>
  <c r="E34" i="29"/>
  <c r="G34" i="29"/>
  <c r="F35" i="29"/>
  <c r="E35" i="29"/>
  <c r="G35" i="29"/>
  <c r="F36" i="29"/>
  <c r="E36" i="29"/>
  <c r="G36" i="29"/>
  <c r="F37" i="29"/>
  <c r="E37" i="29"/>
  <c r="G37" i="29"/>
  <c r="F38" i="29"/>
  <c r="E38" i="29"/>
  <c r="G38" i="29"/>
  <c r="F39" i="29"/>
  <c r="E39" i="29"/>
  <c r="G39" i="29"/>
  <c r="F40" i="29"/>
  <c r="E40" i="29"/>
  <c r="G40" i="29"/>
  <c r="F41" i="29"/>
  <c r="E41" i="29"/>
  <c r="G41" i="29"/>
  <c r="F42" i="29"/>
  <c r="E42" i="29"/>
  <c r="G42" i="29"/>
  <c r="F43" i="29"/>
  <c r="E43" i="29"/>
  <c r="G43" i="29"/>
  <c r="F44" i="29"/>
  <c r="E44" i="29"/>
  <c r="G44" i="29"/>
  <c r="F5" i="30"/>
  <c r="E5" i="30"/>
  <c r="G5" i="30"/>
  <c r="F6" i="30"/>
  <c r="E6" i="30"/>
  <c r="G6" i="30"/>
  <c r="F7" i="30"/>
  <c r="E7" i="30"/>
  <c r="G7" i="30"/>
  <c r="F8" i="30"/>
  <c r="E8" i="30"/>
  <c r="G8" i="30"/>
  <c r="F9" i="30"/>
  <c r="E9" i="30"/>
  <c r="G9" i="30"/>
  <c r="F10" i="30"/>
  <c r="E10" i="30"/>
  <c r="G10" i="30"/>
  <c r="F11" i="30"/>
  <c r="E11" i="30"/>
  <c r="G11" i="30"/>
  <c r="F12" i="30"/>
  <c r="E12" i="30"/>
  <c r="G12" i="30"/>
  <c r="F13" i="30"/>
  <c r="E13" i="30"/>
  <c r="G13" i="30"/>
  <c r="F14" i="30"/>
  <c r="E14" i="30"/>
  <c r="G14" i="30"/>
  <c r="F15" i="30"/>
  <c r="E15" i="30"/>
  <c r="G15" i="30"/>
  <c r="F16" i="30"/>
  <c r="E16" i="30"/>
  <c r="G16" i="30"/>
  <c r="F17" i="30"/>
  <c r="E17" i="30"/>
  <c r="G17" i="30"/>
  <c r="F18" i="30"/>
  <c r="E18" i="30"/>
  <c r="G18" i="30"/>
  <c r="F19" i="30"/>
  <c r="E19" i="30"/>
  <c r="G19" i="30"/>
  <c r="F20" i="30"/>
  <c r="E20" i="30"/>
  <c r="G20" i="30"/>
  <c r="F21" i="30"/>
  <c r="E21" i="30"/>
  <c r="G21" i="30"/>
  <c r="F22" i="30"/>
  <c r="E22" i="30"/>
  <c r="G22" i="30"/>
  <c r="F23" i="30"/>
  <c r="E23" i="30"/>
  <c r="G23" i="30"/>
  <c r="F24" i="30"/>
  <c r="E24" i="30"/>
  <c r="G24" i="30"/>
  <c r="F25" i="30"/>
  <c r="E25" i="30"/>
  <c r="G25" i="30"/>
  <c r="F26" i="30"/>
  <c r="E26" i="30"/>
  <c r="G26" i="30"/>
  <c r="F27" i="30"/>
  <c r="E27" i="30"/>
  <c r="G27" i="30"/>
  <c r="F28" i="30"/>
  <c r="E28" i="30"/>
  <c r="G28" i="30"/>
  <c r="F29" i="30"/>
  <c r="E29" i="30"/>
  <c r="G29" i="30"/>
  <c r="F30" i="30"/>
  <c r="E30" i="30"/>
  <c r="G30" i="30"/>
  <c r="F31" i="30"/>
  <c r="E31" i="30"/>
  <c r="G31" i="30"/>
  <c r="F32" i="30"/>
  <c r="E32" i="30"/>
  <c r="G32" i="30"/>
  <c r="F33" i="30"/>
  <c r="E33" i="30"/>
  <c r="G33" i="30"/>
  <c r="F34" i="30"/>
  <c r="E34" i="30"/>
  <c r="G34" i="30"/>
  <c r="F35" i="30"/>
  <c r="E35" i="30"/>
  <c r="G35" i="30"/>
  <c r="F36" i="30"/>
  <c r="E36" i="30"/>
  <c r="G36" i="30"/>
  <c r="F37" i="30"/>
  <c r="E37" i="30"/>
  <c r="G37" i="30"/>
  <c r="F38" i="30"/>
  <c r="E38" i="30"/>
  <c r="G38" i="30"/>
  <c r="F39" i="30"/>
  <c r="E39" i="30"/>
  <c r="G39" i="30"/>
  <c r="F40" i="30"/>
  <c r="E40" i="30"/>
  <c r="G40" i="30"/>
  <c r="F41" i="30"/>
  <c r="E41" i="30"/>
  <c r="G41" i="30"/>
  <c r="F42" i="30"/>
  <c r="E42" i="30"/>
  <c r="G42" i="30"/>
  <c r="F43" i="30"/>
  <c r="E43" i="30"/>
  <c r="G43" i="30"/>
  <c r="F44" i="30"/>
  <c r="E44" i="30"/>
  <c r="G44" i="30"/>
  <c r="F5" i="16"/>
  <c r="E5" i="16"/>
  <c r="G5" i="16"/>
  <c r="F6" i="16"/>
  <c r="E6" i="16"/>
  <c r="G6" i="16"/>
  <c r="F7" i="16"/>
  <c r="E7" i="16"/>
  <c r="G7" i="16"/>
  <c r="F8" i="16"/>
  <c r="E8" i="16"/>
  <c r="G8" i="16"/>
  <c r="F9" i="16"/>
  <c r="E9" i="16"/>
  <c r="G9" i="16"/>
  <c r="F10" i="16"/>
  <c r="E10" i="16"/>
  <c r="G10" i="16"/>
  <c r="F11" i="16"/>
  <c r="E11" i="16"/>
  <c r="G11" i="16"/>
  <c r="F12" i="16"/>
  <c r="E12" i="16"/>
  <c r="G12" i="16"/>
  <c r="F13" i="16"/>
  <c r="E13" i="16"/>
  <c r="G13" i="16"/>
  <c r="F14" i="16"/>
  <c r="E14" i="16"/>
  <c r="G14" i="16"/>
  <c r="F15" i="16"/>
  <c r="E15" i="16"/>
  <c r="G15" i="16"/>
  <c r="F16" i="16"/>
  <c r="E16" i="16"/>
  <c r="G16" i="16"/>
  <c r="F17" i="16"/>
  <c r="E17" i="16"/>
  <c r="G17" i="16"/>
  <c r="F18" i="16"/>
  <c r="E18" i="16"/>
  <c r="G18" i="16"/>
  <c r="F19" i="16"/>
  <c r="E19" i="16"/>
  <c r="G19" i="16"/>
  <c r="F20" i="16"/>
  <c r="E20" i="16"/>
  <c r="G20" i="16"/>
  <c r="F21" i="16"/>
  <c r="E21" i="16"/>
  <c r="G21" i="16"/>
  <c r="F22" i="16"/>
  <c r="E22" i="16"/>
  <c r="G22" i="16"/>
  <c r="F23" i="16"/>
  <c r="E23" i="16"/>
  <c r="G23" i="16"/>
  <c r="F24" i="16"/>
  <c r="E24" i="16"/>
  <c r="G24" i="16"/>
  <c r="F25" i="16"/>
  <c r="E25" i="16"/>
  <c r="G25" i="16"/>
  <c r="F26" i="16"/>
  <c r="E26" i="16"/>
  <c r="G26" i="16"/>
  <c r="F27" i="16"/>
  <c r="E27" i="16"/>
  <c r="G27" i="16"/>
  <c r="F28" i="16"/>
  <c r="E28" i="16"/>
  <c r="G28" i="16"/>
  <c r="F29" i="16"/>
  <c r="E29" i="16"/>
  <c r="G29" i="16"/>
  <c r="F30" i="16"/>
  <c r="E30" i="16"/>
  <c r="G30" i="16"/>
  <c r="F31" i="16"/>
  <c r="E31" i="16"/>
  <c r="G31" i="16"/>
  <c r="F32" i="16"/>
  <c r="E32" i="16"/>
  <c r="G32" i="16"/>
  <c r="F33" i="16"/>
  <c r="E33" i="16"/>
  <c r="G33" i="16"/>
  <c r="F34" i="16"/>
  <c r="E34" i="16"/>
  <c r="G34" i="16"/>
  <c r="F35" i="16"/>
  <c r="E35" i="16"/>
  <c r="G35" i="16"/>
  <c r="F36" i="16"/>
  <c r="E36" i="16"/>
  <c r="G36" i="16"/>
  <c r="F37" i="16"/>
  <c r="E37" i="16"/>
  <c r="G37" i="16"/>
  <c r="F38" i="16"/>
  <c r="E38" i="16"/>
  <c r="G38" i="16"/>
  <c r="F39" i="16"/>
  <c r="E39" i="16"/>
  <c r="G39" i="16"/>
  <c r="F40" i="16"/>
  <c r="E40" i="16"/>
  <c r="G40" i="16"/>
  <c r="F41" i="16"/>
  <c r="E41" i="16"/>
  <c r="G41" i="16"/>
  <c r="F42" i="16"/>
  <c r="E42" i="16"/>
  <c r="G42" i="16"/>
  <c r="F43" i="16"/>
  <c r="E43" i="16"/>
  <c r="G43" i="16"/>
  <c r="F44" i="16"/>
  <c r="E44" i="16"/>
  <c r="G44" i="16"/>
  <c r="F5" i="31"/>
  <c r="E5" i="31"/>
  <c r="G5" i="31"/>
  <c r="F6" i="31"/>
  <c r="E6" i="31"/>
  <c r="G6" i="31"/>
  <c r="F7" i="31"/>
  <c r="E7" i="31"/>
  <c r="G7" i="31"/>
  <c r="F8" i="31"/>
  <c r="E8" i="31"/>
  <c r="G8" i="31"/>
  <c r="F9" i="31"/>
  <c r="E9" i="31"/>
  <c r="G9" i="31"/>
  <c r="F10" i="31"/>
  <c r="E10" i="31"/>
  <c r="G10" i="31"/>
  <c r="F11" i="31"/>
  <c r="E11" i="31"/>
  <c r="G11" i="31"/>
  <c r="F12" i="31"/>
  <c r="E12" i="31"/>
  <c r="G12" i="31"/>
  <c r="F13" i="31"/>
  <c r="E13" i="31"/>
  <c r="G13" i="31"/>
  <c r="F14" i="31"/>
  <c r="E14" i="31"/>
  <c r="G14" i="31"/>
  <c r="F15" i="31"/>
  <c r="E15" i="31"/>
  <c r="G15" i="31"/>
  <c r="F16" i="31"/>
  <c r="E16" i="31"/>
  <c r="G16" i="31"/>
  <c r="F17" i="31"/>
  <c r="E17" i="31"/>
  <c r="G17" i="31"/>
  <c r="F18" i="31"/>
  <c r="E18" i="31"/>
  <c r="G18" i="31"/>
  <c r="F19" i="31"/>
  <c r="E19" i="31"/>
  <c r="G19" i="31"/>
  <c r="F20" i="31"/>
  <c r="E20" i="31"/>
  <c r="G20" i="31"/>
  <c r="F21" i="31"/>
  <c r="E21" i="31"/>
  <c r="G21" i="31"/>
  <c r="F22" i="31"/>
  <c r="E22" i="31"/>
  <c r="G22" i="31"/>
  <c r="F23" i="31"/>
  <c r="E23" i="31"/>
  <c r="G23" i="31"/>
  <c r="F24" i="31"/>
  <c r="E24" i="31"/>
  <c r="G24" i="31"/>
  <c r="F25" i="31"/>
  <c r="E25" i="31"/>
  <c r="G25" i="31"/>
  <c r="F26" i="31"/>
  <c r="E26" i="31"/>
  <c r="G26" i="31"/>
  <c r="F27" i="31"/>
  <c r="E27" i="31"/>
  <c r="G27" i="31"/>
  <c r="F28" i="31"/>
  <c r="E28" i="31"/>
  <c r="G28" i="31"/>
  <c r="F29" i="31"/>
  <c r="E29" i="31"/>
  <c r="G29" i="31"/>
  <c r="F30" i="31"/>
  <c r="E30" i="31"/>
  <c r="G30" i="31"/>
  <c r="F31" i="31"/>
  <c r="E31" i="31"/>
  <c r="G31" i="31"/>
  <c r="F32" i="31"/>
  <c r="E32" i="31"/>
  <c r="G32" i="31"/>
  <c r="F33" i="31"/>
  <c r="E33" i="31"/>
  <c r="G33" i="31"/>
  <c r="F34" i="31"/>
  <c r="E34" i="31"/>
  <c r="G34" i="31"/>
  <c r="F35" i="31"/>
  <c r="E35" i="31"/>
  <c r="G35" i="31"/>
  <c r="F36" i="31"/>
  <c r="E36" i="31"/>
  <c r="G36" i="31"/>
  <c r="F37" i="31"/>
  <c r="E37" i="31"/>
  <c r="G37" i="31"/>
  <c r="F38" i="31"/>
  <c r="E38" i="31"/>
  <c r="G38" i="31"/>
  <c r="F39" i="31"/>
  <c r="E39" i="31"/>
  <c r="G39" i="31"/>
  <c r="F40" i="31"/>
  <c r="E40" i="31"/>
  <c r="G40" i="31"/>
  <c r="F41" i="31"/>
  <c r="E41" i="31"/>
  <c r="G41" i="31"/>
  <c r="F42" i="31"/>
  <c r="E42" i="31"/>
  <c r="G42" i="31"/>
  <c r="F43" i="31"/>
  <c r="E43" i="31"/>
  <c r="G43" i="31"/>
  <c r="F44" i="31"/>
  <c r="E44" i="31"/>
  <c r="G44" i="31"/>
  <c r="F5" i="5"/>
  <c r="E5" i="5"/>
  <c r="G5" i="5"/>
  <c r="F6" i="5"/>
  <c r="E6" i="5"/>
  <c r="G6" i="5"/>
  <c r="F7" i="5"/>
  <c r="E7" i="5"/>
  <c r="G7" i="5"/>
  <c r="F8" i="5"/>
  <c r="E8" i="5"/>
  <c r="G8" i="5"/>
  <c r="F9" i="5"/>
  <c r="E9" i="5"/>
  <c r="G9" i="5"/>
  <c r="F10" i="5"/>
  <c r="E10" i="5"/>
  <c r="G10" i="5"/>
  <c r="F11" i="5"/>
  <c r="E11" i="5"/>
  <c r="G11" i="5"/>
  <c r="F12" i="5"/>
  <c r="E12" i="5"/>
  <c r="G12" i="5"/>
  <c r="F13" i="5"/>
  <c r="E13" i="5"/>
  <c r="G13" i="5"/>
  <c r="F14" i="5"/>
  <c r="E14" i="5"/>
  <c r="G14" i="5"/>
  <c r="F15" i="5"/>
  <c r="E15" i="5"/>
  <c r="G15" i="5"/>
  <c r="F16" i="5"/>
  <c r="E16" i="5"/>
  <c r="G16" i="5"/>
  <c r="F17" i="5"/>
  <c r="E17" i="5"/>
  <c r="G17" i="5"/>
  <c r="F18" i="5"/>
  <c r="E18" i="5"/>
  <c r="G18" i="5"/>
  <c r="F19" i="5"/>
  <c r="E19" i="5"/>
  <c r="G19" i="5"/>
  <c r="F20" i="5"/>
  <c r="E20" i="5"/>
  <c r="G20" i="5"/>
  <c r="F21" i="5"/>
  <c r="E21" i="5"/>
  <c r="G21" i="5"/>
  <c r="F22" i="5"/>
  <c r="E22" i="5"/>
  <c r="G22" i="5"/>
  <c r="F23" i="5"/>
  <c r="E23" i="5"/>
  <c r="G23" i="5"/>
  <c r="F24" i="5"/>
  <c r="E24" i="5"/>
  <c r="G24" i="5"/>
  <c r="F25" i="5"/>
  <c r="E25" i="5"/>
  <c r="G25" i="5"/>
  <c r="F26" i="5"/>
  <c r="E26" i="5"/>
  <c r="G26" i="5"/>
  <c r="F27" i="5"/>
  <c r="E27" i="5"/>
  <c r="G27" i="5"/>
  <c r="F28" i="5"/>
  <c r="E28" i="5"/>
  <c r="G28" i="5"/>
  <c r="F29" i="5"/>
  <c r="E29" i="5"/>
  <c r="G29" i="5"/>
  <c r="F30" i="5"/>
  <c r="E30" i="5"/>
  <c r="G30" i="5"/>
  <c r="F31" i="5"/>
  <c r="E31" i="5"/>
  <c r="G31" i="5"/>
  <c r="F32" i="5"/>
  <c r="E32" i="5"/>
  <c r="G32" i="5"/>
  <c r="F33" i="5"/>
  <c r="E33" i="5"/>
  <c r="G33" i="5"/>
  <c r="F34" i="5"/>
  <c r="E34" i="5"/>
  <c r="G34" i="5"/>
  <c r="F35" i="5"/>
  <c r="E35" i="5"/>
  <c r="G35" i="5"/>
  <c r="F36" i="5"/>
  <c r="E36" i="5"/>
  <c r="G36" i="5"/>
  <c r="F37" i="5"/>
  <c r="E37" i="5"/>
  <c r="G37" i="5"/>
  <c r="F38" i="5"/>
  <c r="E38" i="5"/>
  <c r="G38" i="5"/>
  <c r="F39" i="5"/>
  <c r="E39" i="5"/>
  <c r="G39" i="5"/>
  <c r="F40" i="5"/>
  <c r="E40" i="5"/>
  <c r="G40" i="5"/>
  <c r="F41" i="5"/>
  <c r="E41" i="5"/>
  <c r="G41" i="5"/>
  <c r="F42" i="5"/>
  <c r="E42" i="5"/>
  <c r="G42" i="5"/>
  <c r="F43" i="5"/>
  <c r="E43" i="5"/>
  <c r="G43" i="5"/>
  <c r="F44" i="5"/>
  <c r="E44" i="5"/>
  <c r="G44" i="5"/>
  <c r="F4" i="6"/>
  <c r="F4" i="7"/>
  <c r="F4" i="8"/>
  <c r="F4" i="9"/>
  <c r="F4" i="10"/>
  <c r="F4" i="11"/>
  <c r="F4" i="12"/>
  <c r="F4" i="13"/>
  <c r="F4" i="14"/>
  <c r="F4" i="15"/>
  <c r="F4" i="19"/>
  <c r="F4" i="20"/>
  <c r="F4" i="21"/>
  <c r="F4" i="22"/>
  <c r="F4" i="23"/>
  <c r="F4" i="24"/>
  <c r="F4" i="25"/>
  <c r="F4" i="17"/>
  <c r="F4" i="26"/>
  <c r="F4" i="27"/>
  <c r="F4" i="28"/>
  <c r="F4" i="18"/>
  <c r="F4" i="29"/>
  <c r="F4" i="30"/>
  <c r="F4" i="16"/>
  <c r="F4" i="31"/>
  <c r="F4" i="5"/>
  <c r="E4" i="31"/>
  <c r="G4" i="31"/>
  <c r="E4" i="30"/>
  <c r="G4" i="30"/>
  <c r="E4" i="29"/>
  <c r="G4" i="29"/>
  <c r="E4" i="28"/>
  <c r="G4" i="28"/>
  <c r="E4" i="27"/>
  <c r="G4" i="27"/>
  <c r="E4" i="26"/>
  <c r="G4" i="26"/>
  <c r="E4" i="25"/>
  <c r="G4" i="25"/>
  <c r="E4" i="24"/>
  <c r="G4" i="24"/>
  <c r="E4" i="23"/>
  <c r="G4" i="23"/>
  <c r="E4" i="22"/>
  <c r="G4" i="22"/>
  <c r="E4" i="21"/>
  <c r="G4" i="21"/>
  <c r="E4" i="20"/>
  <c r="G4" i="20"/>
  <c r="E4" i="19"/>
  <c r="G4" i="19"/>
  <c r="E4" i="18"/>
  <c r="G4" i="18"/>
  <c r="E4" i="17"/>
  <c r="G4" i="17"/>
  <c r="E4" i="16"/>
  <c r="G4" i="16"/>
  <c r="E4" i="15"/>
  <c r="G4" i="15"/>
  <c r="E4" i="14"/>
  <c r="G4" i="14"/>
  <c r="E4" i="13"/>
  <c r="G4" i="13"/>
  <c r="E4" i="12"/>
  <c r="G4" i="12"/>
  <c r="E4" i="11"/>
  <c r="G4" i="11"/>
  <c r="E4" i="10"/>
  <c r="G4" i="10"/>
  <c r="E4" i="9"/>
  <c r="G4" i="9"/>
  <c r="E4" i="8"/>
  <c r="G4" i="8"/>
  <c r="E4" i="7"/>
  <c r="G4" i="7"/>
  <c r="E4" i="6"/>
  <c r="G4" i="6"/>
  <c r="E4" i="5"/>
  <c r="G4" i="5"/>
  <c r="F80" i="2"/>
  <c r="K56" i="3"/>
  <c r="L56" i="3"/>
  <c r="E80" i="2"/>
  <c r="G80" i="2"/>
  <c r="K55" i="3"/>
  <c r="L55" i="3"/>
  <c r="F79" i="2"/>
  <c r="E79" i="2"/>
  <c r="G79" i="2"/>
  <c r="K54" i="3"/>
  <c r="L54" i="3"/>
  <c r="F78" i="2"/>
  <c r="E78" i="2"/>
  <c r="G78" i="2"/>
  <c r="K53" i="3"/>
  <c r="L53" i="3"/>
  <c r="E77" i="2"/>
  <c r="F77" i="2"/>
  <c r="G77" i="2"/>
  <c r="K52" i="3"/>
  <c r="L52" i="3"/>
  <c r="B76" i="2"/>
  <c r="E76" i="2"/>
  <c r="F76" i="2"/>
  <c r="G76" i="2"/>
  <c r="K50" i="3"/>
  <c r="L50" i="3"/>
  <c r="K51" i="3"/>
  <c r="L51" i="3"/>
  <c r="E74" i="2"/>
  <c r="F74" i="2"/>
  <c r="E75" i="2"/>
  <c r="F75" i="2"/>
  <c r="G75" i="2"/>
  <c r="K49" i="3"/>
  <c r="L49" i="3"/>
  <c r="F73" i="2"/>
  <c r="E73" i="2"/>
  <c r="G73" i="2"/>
  <c r="K48" i="3"/>
  <c r="L48" i="3"/>
  <c r="F72" i="2"/>
  <c r="E72" i="2"/>
  <c r="K47" i="3"/>
  <c r="L47" i="3"/>
  <c r="F71" i="2"/>
  <c r="E71" i="2"/>
  <c r="G71" i="2"/>
  <c r="E70" i="2"/>
  <c r="F70" i="2"/>
  <c r="G70" i="2"/>
  <c r="K46" i="3"/>
  <c r="L46" i="3"/>
  <c r="K45" i="3"/>
  <c r="L45" i="3"/>
  <c r="F69" i="2"/>
  <c r="E69" i="2"/>
  <c r="G69" i="2"/>
  <c r="K44" i="3"/>
  <c r="L44" i="3"/>
  <c r="F68" i="2"/>
  <c r="E68" i="2"/>
  <c r="G68" i="2"/>
  <c r="K43" i="3"/>
  <c r="L43" i="3"/>
  <c r="E67" i="2"/>
  <c r="F67" i="2"/>
  <c r="G67" i="2"/>
  <c r="K42" i="3"/>
  <c r="L42" i="3"/>
  <c r="F66" i="2"/>
  <c r="E66" i="2"/>
  <c r="G66" i="2"/>
  <c r="K41" i="3"/>
  <c r="L41" i="3"/>
  <c r="F65" i="2"/>
  <c r="E65" i="2"/>
  <c r="G65" i="2"/>
  <c r="L40" i="3"/>
  <c r="K40" i="3"/>
  <c r="F64" i="2"/>
  <c r="E64" i="2"/>
  <c r="K39" i="3"/>
  <c r="L39" i="3"/>
  <c r="F63" i="2"/>
  <c r="E63" i="2"/>
  <c r="G63" i="2"/>
  <c r="L38" i="3"/>
  <c r="K38" i="3"/>
  <c r="F62" i="2"/>
  <c r="E62" i="2"/>
  <c r="K36" i="3"/>
  <c r="K37" i="3"/>
  <c r="L37" i="3"/>
  <c r="F61" i="2"/>
  <c r="E61" i="2"/>
  <c r="G61" i="2"/>
  <c r="L36" i="3"/>
  <c r="F60" i="2"/>
  <c r="E60" i="2"/>
  <c r="G60" i="2"/>
  <c r="K35" i="3"/>
  <c r="L35" i="3"/>
  <c r="F59" i="2"/>
  <c r="E59" i="2"/>
  <c r="G59" i="2"/>
  <c r="K34" i="3"/>
  <c r="L34" i="3"/>
  <c r="F58" i="2"/>
  <c r="E58" i="2"/>
  <c r="G58" i="2"/>
  <c r="K33" i="3"/>
  <c r="L33" i="3"/>
  <c r="F57" i="2"/>
  <c r="E57" i="2"/>
  <c r="G57" i="2"/>
  <c r="K32" i="3"/>
  <c r="L32" i="3"/>
  <c r="F53" i="2"/>
  <c r="E53" i="2"/>
  <c r="G53" i="2"/>
  <c r="F54" i="2"/>
  <c r="E54" i="2"/>
  <c r="G54" i="2"/>
  <c r="F55" i="2"/>
  <c r="E55" i="2"/>
  <c r="G55" i="2"/>
  <c r="F56" i="2"/>
  <c r="E56" i="2"/>
  <c r="G56" i="2"/>
  <c r="K31" i="3"/>
  <c r="L31" i="3"/>
  <c r="L30" i="3"/>
  <c r="K30" i="3"/>
  <c r="L29" i="3"/>
  <c r="K29" i="3"/>
  <c r="F52" i="2"/>
  <c r="L28" i="3"/>
  <c r="K28" i="3"/>
  <c r="E52" i="2"/>
  <c r="L27" i="3"/>
  <c r="K27" i="3"/>
  <c r="F51" i="2"/>
  <c r="E51" i="2"/>
  <c r="G51" i="2"/>
  <c r="K25" i="3"/>
  <c r="L25" i="3"/>
  <c r="K26" i="3"/>
  <c r="L26" i="3"/>
  <c r="E49" i="2"/>
  <c r="F49" i="2"/>
  <c r="G49" i="2"/>
  <c r="E50" i="2"/>
  <c r="F50" i="2"/>
  <c r="G50" i="2"/>
  <c r="L24" i="3"/>
  <c r="K24" i="3"/>
  <c r="E48" i="2"/>
  <c r="F48" i="2"/>
  <c r="F47" i="2"/>
  <c r="E47" i="2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K23" i="3"/>
  <c r="K22" i="3"/>
  <c r="E46" i="2"/>
  <c r="F46" i="2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F45" i="2"/>
  <c r="E45" i="2"/>
  <c r="E44" i="2"/>
  <c r="F44" i="2"/>
  <c r="E43" i="2"/>
  <c r="F43" i="2"/>
  <c r="F42" i="2"/>
  <c r="E42" i="2"/>
  <c r="F41" i="2"/>
  <c r="E41" i="2"/>
  <c r="F40" i="2"/>
  <c r="E40" i="2"/>
  <c r="G40" i="2"/>
  <c r="F39" i="2"/>
  <c r="E39" i="2"/>
  <c r="F38" i="2"/>
  <c r="E38" i="2"/>
  <c r="F37" i="2"/>
  <c r="E37" i="2"/>
  <c r="E36" i="2"/>
  <c r="F36" i="2"/>
  <c r="E35" i="2"/>
  <c r="F35" i="2"/>
  <c r="G35" i="2"/>
  <c r="F6" i="2"/>
  <c r="E6" i="2"/>
  <c r="G6" i="2"/>
  <c r="F34" i="2"/>
  <c r="E34" i="2"/>
  <c r="F33" i="2"/>
  <c r="E33" i="2"/>
  <c r="G33" i="2"/>
  <c r="F32" i="2"/>
  <c r="E32" i="2"/>
  <c r="G32" i="2"/>
  <c r="F31" i="2"/>
  <c r="E31" i="2"/>
  <c r="F30" i="2"/>
  <c r="E30" i="2"/>
  <c r="F29" i="2"/>
  <c r="E29" i="2"/>
  <c r="F28" i="2"/>
  <c r="E28" i="2"/>
  <c r="F27" i="2"/>
  <c r="E27" i="2"/>
  <c r="G27" i="2"/>
  <c r="F26" i="2"/>
  <c r="E26" i="2"/>
  <c r="G26" i="2"/>
  <c r="F25" i="2"/>
  <c r="E25" i="2"/>
  <c r="G25" i="2"/>
  <c r="F24" i="2"/>
  <c r="E24" i="2"/>
  <c r="F23" i="2"/>
  <c r="E23" i="2"/>
  <c r="G23" i="2"/>
  <c r="F22" i="2"/>
  <c r="E22" i="2"/>
  <c r="F21" i="2"/>
  <c r="E21" i="2"/>
  <c r="G21" i="2"/>
  <c r="F20" i="2"/>
  <c r="E20" i="2"/>
  <c r="F19" i="2"/>
  <c r="E19" i="2"/>
  <c r="G19" i="2"/>
  <c r="F18" i="2"/>
  <c r="E18" i="2"/>
  <c r="F17" i="2"/>
  <c r="E17" i="2"/>
  <c r="G17" i="2"/>
  <c r="F16" i="2"/>
  <c r="E16" i="2"/>
  <c r="G16" i="2"/>
  <c r="F15" i="2"/>
  <c r="E15" i="2"/>
  <c r="F14" i="2"/>
  <c r="E14" i="2"/>
  <c r="G14" i="2"/>
  <c r="F13" i="2"/>
  <c r="E13" i="2"/>
  <c r="G13" i="2"/>
  <c r="F12" i="2"/>
  <c r="E12" i="2"/>
  <c r="F11" i="2"/>
  <c r="E11" i="2"/>
  <c r="F10" i="2"/>
  <c r="E10" i="2"/>
  <c r="G10" i="2"/>
  <c r="F9" i="2"/>
  <c r="E9" i="2"/>
  <c r="G9" i="2"/>
  <c r="F8" i="2"/>
  <c r="E8" i="2"/>
  <c r="G8" i="2"/>
  <c r="F7" i="2"/>
  <c r="E7" i="2"/>
  <c r="G7" i="2"/>
  <c r="G18" i="2"/>
  <c r="G12" i="2"/>
  <c r="G20" i="2"/>
  <c r="G22" i="2"/>
  <c r="G24" i="2"/>
  <c r="G11" i="2"/>
  <c r="G15" i="2"/>
  <c r="G37" i="2"/>
  <c r="G43" i="2"/>
  <c r="G46" i="2"/>
  <c r="G29" i="2"/>
  <c r="G31" i="2"/>
  <c r="G47" i="2"/>
  <c r="G38" i="2"/>
  <c r="G48" i="2"/>
  <c r="G45" i="2"/>
  <c r="G42" i="2"/>
  <c r="G44" i="2"/>
  <c r="G28" i="2"/>
  <c r="G30" i="2"/>
  <c r="G34" i="2"/>
  <c r="G36" i="2"/>
  <c r="G39" i="2"/>
  <c r="G41" i="2"/>
  <c r="G52" i="2"/>
  <c r="G62" i="2"/>
  <c r="G64" i="2"/>
  <c r="G72" i="2"/>
  <c r="G74" i="2"/>
</calcChain>
</file>

<file path=xl/sharedStrings.xml><?xml version="1.0" encoding="utf-8"?>
<sst xmlns="http://schemas.openxmlformats.org/spreadsheetml/2006/main" count="615" uniqueCount="59">
  <si>
    <t>Mês</t>
  </si>
  <si>
    <t>n.d.</t>
  </si>
  <si>
    <t>Indicador Serasa Experian de Inadimplência do Consumidor</t>
  </si>
  <si>
    <t>Consumidores Inadimplentes (milhões)</t>
  </si>
  <si>
    <t>Dívidas Negativadas (milhões)</t>
  </si>
  <si>
    <t>Dívidas Negativadas          (R$ bilhões)</t>
  </si>
  <si>
    <t>Dívida Média                 (por CPF)</t>
  </si>
  <si>
    <t>Ticket Médio                 (R$)</t>
  </si>
  <si>
    <t>Dívida Média                 (R$)</t>
  </si>
  <si>
    <t>Indicador Serasa Experian de Inadimplência do Consumidor - Participação dos Setores na Inadimplência Total (%)</t>
  </si>
  <si>
    <t>Bancos / Cartões (A)</t>
  </si>
  <si>
    <t>Utilities (B)</t>
  </si>
  <si>
    <t>Telefonia (C)</t>
  </si>
  <si>
    <t>Varejo (D)</t>
  </si>
  <si>
    <t>Serviços (E)</t>
  </si>
  <si>
    <t>Financeiras (F)</t>
  </si>
  <si>
    <t>Total Financeiro (A) + (F)</t>
  </si>
  <si>
    <t>Securitizadoras (G)</t>
  </si>
  <si>
    <t>Consumidores Inadimplentes</t>
  </si>
  <si>
    <t xml:space="preserve">Dívidas Negativadas </t>
  </si>
  <si>
    <t>Indicador Serasa Experian de Inadimplência do Consumidor - Acre</t>
  </si>
  <si>
    <t>Indicador Serasa Experian de Inadimplência do Consumidor - Alagoas</t>
  </si>
  <si>
    <t>Indicador Serasa Experian de Inadimplência do Consumidor - Amazonas</t>
  </si>
  <si>
    <t>Indicador Serasa Experian de Inadimplência do Consumidor -  Amapá</t>
  </si>
  <si>
    <t>Indicador Serasa Experian de Inadimplência do Consumidor - Bahia</t>
  </si>
  <si>
    <t>Indicador Serasa Experian de Inadimplência do Consumidor - Ceará</t>
  </si>
  <si>
    <t xml:space="preserve">Indicador Serasa Experian de Inadimplência do Consumidor - Distrito Federal </t>
  </si>
  <si>
    <t>Indicador Serasa Experian de Inadimplência do Consumidor - Espírito Santos</t>
  </si>
  <si>
    <t>Indicador Serasa Experian de Inadimplência do Consumidor - Goiás</t>
  </si>
  <si>
    <t>Indicador Serasa Experian de Inadimplência do Consumidor - Maranhão</t>
  </si>
  <si>
    <t>Indicador Serasa Experian de Inadimplência do Consumidor - Minas Gerais</t>
  </si>
  <si>
    <t>Indicador Serasa Experian de Inadimplência do Consumidor - Mato Grosso do Sul</t>
  </si>
  <si>
    <t>Indicador Serasa Experian de Inadimplência do Consumidor - Mato Grosso</t>
  </si>
  <si>
    <t>Indicador Serasa Experian de Inadimplência do Consumidor - Pará</t>
  </si>
  <si>
    <t>Indicador Serasa Experian de Inadimplência do Consumidor - Paraíba</t>
  </si>
  <si>
    <t>Indicador Serasa Experian de Inadimplência do Consumidor - Pernambuco</t>
  </si>
  <si>
    <t>Indicador Serasa Experian de Inadimplência do Consumidor - Piauí</t>
  </si>
  <si>
    <t>Indicador Serasa Experian de Inadimplência do Consumidor - Paraná</t>
  </si>
  <si>
    <t>Indicador Serasa Experian de Inadimplência do Consumidor - Rio de Janeiro</t>
  </si>
  <si>
    <t>Indicador Serasa Experian de Inadimplência do Consumidor - Rio Grande do Norte</t>
  </si>
  <si>
    <t>Indicador Serasa Experian de Inadimplência do Consumidor - Rondônia</t>
  </si>
  <si>
    <t>Indicador Serasa Experian de Inadimplência do Consumidor - Roraima</t>
  </si>
  <si>
    <t>Indicador Serasa Experian de Inadimplência do Consumidor - Rio Grande do Sul</t>
  </si>
  <si>
    <t>Indicador Serasa Experian de Inadimplência do Consumidor - Santa Catarina</t>
  </si>
  <si>
    <t>Indicador Serasa Experian de Inadimplência do Consumidor - Sergipe</t>
  </si>
  <si>
    <t>Indicador Serasa Experian de Inadimplência do Consumidor - São Paulo</t>
  </si>
  <si>
    <t>Indicador Serasa Experian de Inadimplência do Consumidor - Tocantins</t>
  </si>
  <si>
    <t>Dívidas Negativadas (R$)</t>
  </si>
  <si>
    <t>Até 25 anos</t>
  </si>
  <si>
    <t>26 - 40 anos</t>
  </si>
  <si>
    <t>acima de 60 anos</t>
  </si>
  <si>
    <t>41 - 60 anos</t>
  </si>
  <si>
    <t>Gênero (milhões)                                               F                    M</t>
  </si>
  <si>
    <t>Por Faixa Etária (milhões)</t>
  </si>
  <si>
    <t>% da População Adulta</t>
  </si>
  <si>
    <t>Cooperativas (H)</t>
  </si>
  <si>
    <t>Outros (I)</t>
  </si>
  <si>
    <t>Total não Financeiro          (B) + (C) + (D) + (E) + (G) + (H) + (I)</t>
  </si>
  <si>
    <t>% da População Inadimplente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</si>
</sst>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R$&quot;#,##0.00;[Red]\-&quot;R$&quot;#,##0.00"/>
    <numFmt numFmtId="165" formatCode="_(* #,##0.00_);_(* \(#,##0.00\);_(* &quot;-&quot;??_);_(@_)"/>
    <numFmt numFmtId="166" formatCode="[$-416]mmm\-yy;@"/>
    <numFmt numFmtId="167" formatCode="0.0"/>
    <numFmt numFmtId="168" formatCode="0.0%"/>
    <numFmt numFmtId="169" formatCode="_(* #,##0_);_(* \(#,##0\);_(* &quot;-&quot;??_);_(@_)"/>
    <numFmt numFmtId="170" formatCode="_-* #,##0.0_-;\-* #,##0.0_-;_-* &quot;-&quot;?_-;_-@_-"/>
    <numFmt numFmtId="171" formatCode="0.00000000"/>
    <numFmt numFmtId="172" formatCode="0.000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26478D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8288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3" fillId="2" borderId="0" xfId="0" applyFont="1" applyFill="1"/>
    <xf numFmtId="166" fontId="3" fillId="2" borderId="1" xfId="0" applyNumberFormat="1" applyFont="1" applyFill="1" applyBorder="1" applyAlignment="1">
      <alignment horizontal="center"/>
    </xf>
    <xf numFmtId="167" fontId="3" fillId="2" borderId="2" xfId="1" applyNumberFormat="1" applyFont="1" applyFill="1" applyBorder="1" applyAlignment="1">
      <alignment horizontal="center"/>
    </xf>
    <xf numFmtId="166" fontId="3" fillId="2" borderId="3" xfId="0" applyNumberFormat="1" applyFont="1" applyFill="1" applyBorder="1" applyAlignment="1">
      <alignment horizontal="center"/>
    </xf>
    <xf numFmtId="167" fontId="3" fillId="2" borderId="4" xfId="1" applyNumberFormat="1" applyFont="1" applyFill="1" applyBorder="1" applyAlignment="1">
      <alignment horizontal="center"/>
    </xf>
    <xf numFmtId="2" fontId="3" fillId="2" borderId="4" xfId="1" applyNumberFormat="1" applyFont="1" applyFill="1" applyBorder="1" applyAlignment="1">
      <alignment horizontal="center"/>
    </xf>
    <xf numFmtId="170" fontId="3" fillId="2" borderId="0" xfId="0" applyNumberFormat="1" applyFont="1" applyFill="1"/>
    <xf numFmtId="167" fontId="3" fillId="2" borderId="4" xfId="1" applyNumberFormat="1" applyFont="1" applyFill="1" applyBorder="1" applyAlignment="1">
      <alignment horizontal="center" vertical="center"/>
    </xf>
    <xf numFmtId="2" fontId="3" fillId="2" borderId="4" xfId="1" applyNumberFormat="1" applyFont="1" applyFill="1" applyBorder="1" applyAlignment="1">
      <alignment horizontal="center" vertical="center"/>
    </xf>
    <xf numFmtId="2" fontId="3" fillId="2" borderId="2" xfId="1" applyNumberFormat="1" applyFont="1" applyFill="1" applyBorder="1" applyAlignment="1">
      <alignment horizontal="center"/>
    </xf>
    <xf numFmtId="166" fontId="3" fillId="2" borderId="5" xfId="0" applyNumberFormat="1" applyFont="1" applyFill="1" applyBorder="1" applyAlignment="1">
      <alignment horizontal="center"/>
    </xf>
    <xf numFmtId="167" fontId="3" fillId="2" borderId="6" xfId="1" applyNumberFormat="1" applyFont="1" applyFill="1" applyBorder="1" applyAlignment="1">
      <alignment horizontal="center"/>
    </xf>
    <xf numFmtId="2" fontId="3" fillId="2" borderId="6" xfId="1" applyNumberFormat="1" applyFont="1" applyFill="1" applyBorder="1" applyAlignment="1">
      <alignment horizontal="center"/>
    </xf>
    <xf numFmtId="167" fontId="3" fillId="2" borderId="0" xfId="0" applyNumberFormat="1" applyFont="1" applyFill="1"/>
    <xf numFmtId="169" fontId="3" fillId="2" borderId="0" xfId="2" applyNumberFormat="1" applyFont="1" applyFill="1"/>
    <xf numFmtId="169" fontId="3" fillId="2" borderId="0" xfId="0" applyNumberFormat="1" applyFont="1" applyFill="1"/>
    <xf numFmtId="16" fontId="3" fillId="2" borderId="0" xfId="0" applyNumberFormat="1" applyFont="1" applyFill="1"/>
    <xf numFmtId="3" fontId="3" fillId="2" borderId="0" xfId="0" applyNumberFormat="1" applyFont="1" applyFill="1"/>
    <xf numFmtId="17" fontId="3" fillId="2" borderId="0" xfId="0" applyNumberFormat="1" applyFont="1" applyFill="1"/>
    <xf numFmtId="167" fontId="3" fillId="2" borderId="4" xfId="1" quotePrefix="1" applyNumberFormat="1" applyFont="1" applyFill="1" applyBorder="1" applyAlignment="1">
      <alignment horizontal="center"/>
    </xf>
    <xf numFmtId="164" fontId="3" fillId="2" borderId="0" xfId="0" applyNumberFormat="1" applyFont="1" applyFill="1"/>
    <xf numFmtId="4" fontId="3" fillId="2" borderId="0" xfId="0" applyNumberFormat="1" applyFont="1" applyFill="1"/>
    <xf numFmtId="0" fontId="4" fillId="3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68" fontId="3" fillId="2" borderId="2" xfId="1" applyNumberFormat="1" applyFont="1" applyFill="1" applyBorder="1" applyAlignment="1">
      <alignment horizontal="center"/>
    </xf>
    <xf numFmtId="168" fontId="3" fillId="2" borderId="4" xfId="1" applyNumberFormat="1" applyFont="1" applyFill="1" applyBorder="1" applyAlignment="1">
      <alignment horizontal="center"/>
    </xf>
    <xf numFmtId="168" fontId="3" fillId="2" borderId="6" xfId="1" applyNumberFormat="1" applyFont="1" applyFill="1" applyBorder="1" applyAlignment="1">
      <alignment horizontal="center"/>
    </xf>
    <xf numFmtId="169" fontId="3" fillId="2" borderId="2" xfId="2" applyNumberFormat="1" applyFont="1" applyFill="1" applyBorder="1" applyAlignment="1">
      <alignment horizontal="center"/>
    </xf>
    <xf numFmtId="169" fontId="3" fillId="2" borderId="4" xfId="2" applyNumberFormat="1" applyFont="1" applyFill="1" applyBorder="1" applyAlignment="1">
      <alignment horizontal="center"/>
    </xf>
    <xf numFmtId="169" fontId="3" fillId="2" borderId="6" xfId="2" applyNumberFormat="1" applyFont="1" applyFill="1" applyBorder="1" applyAlignment="1">
      <alignment horizontal="center"/>
    </xf>
    <xf numFmtId="169" fontId="3" fillId="2" borderId="4" xfId="2" quotePrefix="1" applyNumberFormat="1" applyFont="1" applyFill="1" applyBorder="1" applyAlignment="1">
      <alignment horizontal="center"/>
    </xf>
    <xf numFmtId="2" fontId="3" fillId="2" borderId="1" xfId="1" applyNumberFormat="1" applyFont="1" applyFill="1" applyBorder="1" applyAlignment="1">
      <alignment horizontal="center"/>
    </xf>
    <xf numFmtId="2" fontId="3" fillId="2" borderId="3" xfId="1" applyNumberFormat="1" applyFont="1" applyFill="1" applyBorder="1" applyAlignment="1">
      <alignment horizontal="center"/>
    </xf>
    <xf numFmtId="2" fontId="3" fillId="2" borderId="5" xfId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69" fontId="0" fillId="2" borderId="0" xfId="0" applyNumberFormat="1" applyFill="1"/>
    <xf numFmtId="168" fontId="0" fillId="2" borderId="0" xfId="1" applyNumberFormat="1" applyFont="1" applyFill="1"/>
    <xf numFmtId="0" fontId="4" fillId="3" borderId="6" xfId="0" applyFont="1" applyFill="1" applyBorder="1" applyAlignment="1">
      <alignment horizontal="center" vertical="center" wrapText="1"/>
    </xf>
    <xf numFmtId="167" fontId="3" fillId="2" borderId="2" xfId="2" applyNumberFormat="1" applyFont="1" applyFill="1" applyBorder="1" applyAlignment="1">
      <alignment horizontal="center" vertical="center"/>
    </xf>
    <xf numFmtId="167" fontId="3" fillId="2" borderId="4" xfId="2" applyNumberFormat="1" applyFont="1" applyFill="1" applyBorder="1" applyAlignment="1">
      <alignment horizontal="center" vertical="center"/>
    </xf>
    <xf numFmtId="167" fontId="3" fillId="2" borderId="6" xfId="2" applyNumberFormat="1" applyFont="1" applyFill="1" applyBorder="1" applyAlignment="1">
      <alignment horizontal="center" vertical="center"/>
    </xf>
    <xf numFmtId="165" fontId="3" fillId="2" borderId="4" xfId="2" applyFont="1" applyFill="1" applyBorder="1" applyAlignment="1">
      <alignment horizontal="center"/>
    </xf>
    <xf numFmtId="165" fontId="3" fillId="2" borderId="4" xfId="2" applyFont="1" applyFill="1" applyBorder="1" applyAlignment="1">
      <alignment horizontal="center" vertical="center"/>
    </xf>
    <xf numFmtId="165" fontId="3" fillId="2" borderId="2" xfId="2" applyFont="1" applyFill="1" applyBorder="1" applyAlignment="1">
      <alignment horizontal="center"/>
    </xf>
    <xf numFmtId="165" fontId="3" fillId="2" borderId="6" xfId="2" applyFont="1" applyFill="1" applyBorder="1" applyAlignment="1">
      <alignment horizontal="center"/>
    </xf>
    <xf numFmtId="169" fontId="0" fillId="2" borderId="0" xfId="2" applyNumberFormat="1" applyFont="1" applyFill="1"/>
    <xf numFmtId="171" fontId="3" fillId="2" borderId="4" xfId="1" applyNumberFormat="1" applyFont="1" applyFill="1" applyBorder="1" applyAlignment="1">
      <alignment horizontal="center"/>
    </xf>
    <xf numFmtId="172" fontId="3" fillId="2" borderId="4" xfId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168" fontId="3" fillId="2" borderId="1" xfId="1" applyNumberFormat="1" applyFont="1" applyFill="1" applyBorder="1" applyAlignment="1">
      <alignment horizontal="center"/>
    </xf>
    <xf numFmtId="168" fontId="3" fillId="2" borderId="3" xfId="1" applyNumberFormat="1" applyFont="1" applyFill="1" applyBorder="1" applyAlignment="1">
      <alignment horizontal="center"/>
    </xf>
    <xf numFmtId="168" fontId="3" fillId="2" borderId="5" xfId="1" applyNumberFormat="1" applyFont="1" applyFill="1" applyBorder="1" applyAlignment="1">
      <alignment horizontal="center"/>
    </xf>
    <xf numFmtId="10" fontId="3" fillId="2" borderId="2" xfId="0" applyNumberFormat="1" applyFont="1" applyFill="1" applyBorder="1"/>
    <xf numFmtId="10" fontId="3" fillId="2" borderId="4" xfId="0" applyNumberFormat="1" applyFont="1" applyFill="1" applyBorder="1"/>
    <xf numFmtId="0" fontId="0" fillId="2" borderId="4" xfId="0" applyFill="1" applyBorder="1"/>
    <xf numFmtId="0" fontId="3" fillId="2" borderId="6" xfId="0" applyFont="1" applyFill="1" applyBorder="1"/>
    <xf numFmtId="10" fontId="3" fillId="2" borderId="6" xfId="0" applyNumberFormat="1" applyFont="1" applyFill="1" applyBorder="1"/>
    <xf numFmtId="10" fontId="0" fillId="2" borderId="4" xfId="0" applyNumberFormat="1" applyFill="1" applyBorder="1"/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9" defaultPivotStyle="PivotStyleLight16"/>
  <colors>
    <mruColors>
      <color rgb="FF660033"/>
      <color rgb="FF990099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1025" name="Imagem 2">
          <a:extLst>
            <a:ext uri="{FF2B5EF4-FFF2-40B4-BE49-F238E27FC236}">
              <a16:creationId xmlns:a16="http://schemas.microsoft.com/office/drawing/2014/main" id="{BA3F5068-6530-42CA-A95F-D90275BF9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049" name="Imagem 1">
          <a:extLst>
            <a:ext uri="{FF2B5EF4-FFF2-40B4-BE49-F238E27FC236}">
              <a16:creationId xmlns:a16="http://schemas.microsoft.com/office/drawing/2014/main" id="{35A2F681-748F-4D62-89C9-3470223F4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CAB7778D-1773-46BF-A541-945DD767E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E9AA7E8B-59BE-41C6-8A30-9E35A058D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6E84DF27-3C86-4129-9405-D60897F11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1D30F83F-6632-43ED-8DE4-187FAF35B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4826443A-0423-4B33-AEF4-5C0B479AA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71FCEE21-5E62-4FC3-B03E-8B52D988F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1616E08F-67EF-4B44-830C-FA212C925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5AA9EB53-4A01-4900-B104-51E66E38E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6247F451-BCEA-4915-984B-51BF15713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93F3349C-EE24-43A7-AAFB-5BE453C9C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C297DF7-7B61-4849-BD65-C3361064B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55ACD6C9-5A3A-44FB-9F43-89810114A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14DEE119-79FE-430B-9604-FFC3421DC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4E6E709-0CC7-4B7C-9729-9B9171638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D650EE3B-D85B-4963-92F2-28CEB10DC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99EAC2CE-CCC0-4980-8E8D-714F58D23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12B11F31-CCC8-4649-87ED-BEAA6B9A5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5D847F0C-4FB2-4035-988E-7FEF32218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5DDE7CB-9E95-4D1F-A8A3-50A4523D6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ADBA4BFA-CBCB-4C4E-98E3-74268922A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5C429B5-E4A4-49B2-B34B-058528219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98DD9550-4E9A-4A0E-9D3B-A64B9926D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D399AF2F-3BD6-4E1A-BE7B-101D09897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882EF920-47A8-4965-A951-B53F37F46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879ACDAD-C355-47BC-9F06-4E6584EEA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53C1019-8E59-4685-A6A3-0FA9127B2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514350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662E1121-C643-43B3-967B-0D5868AFA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V140"/>
  <sheetViews>
    <sheetView tabSelected="1" zoomScale="90" zoomScaleNormal="90" workbookViewId="0">
      <pane xSplit="1" ySplit="3" topLeftCell="B28" activePane="bottomRight" state="frozen"/>
      <selection pane="topRight" activeCell="B1" sqref="B1"/>
      <selection pane="bottomLeft" activeCell="A5" sqref="A5"/>
      <selection pane="bottomRight" activeCell="B40" sqref="B40"/>
    </sheetView>
  </sheetViews>
  <sheetFormatPr defaultColWidth="9.1796875" defaultRowHeight="14.5" x14ac:dyDescent="0.35"/>
  <cols>
    <col min="1" max="7" width="16.26953125" style="1" customWidth="1"/>
    <col min="8" max="14" width="12.6328125" style="1" customWidth="1"/>
    <col min="15" max="15" width="11.1796875" style="1" bestFit="1" customWidth="1"/>
    <col min="16" max="17" width="9.1796875" style="1"/>
    <col min="18" max="19" width="11.54296875" style="1" bestFit="1" customWidth="1"/>
    <col min="20" max="20" width="10.54296875" style="1" bestFit="1" customWidth="1"/>
    <col min="21" max="16384" width="9.1796875" style="1"/>
  </cols>
  <sheetData>
    <row r="1" spans="1:22" ht="45.5" customHeight="1" thickBot="1" x14ac:dyDescent="0.4"/>
    <row r="2" spans="1:22" ht="14.5" customHeight="1" thickBot="1" x14ac:dyDescent="0.4">
      <c r="A2" s="50" t="s">
        <v>2</v>
      </c>
      <c r="B2" s="50"/>
      <c r="C2" s="50"/>
      <c r="D2" s="50"/>
      <c r="E2" s="50"/>
      <c r="F2" s="50"/>
      <c r="G2" s="50"/>
      <c r="H2" s="36"/>
      <c r="I2" s="36"/>
      <c r="J2" s="36"/>
      <c r="K2" s="51" t="s">
        <v>53</v>
      </c>
      <c r="L2" s="53"/>
      <c r="M2" s="53"/>
      <c r="N2" s="52"/>
    </row>
    <row r="3" spans="1:22" ht="51" customHeight="1" thickBot="1" x14ac:dyDescent="0.4">
      <c r="A3" s="24" t="s">
        <v>0</v>
      </c>
      <c r="B3" s="25" t="s">
        <v>3</v>
      </c>
      <c r="C3" s="25" t="s">
        <v>4</v>
      </c>
      <c r="D3" s="25" t="s">
        <v>5</v>
      </c>
      <c r="E3" s="25" t="s">
        <v>6</v>
      </c>
      <c r="F3" s="25" t="s">
        <v>8</v>
      </c>
      <c r="G3" s="25" t="s">
        <v>7</v>
      </c>
      <c r="H3" s="25" t="s">
        <v>54</v>
      </c>
      <c r="I3" s="51" t="s">
        <v>52</v>
      </c>
      <c r="J3" s="52"/>
      <c r="K3" s="39" t="s">
        <v>48</v>
      </c>
      <c r="L3" s="39" t="s">
        <v>49</v>
      </c>
      <c r="M3" s="39" t="s">
        <v>51</v>
      </c>
      <c r="N3" s="39" t="s">
        <v>50</v>
      </c>
      <c r="O3" s="2"/>
      <c r="P3" s="2"/>
      <c r="Q3" s="2"/>
      <c r="R3" s="2"/>
      <c r="S3" s="2"/>
      <c r="T3" s="2"/>
      <c r="U3" s="2"/>
      <c r="V3" s="2"/>
    </row>
    <row r="4" spans="1:22" x14ac:dyDescent="0.35">
      <c r="A4" s="3">
        <v>42370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  <c r="I4" s="4" t="s">
        <v>1</v>
      </c>
      <c r="J4" s="4" t="s">
        <v>1</v>
      </c>
      <c r="K4" s="4" t="s">
        <v>1</v>
      </c>
      <c r="L4" s="4" t="s">
        <v>1</v>
      </c>
      <c r="M4" s="4" t="s">
        <v>1</v>
      </c>
      <c r="N4" s="4" t="s">
        <v>1</v>
      </c>
      <c r="O4" s="2"/>
      <c r="P4" s="2"/>
      <c r="Q4" s="2"/>
      <c r="R4" s="2"/>
      <c r="S4" s="2"/>
      <c r="T4" s="2"/>
      <c r="U4" s="2"/>
      <c r="V4" s="2"/>
    </row>
    <row r="5" spans="1:22" x14ac:dyDescent="0.35">
      <c r="A5" s="5">
        <v>42401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  <c r="L5" s="6" t="s">
        <v>1</v>
      </c>
      <c r="M5" s="6" t="s">
        <v>1</v>
      </c>
      <c r="N5" s="6" t="s">
        <v>1</v>
      </c>
      <c r="O5" s="2"/>
      <c r="P5" s="2"/>
      <c r="Q5" s="2"/>
      <c r="R5" s="2"/>
      <c r="S5" s="2"/>
      <c r="T5" s="2"/>
      <c r="U5" s="2"/>
      <c r="V5" s="2"/>
    </row>
    <row r="6" spans="1:22" x14ac:dyDescent="0.35">
      <c r="A6" s="5">
        <v>42430</v>
      </c>
      <c r="B6" s="6">
        <v>59.190913502396171</v>
      </c>
      <c r="C6" s="6">
        <v>231.328</v>
      </c>
      <c r="D6" s="6">
        <v>214.5540761959106</v>
      </c>
      <c r="E6" s="7">
        <f>C6/B6</f>
        <v>3.9081674248976639</v>
      </c>
      <c r="F6" s="43">
        <f>1000*D6/B6</f>
        <v>3624.7806208840652</v>
      </c>
      <c r="G6" s="43">
        <f>F6/E6</f>
        <v>927.48857118857461</v>
      </c>
      <c r="H6" s="6" t="s">
        <v>1</v>
      </c>
      <c r="I6" s="6" t="s">
        <v>1</v>
      </c>
      <c r="J6" s="6" t="s">
        <v>1</v>
      </c>
      <c r="K6" s="6" t="s">
        <v>1</v>
      </c>
      <c r="L6" s="6" t="s">
        <v>1</v>
      </c>
      <c r="M6" s="6" t="s">
        <v>1</v>
      </c>
      <c r="N6" s="6" t="s">
        <v>1</v>
      </c>
      <c r="O6" s="2"/>
      <c r="P6" s="2"/>
      <c r="Q6" s="2"/>
      <c r="R6" s="2"/>
      <c r="S6" s="2"/>
      <c r="T6" s="8"/>
      <c r="U6" s="2"/>
      <c r="V6" s="2"/>
    </row>
    <row r="7" spans="1:22" x14ac:dyDescent="0.35">
      <c r="A7" s="5">
        <v>42461</v>
      </c>
      <c r="B7" s="6">
        <v>59.734999999999999</v>
      </c>
      <c r="C7" s="6">
        <v>233.42699999999999</v>
      </c>
      <c r="D7" s="6">
        <v>224.57352728360539</v>
      </c>
      <c r="E7" s="7">
        <f t="shared" ref="E7:E34" si="0">C7/B7</f>
        <v>3.9077090482966432</v>
      </c>
      <c r="F7" s="43">
        <f t="shared" ref="F7:F34" si="1">1000*D7/B7</f>
        <v>3759.4965645535349</v>
      </c>
      <c r="G7" s="43">
        <f t="shared" ref="G7:G34" si="2">F7/E7</f>
        <v>962.07177097596002</v>
      </c>
      <c r="H7" s="6" t="s">
        <v>1</v>
      </c>
      <c r="I7" s="6" t="s">
        <v>1</v>
      </c>
      <c r="J7" s="6" t="s">
        <v>1</v>
      </c>
      <c r="K7" s="6" t="s">
        <v>1</v>
      </c>
      <c r="L7" s="6" t="s">
        <v>1</v>
      </c>
      <c r="M7" s="6" t="s">
        <v>1</v>
      </c>
      <c r="N7" s="6" t="s">
        <v>1</v>
      </c>
      <c r="O7" s="2"/>
      <c r="P7" s="2"/>
      <c r="Q7" s="2"/>
      <c r="R7" s="2"/>
      <c r="S7" s="2"/>
      <c r="T7" s="8"/>
      <c r="U7" s="2"/>
      <c r="V7" s="2"/>
    </row>
    <row r="8" spans="1:22" x14ac:dyDescent="0.35">
      <c r="A8" s="5">
        <v>42491</v>
      </c>
      <c r="B8" s="6">
        <v>58.889000000000003</v>
      </c>
      <c r="C8" s="6">
        <v>228.928</v>
      </c>
      <c r="D8" s="6">
        <v>225.06922900790957</v>
      </c>
      <c r="E8" s="7">
        <f t="shared" si="0"/>
        <v>3.8874492689636431</v>
      </c>
      <c r="F8" s="43">
        <f t="shared" si="1"/>
        <v>3821.9230927322515</v>
      </c>
      <c r="G8" s="43">
        <f t="shared" si="2"/>
        <v>983.14417200128241</v>
      </c>
      <c r="H8" s="6" t="s">
        <v>1</v>
      </c>
      <c r="I8" s="6" t="s">
        <v>1</v>
      </c>
      <c r="J8" s="6" t="s">
        <v>1</v>
      </c>
      <c r="K8" s="6" t="s">
        <v>1</v>
      </c>
      <c r="L8" s="6" t="s">
        <v>1</v>
      </c>
      <c r="M8" s="6" t="s">
        <v>1</v>
      </c>
      <c r="N8" s="6" t="s">
        <v>1</v>
      </c>
      <c r="O8" s="2"/>
      <c r="P8" s="2"/>
      <c r="Q8" s="2"/>
      <c r="R8" s="2"/>
      <c r="S8" s="2"/>
      <c r="T8" s="8"/>
      <c r="U8" s="2"/>
      <c r="V8" s="2"/>
    </row>
    <row r="9" spans="1:22" x14ac:dyDescent="0.35">
      <c r="A9" s="5">
        <v>42522</v>
      </c>
      <c r="B9" s="6">
        <v>59.072000000000003</v>
      </c>
      <c r="C9" s="6">
        <v>229.393</v>
      </c>
      <c r="D9" s="6">
        <v>224.76834719818464</v>
      </c>
      <c r="E9" s="7">
        <f t="shared" si="0"/>
        <v>3.8832780335861319</v>
      </c>
      <c r="F9" s="43">
        <f t="shared" si="1"/>
        <v>3804.9896261881199</v>
      </c>
      <c r="G9" s="43">
        <f t="shared" si="2"/>
        <v>979.83960800104899</v>
      </c>
      <c r="H9" s="6" t="s">
        <v>1</v>
      </c>
      <c r="I9" s="6" t="s">
        <v>1</v>
      </c>
      <c r="J9" s="6" t="s">
        <v>1</v>
      </c>
      <c r="K9" s="6" t="s">
        <v>1</v>
      </c>
      <c r="L9" s="6" t="s">
        <v>1</v>
      </c>
      <c r="M9" s="6" t="s">
        <v>1</v>
      </c>
      <c r="N9" s="6" t="s">
        <v>1</v>
      </c>
      <c r="O9" s="2"/>
      <c r="P9" s="2"/>
      <c r="Q9" s="2"/>
      <c r="R9" s="2"/>
      <c r="S9" s="2"/>
      <c r="T9" s="8"/>
      <c r="U9" s="2"/>
      <c r="V9" s="2"/>
    </row>
    <row r="10" spans="1:22" x14ac:dyDescent="0.35">
      <c r="A10" s="5">
        <v>42552</v>
      </c>
      <c r="B10" s="6">
        <v>58.746000000000002</v>
      </c>
      <c r="C10" s="6">
        <v>227.04900000000001</v>
      </c>
      <c r="D10" s="6">
        <v>224.6624305087791</v>
      </c>
      <c r="E10" s="7">
        <f t="shared" si="0"/>
        <v>3.8649269737514045</v>
      </c>
      <c r="F10" s="43">
        <f t="shared" si="1"/>
        <v>3824.3017483535746</v>
      </c>
      <c r="G10" s="43">
        <f t="shared" si="2"/>
        <v>989.48874696113648</v>
      </c>
      <c r="H10" s="6" t="s">
        <v>1</v>
      </c>
      <c r="I10" s="6" t="s">
        <v>1</v>
      </c>
      <c r="J10" s="6" t="s">
        <v>1</v>
      </c>
      <c r="K10" s="6" t="s">
        <v>1</v>
      </c>
      <c r="L10" s="6" t="s">
        <v>1</v>
      </c>
      <c r="M10" s="6" t="s">
        <v>1</v>
      </c>
      <c r="N10" s="6" t="s">
        <v>1</v>
      </c>
      <c r="O10" s="2"/>
      <c r="P10" s="2"/>
      <c r="Q10" s="2"/>
      <c r="R10" s="2"/>
      <c r="S10" s="2"/>
      <c r="T10" s="8"/>
      <c r="U10" s="2"/>
      <c r="V10" s="2"/>
    </row>
    <row r="11" spans="1:22" x14ac:dyDescent="0.35">
      <c r="A11" s="5">
        <v>42583</v>
      </c>
      <c r="B11" s="6">
        <v>58.631</v>
      </c>
      <c r="C11" s="6">
        <v>226.20400000000001</v>
      </c>
      <c r="D11" s="6">
        <v>225.86955389590682</v>
      </c>
      <c r="E11" s="7">
        <f t="shared" si="0"/>
        <v>3.8580955467244293</v>
      </c>
      <c r="F11" s="43">
        <f t="shared" si="1"/>
        <v>3852.3912929321828</v>
      </c>
      <c r="G11" s="43">
        <f t="shared" si="2"/>
        <v>998.52148457103669</v>
      </c>
      <c r="H11" s="6" t="s">
        <v>1</v>
      </c>
      <c r="I11" s="6" t="s">
        <v>1</v>
      </c>
      <c r="J11" s="6" t="s">
        <v>1</v>
      </c>
      <c r="K11" s="6" t="s">
        <v>1</v>
      </c>
      <c r="L11" s="6" t="s">
        <v>1</v>
      </c>
      <c r="M11" s="6" t="s">
        <v>1</v>
      </c>
      <c r="N11" s="6" t="s">
        <v>1</v>
      </c>
      <c r="O11" s="2"/>
      <c r="P11" s="2"/>
      <c r="Q11" s="2"/>
      <c r="R11" s="2"/>
      <c r="S11" s="2"/>
      <c r="T11" s="8"/>
      <c r="U11" s="2"/>
      <c r="V11" s="2"/>
    </row>
    <row r="12" spans="1:22" x14ac:dyDescent="0.35">
      <c r="A12" s="5">
        <v>42614</v>
      </c>
      <c r="B12" s="9">
        <v>58.920999999999999</v>
      </c>
      <c r="C12" s="9">
        <v>225.679</v>
      </c>
      <c r="D12" s="9">
        <v>227.69140312588806</v>
      </c>
      <c r="E12" s="10">
        <f t="shared" si="0"/>
        <v>3.8301963646238186</v>
      </c>
      <c r="F12" s="44">
        <f t="shared" si="1"/>
        <v>3864.3506241558707</v>
      </c>
      <c r="G12" s="44">
        <f t="shared" si="2"/>
        <v>1008.9171040543783</v>
      </c>
      <c r="H12" s="9" t="s">
        <v>1</v>
      </c>
      <c r="I12" s="9" t="s">
        <v>1</v>
      </c>
      <c r="J12" s="9" t="s">
        <v>1</v>
      </c>
      <c r="K12" s="9" t="s">
        <v>1</v>
      </c>
      <c r="L12" s="9" t="s">
        <v>1</v>
      </c>
      <c r="M12" s="9" t="s">
        <v>1</v>
      </c>
      <c r="N12" s="9" t="s">
        <v>1</v>
      </c>
      <c r="O12" s="2"/>
      <c r="P12" s="2"/>
      <c r="Q12" s="2"/>
      <c r="R12" s="2"/>
      <c r="S12" s="2"/>
      <c r="T12" s="8"/>
      <c r="U12" s="2"/>
      <c r="V12" s="2"/>
    </row>
    <row r="13" spans="1:22" x14ac:dyDescent="0.35">
      <c r="A13" s="5">
        <v>42644</v>
      </c>
      <c r="B13" s="6">
        <v>58.661000000000001</v>
      </c>
      <c r="C13" s="6">
        <v>218.71100000000001</v>
      </c>
      <c r="D13" s="6">
        <v>227.86876108443701</v>
      </c>
      <c r="E13" s="7">
        <f t="shared" si="0"/>
        <v>3.7283885375291934</v>
      </c>
      <c r="F13" s="43">
        <f t="shared" si="1"/>
        <v>3884.5018169556779</v>
      </c>
      <c r="G13" s="43">
        <f t="shared" si="2"/>
        <v>1041.8715157648085</v>
      </c>
      <c r="H13" s="6" t="s">
        <v>1</v>
      </c>
      <c r="I13" s="6" t="s">
        <v>1</v>
      </c>
      <c r="J13" s="6" t="s">
        <v>1</v>
      </c>
      <c r="K13" s="6" t="s">
        <v>1</v>
      </c>
      <c r="L13" s="6" t="s">
        <v>1</v>
      </c>
      <c r="M13" s="6" t="s">
        <v>1</v>
      </c>
      <c r="N13" s="6" t="s">
        <v>1</v>
      </c>
      <c r="O13" s="2"/>
      <c r="P13" s="2"/>
      <c r="Q13" s="2"/>
      <c r="R13" s="2"/>
      <c r="S13" s="2"/>
      <c r="T13" s="8"/>
      <c r="U13" s="2"/>
      <c r="V13" s="2"/>
    </row>
    <row r="14" spans="1:22" x14ac:dyDescent="0.35">
      <c r="A14" s="5">
        <v>42675</v>
      </c>
      <c r="B14" s="6">
        <v>59.344000000000001</v>
      </c>
      <c r="C14" s="6">
        <v>228.65199999999999</v>
      </c>
      <c r="D14" s="6">
        <v>229.54093373708992</v>
      </c>
      <c r="E14" s="7">
        <f t="shared" si="0"/>
        <v>3.8529927204098136</v>
      </c>
      <c r="F14" s="43">
        <f t="shared" si="1"/>
        <v>3867.9720567722079</v>
      </c>
      <c r="G14" s="43">
        <f t="shared" si="2"/>
        <v>1003.8877146803436</v>
      </c>
      <c r="H14" s="27">
        <v>0.39746255149150661</v>
      </c>
      <c r="I14" s="6" t="s">
        <v>1</v>
      </c>
      <c r="J14" s="6" t="s">
        <v>1</v>
      </c>
      <c r="K14" s="6" t="s">
        <v>1</v>
      </c>
      <c r="L14" s="6" t="s">
        <v>1</v>
      </c>
      <c r="M14" s="6" t="s">
        <v>1</v>
      </c>
      <c r="N14" s="6" t="s">
        <v>1</v>
      </c>
      <c r="O14" s="2"/>
      <c r="P14" s="2"/>
      <c r="Q14" s="2"/>
      <c r="R14" s="2"/>
      <c r="S14" s="2"/>
      <c r="T14" s="8"/>
      <c r="U14" s="2"/>
      <c r="V14" s="2"/>
    </row>
    <row r="15" spans="1:22" ht="15" thickBot="1" x14ac:dyDescent="0.4">
      <c r="A15" s="5">
        <v>42705</v>
      </c>
      <c r="B15" s="6">
        <v>58.975999999999999</v>
      </c>
      <c r="C15" s="6">
        <v>229.45</v>
      </c>
      <c r="D15" s="6">
        <v>228.34040853691366</v>
      </c>
      <c r="E15" s="7">
        <f t="shared" si="0"/>
        <v>3.8905656538252846</v>
      </c>
      <c r="F15" s="43">
        <f t="shared" si="1"/>
        <v>3871.7513655879284</v>
      </c>
      <c r="G15" s="43">
        <f t="shared" si="2"/>
        <v>995.16412524259613</v>
      </c>
      <c r="H15" s="27">
        <v>0.3945747972507016</v>
      </c>
      <c r="I15" s="6" t="s">
        <v>1</v>
      </c>
      <c r="J15" s="6" t="s">
        <v>1</v>
      </c>
      <c r="K15" s="6" t="s">
        <v>1</v>
      </c>
      <c r="L15" s="6" t="s">
        <v>1</v>
      </c>
      <c r="M15" s="6" t="s">
        <v>1</v>
      </c>
      <c r="N15" s="6" t="s">
        <v>1</v>
      </c>
      <c r="O15" s="2"/>
      <c r="P15" s="2"/>
      <c r="Q15" s="2"/>
      <c r="R15" s="2"/>
      <c r="S15" s="2"/>
      <c r="T15" s="8"/>
      <c r="U15" s="2"/>
      <c r="V15" s="2"/>
    </row>
    <row r="16" spans="1:22" x14ac:dyDescent="0.35">
      <c r="A16" s="3">
        <v>42736</v>
      </c>
      <c r="B16" s="4">
        <v>59.021999999999998</v>
      </c>
      <c r="C16" s="4">
        <v>227.61199999999999</v>
      </c>
      <c r="D16" s="4">
        <v>229.12089466731214</v>
      </c>
      <c r="E16" s="11">
        <f t="shared" si="0"/>
        <v>3.8563925315983871</v>
      </c>
      <c r="F16" s="45">
        <f t="shared" si="1"/>
        <v>3881.9574847906233</v>
      </c>
      <c r="G16" s="45">
        <f t="shared" si="2"/>
        <v>1006.6292404060953</v>
      </c>
      <c r="H16" s="26">
        <v>0.3944595983367789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2"/>
      <c r="P16" s="2"/>
      <c r="Q16" s="2"/>
      <c r="R16" s="2"/>
      <c r="S16" s="2"/>
      <c r="T16" s="8"/>
      <c r="U16" s="2"/>
      <c r="V16" s="2"/>
    </row>
    <row r="17" spans="1:22" x14ac:dyDescent="0.35">
      <c r="A17" s="5">
        <v>42767</v>
      </c>
      <c r="B17" s="6">
        <v>59.119</v>
      </c>
      <c r="C17" s="6">
        <v>227.32300000000001</v>
      </c>
      <c r="D17" s="6">
        <v>229.34030587236444</v>
      </c>
      <c r="E17" s="7">
        <f t="shared" si="0"/>
        <v>3.8451766775486731</v>
      </c>
      <c r="F17" s="43">
        <f t="shared" si="1"/>
        <v>3879.2994785494416</v>
      </c>
      <c r="G17" s="43">
        <f t="shared" si="2"/>
        <v>1008.8741828691528</v>
      </c>
      <c r="H17" s="27">
        <v>0.39468462706148177</v>
      </c>
      <c r="I17" s="6" t="s">
        <v>1</v>
      </c>
      <c r="J17" s="6" t="s">
        <v>1</v>
      </c>
      <c r="K17" s="6" t="s">
        <v>1</v>
      </c>
      <c r="L17" s="6" t="s">
        <v>1</v>
      </c>
      <c r="M17" s="6" t="s">
        <v>1</v>
      </c>
      <c r="N17" s="6" t="s">
        <v>1</v>
      </c>
      <c r="O17" s="2"/>
      <c r="P17" s="2"/>
      <c r="Q17" s="2"/>
      <c r="R17" s="2"/>
      <c r="S17" s="2"/>
      <c r="T17" s="8"/>
      <c r="U17" s="2"/>
      <c r="V17" s="2"/>
    </row>
    <row r="18" spans="1:22" x14ac:dyDescent="0.35">
      <c r="A18" s="5">
        <v>42795</v>
      </c>
      <c r="B18" s="6">
        <v>59.12</v>
      </c>
      <c r="C18" s="6">
        <v>225.86</v>
      </c>
      <c r="D18" s="6">
        <v>230.58244838414271</v>
      </c>
      <c r="E18" s="7">
        <f t="shared" si="0"/>
        <v>3.8203653585926931</v>
      </c>
      <c r="F18" s="43">
        <f t="shared" si="1"/>
        <v>3900.2443908007904</v>
      </c>
      <c r="G18" s="43">
        <f t="shared" si="2"/>
        <v>1020.9087416281887</v>
      </c>
      <c r="H18" s="27">
        <v>0.39426846490699557</v>
      </c>
      <c r="I18" s="6" t="s">
        <v>1</v>
      </c>
      <c r="J18" s="6" t="s">
        <v>1</v>
      </c>
      <c r="K18" s="6" t="s">
        <v>1</v>
      </c>
      <c r="L18" s="6" t="s">
        <v>1</v>
      </c>
      <c r="M18" s="6" t="s">
        <v>1</v>
      </c>
      <c r="N18" s="6" t="s">
        <v>1</v>
      </c>
      <c r="O18" s="2"/>
      <c r="P18" s="2"/>
      <c r="Q18" s="2"/>
      <c r="R18" s="2"/>
      <c r="S18" s="2"/>
      <c r="T18" s="8"/>
      <c r="U18" s="2"/>
      <c r="V18" s="2"/>
    </row>
    <row r="19" spans="1:22" x14ac:dyDescent="0.35">
      <c r="A19" s="5">
        <v>42826</v>
      </c>
      <c r="B19" s="6">
        <v>59.426000000000002</v>
      </c>
      <c r="C19" s="6">
        <v>225.852</v>
      </c>
      <c r="D19" s="6">
        <v>228.59266996778427</v>
      </c>
      <c r="E19" s="7">
        <f t="shared" si="0"/>
        <v>3.8005586780197218</v>
      </c>
      <c r="F19" s="43">
        <f t="shared" si="1"/>
        <v>3846.6777162821709</v>
      </c>
      <c r="G19" s="43">
        <f t="shared" si="2"/>
        <v>1012.1348049509603</v>
      </c>
      <c r="H19" s="27">
        <v>0.39588455402578404</v>
      </c>
      <c r="I19" s="6" t="s">
        <v>1</v>
      </c>
      <c r="J19" s="6" t="s">
        <v>1</v>
      </c>
      <c r="K19" s="6" t="s">
        <v>1</v>
      </c>
      <c r="L19" s="6" t="s">
        <v>1</v>
      </c>
      <c r="M19" s="6" t="s">
        <v>1</v>
      </c>
      <c r="N19" s="6" t="s">
        <v>1</v>
      </c>
      <c r="O19" s="2"/>
      <c r="P19" s="2"/>
      <c r="Q19" s="2"/>
      <c r="R19" s="2"/>
      <c r="S19" s="2"/>
      <c r="T19" s="8"/>
      <c r="U19" s="2"/>
      <c r="V19" s="2"/>
    </row>
    <row r="20" spans="1:22" x14ac:dyDescent="0.35">
      <c r="A20" s="5">
        <v>42856</v>
      </c>
      <c r="B20" s="6">
        <v>60.308999999999997</v>
      </c>
      <c r="C20" s="6">
        <v>229.928</v>
      </c>
      <c r="D20" s="6">
        <v>233.24934903498814</v>
      </c>
      <c r="E20" s="7">
        <f t="shared" si="0"/>
        <v>3.8124989636704307</v>
      </c>
      <c r="F20" s="43">
        <f t="shared" si="1"/>
        <v>3867.5711591137006</v>
      </c>
      <c r="G20" s="43">
        <f t="shared" si="2"/>
        <v>1014.4451699444529</v>
      </c>
      <c r="H20" s="27">
        <v>0.40133642520784046</v>
      </c>
      <c r="I20" s="6" t="s">
        <v>1</v>
      </c>
      <c r="J20" s="6" t="s">
        <v>1</v>
      </c>
      <c r="K20" s="6" t="s">
        <v>1</v>
      </c>
      <c r="L20" s="6" t="s">
        <v>1</v>
      </c>
      <c r="M20" s="6" t="s">
        <v>1</v>
      </c>
      <c r="N20" s="6" t="s">
        <v>1</v>
      </c>
      <c r="O20" s="2"/>
      <c r="P20" s="2"/>
      <c r="Q20" s="2"/>
      <c r="R20" s="2"/>
      <c r="S20" s="2"/>
      <c r="T20" s="8"/>
      <c r="U20" s="2"/>
      <c r="V20" s="2"/>
    </row>
    <row r="21" spans="1:22" x14ac:dyDescent="0.35">
      <c r="A21" s="5">
        <v>42887</v>
      </c>
      <c r="B21" s="6">
        <v>59.972000000000001</v>
      </c>
      <c r="C21" s="6">
        <v>228.45500000000001</v>
      </c>
      <c r="D21" s="6">
        <v>232.24693394185044</v>
      </c>
      <c r="E21" s="7">
        <f t="shared" si="0"/>
        <v>3.8093610351497365</v>
      </c>
      <c r="F21" s="43">
        <f t="shared" si="1"/>
        <v>3872.5894407698665</v>
      </c>
      <c r="G21" s="43">
        <f t="shared" si="2"/>
        <v>1016.5981656862422</v>
      </c>
      <c r="H21" s="27">
        <v>0.39866611577194339</v>
      </c>
      <c r="I21" s="6" t="s">
        <v>1</v>
      </c>
      <c r="J21" s="6" t="s">
        <v>1</v>
      </c>
      <c r="K21" s="6" t="s">
        <v>1</v>
      </c>
      <c r="L21" s="6" t="s">
        <v>1</v>
      </c>
      <c r="M21" s="6" t="s">
        <v>1</v>
      </c>
      <c r="N21" s="6" t="s">
        <v>1</v>
      </c>
      <c r="O21" s="2"/>
      <c r="P21" s="2"/>
      <c r="Q21" s="2"/>
      <c r="R21" s="2"/>
      <c r="S21" s="2"/>
      <c r="T21" s="8"/>
      <c r="U21" s="2"/>
      <c r="V21" s="2"/>
    </row>
    <row r="22" spans="1:22" x14ac:dyDescent="0.35">
      <c r="A22" s="5">
        <v>42917</v>
      </c>
      <c r="B22" s="6">
        <v>59.784999999999997</v>
      </c>
      <c r="C22" s="6">
        <v>226.93899999999999</v>
      </c>
      <c r="D22" s="6">
        <v>230.8854600629449</v>
      </c>
      <c r="E22" s="7">
        <f t="shared" si="0"/>
        <v>3.7959187087061972</v>
      </c>
      <c r="F22" s="43">
        <f t="shared" si="1"/>
        <v>3861.929582051433</v>
      </c>
      <c r="G22" s="43">
        <f t="shared" si="2"/>
        <v>1017.389959693772</v>
      </c>
      <c r="H22" s="27">
        <v>0.39699709366386265</v>
      </c>
      <c r="I22" s="6" t="s">
        <v>1</v>
      </c>
      <c r="J22" s="6" t="s">
        <v>1</v>
      </c>
      <c r="K22" s="6" t="s">
        <v>1</v>
      </c>
      <c r="L22" s="6" t="s">
        <v>1</v>
      </c>
      <c r="M22" s="6" t="s">
        <v>1</v>
      </c>
      <c r="N22" s="6" t="s">
        <v>1</v>
      </c>
      <c r="O22" s="2"/>
      <c r="P22" s="2"/>
      <c r="Q22" s="2"/>
      <c r="R22" s="2"/>
      <c r="S22" s="2"/>
      <c r="T22" s="8"/>
      <c r="U22" s="2"/>
      <c r="V22" s="2"/>
    </row>
    <row r="23" spans="1:22" x14ac:dyDescent="0.35">
      <c r="A23" s="5">
        <v>42948</v>
      </c>
      <c r="B23" s="6">
        <v>59.793999999999997</v>
      </c>
      <c r="C23" s="6">
        <v>225.51900000000001</v>
      </c>
      <c r="D23" s="6">
        <v>229.66715194011334</v>
      </c>
      <c r="E23" s="7">
        <f t="shared" si="0"/>
        <v>3.7715991571060643</v>
      </c>
      <c r="F23" s="43">
        <f t="shared" si="1"/>
        <v>3840.9732070126324</v>
      </c>
      <c r="G23" s="43">
        <f t="shared" si="2"/>
        <v>1018.3938024739083</v>
      </c>
      <c r="H23" s="27">
        <v>0.39665843955641894</v>
      </c>
      <c r="I23" s="6" t="s">
        <v>1</v>
      </c>
      <c r="J23" s="6" t="s">
        <v>1</v>
      </c>
      <c r="K23" s="6" t="s">
        <v>1</v>
      </c>
      <c r="L23" s="6" t="s">
        <v>1</v>
      </c>
      <c r="M23" s="6" t="s">
        <v>1</v>
      </c>
      <c r="N23" s="6" t="s">
        <v>1</v>
      </c>
      <c r="O23" s="2"/>
      <c r="P23" s="2"/>
      <c r="Q23" s="2"/>
      <c r="R23" s="2"/>
      <c r="S23" s="2"/>
      <c r="T23" s="8"/>
      <c r="U23" s="2"/>
      <c r="V23" s="2"/>
    </row>
    <row r="24" spans="1:22" x14ac:dyDescent="0.35">
      <c r="A24" s="5">
        <v>42979</v>
      </c>
      <c r="B24" s="6">
        <v>59.837000000000003</v>
      </c>
      <c r="C24" s="6">
        <v>225.523</v>
      </c>
      <c r="D24" s="6">
        <v>227.19386907227479</v>
      </c>
      <c r="E24" s="7">
        <f t="shared" si="0"/>
        <v>3.7689556628841685</v>
      </c>
      <c r="F24" s="43">
        <f t="shared" si="1"/>
        <v>3796.8793400784598</v>
      </c>
      <c r="G24" s="43">
        <f t="shared" si="2"/>
        <v>1007.4088632745876</v>
      </c>
      <c r="H24" s="27">
        <v>0.39654533379259965</v>
      </c>
      <c r="I24" s="6" t="s">
        <v>1</v>
      </c>
      <c r="J24" s="6" t="s">
        <v>1</v>
      </c>
      <c r="K24" s="6" t="s">
        <v>1</v>
      </c>
      <c r="L24" s="6" t="s">
        <v>1</v>
      </c>
      <c r="M24" s="6" t="s">
        <v>1</v>
      </c>
      <c r="N24" s="6" t="s">
        <v>1</v>
      </c>
      <c r="O24" s="2"/>
      <c r="P24" s="2"/>
      <c r="Q24" s="2"/>
      <c r="R24" s="2"/>
      <c r="S24" s="2"/>
      <c r="T24" s="8"/>
      <c r="U24" s="2"/>
      <c r="V24" s="2"/>
    </row>
    <row r="25" spans="1:22" x14ac:dyDescent="0.35">
      <c r="A25" s="5">
        <v>43009</v>
      </c>
      <c r="B25" s="6">
        <v>60.363999999999997</v>
      </c>
      <c r="C25" s="6">
        <v>226.55799999999999</v>
      </c>
      <c r="D25" s="6">
        <v>228.61925423226771</v>
      </c>
      <c r="E25" s="7">
        <f t="shared" si="0"/>
        <v>3.7531972698959644</v>
      </c>
      <c r="F25" s="43">
        <f t="shared" si="1"/>
        <v>3787.3443481589643</v>
      </c>
      <c r="G25" s="43">
        <f t="shared" si="2"/>
        <v>1009.0981304225307</v>
      </c>
      <c r="H25" s="27">
        <v>0.39963630209996615</v>
      </c>
      <c r="I25" s="6" t="s">
        <v>1</v>
      </c>
      <c r="J25" s="6" t="s">
        <v>1</v>
      </c>
      <c r="K25" s="6" t="s">
        <v>1</v>
      </c>
      <c r="L25" s="6" t="s">
        <v>1</v>
      </c>
      <c r="M25" s="6" t="s">
        <v>1</v>
      </c>
      <c r="N25" s="6" t="s">
        <v>1</v>
      </c>
      <c r="O25" s="2"/>
      <c r="P25" s="2"/>
      <c r="Q25" s="2"/>
      <c r="R25" s="2"/>
      <c r="S25" s="2"/>
      <c r="T25" s="8"/>
      <c r="U25" s="2"/>
      <c r="V25" s="2"/>
    </row>
    <row r="26" spans="1:22" x14ac:dyDescent="0.35">
      <c r="A26" s="5">
        <v>43040</v>
      </c>
      <c r="B26" s="6">
        <v>60.478000000000002</v>
      </c>
      <c r="C26" s="6">
        <v>227.911</v>
      </c>
      <c r="D26" s="6">
        <v>229.80649140499867</v>
      </c>
      <c r="E26" s="7">
        <f t="shared" si="0"/>
        <v>3.7684943285161547</v>
      </c>
      <c r="F26" s="43">
        <f t="shared" si="1"/>
        <v>3799.8361619927687</v>
      </c>
      <c r="G26" s="43">
        <f t="shared" si="2"/>
        <v>1008.3168052660848</v>
      </c>
      <c r="H26" s="27">
        <v>0.39998912427467909</v>
      </c>
      <c r="I26" s="6" t="s">
        <v>1</v>
      </c>
      <c r="J26" s="6" t="s">
        <v>1</v>
      </c>
      <c r="K26" s="6" t="s">
        <v>1</v>
      </c>
      <c r="L26" s="6" t="s">
        <v>1</v>
      </c>
      <c r="M26" s="6" t="s">
        <v>1</v>
      </c>
      <c r="N26" s="6" t="s">
        <v>1</v>
      </c>
      <c r="O26" s="2"/>
      <c r="P26" s="2"/>
      <c r="Q26" s="2"/>
      <c r="R26" s="2"/>
      <c r="S26" s="2"/>
      <c r="T26" s="8"/>
      <c r="U26" s="2"/>
      <c r="V26" s="2"/>
    </row>
    <row r="27" spans="1:22" ht="15" thickBot="1" x14ac:dyDescent="0.4">
      <c r="A27" s="12">
        <v>43070</v>
      </c>
      <c r="B27" s="13">
        <v>59.732999999999997</v>
      </c>
      <c r="C27" s="13">
        <v>224.99299999999999</v>
      </c>
      <c r="D27" s="13">
        <v>225.79600262039895</v>
      </c>
      <c r="E27" s="14">
        <f t="shared" si="0"/>
        <v>3.7666449031523617</v>
      </c>
      <c r="F27" s="46">
        <f t="shared" si="1"/>
        <v>3780.0881023956431</v>
      </c>
      <c r="G27" s="46">
        <f t="shared" si="2"/>
        <v>1003.5690115710219</v>
      </c>
      <c r="H27" s="28">
        <v>0.39466523705434364</v>
      </c>
      <c r="I27" s="13" t="s">
        <v>1</v>
      </c>
      <c r="J27" s="13" t="s">
        <v>1</v>
      </c>
      <c r="K27" s="13" t="s">
        <v>1</v>
      </c>
      <c r="L27" s="13" t="s">
        <v>1</v>
      </c>
      <c r="M27" s="13" t="s">
        <v>1</v>
      </c>
      <c r="N27" s="13" t="s">
        <v>1</v>
      </c>
      <c r="O27" s="2"/>
      <c r="P27" s="2"/>
      <c r="Q27" s="2"/>
      <c r="R27" s="2"/>
      <c r="S27" s="2"/>
      <c r="T27" s="8"/>
      <c r="U27" s="2"/>
      <c r="V27" s="2"/>
    </row>
    <row r="28" spans="1:22" x14ac:dyDescent="0.35">
      <c r="A28" s="3">
        <v>43101</v>
      </c>
      <c r="B28" s="4">
        <v>59.343291000000001</v>
      </c>
      <c r="C28" s="4">
        <v>222.92912699999999</v>
      </c>
      <c r="D28" s="4">
        <v>225.64340609850001</v>
      </c>
      <c r="E28" s="11">
        <f t="shared" si="0"/>
        <v>3.7566020226279662</v>
      </c>
      <c r="F28" s="45">
        <f t="shared" si="1"/>
        <v>3802.3406234497511</v>
      </c>
      <c r="G28" s="45">
        <f t="shared" si="2"/>
        <v>1012.1755247285386</v>
      </c>
      <c r="H28" s="26">
        <v>0.39239511622100054</v>
      </c>
      <c r="I28" s="4" t="s">
        <v>1</v>
      </c>
      <c r="J28" s="4" t="s">
        <v>1</v>
      </c>
      <c r="K28" s="4" t="s">
        <v>1</v>
      </c>
      <c r="L28" s="4" t="s">
        <v>1</v>
      </c>
      <c r="M28" s="4" t="s">
        <v>1</v>
      </c>
      <c r="N28" s="4" t="s">
        <v>1</v>
      </c>
      <c r="O28" s="2"/>
      <c r="P28" s="15"/>
      <c r="Q28" s="2"/>
      <c r="R28" s="16"/>
      <c r="S28" s="16"/>
      <c r="T28" s="17"/>
      <c r="U28" s="2"/>
      <c r="V28" s="2"/>
    </row>
    <row r="29" spans="1:22" x14ac:dyDescent="0.35">
      <c r="A29" s="5">
        <v>43132</v>
      </c>
      <c r="B29" s="6">
        <v>59.716811999999997</v>
      </c>
      <c r="C29" s="6">
        <v>223.14572999999999</v>
      </c>
      <c r="D29" s="6">
        <v>225.173069811</v>
      </c>
      <c r="E29" s="7">
        <f t="shared" si="0"/>
        <v>3.7367321282991464</v>
      </c>
      <c r="F29" s="43">
        <f t="shared" si="1"/>
        <v>3770.6813587269194</v>
      </c>
      <c r="G29" s="43">
        <f t="shared" si="2"/>
        <v>1009.0852727094532</v>
      </c>
      <c r="H29" s="27">
        <v>0.3945177008102293</v>
      </c>
      <c r="I29" s="6" t="s">
        <v>1</v>
      </c>
      <c r="J29" s="6" t="s">
        <v>1</v>
      </c>
      <c r="K29" s="6" t="s">
        <v>1</v>
      </c>
      <c r="L29" s="6" t="s">
        <v>1</v>
      </c>
      <c r="M29" s="6" t="s">
        <v>1</v>
      </c>
      <c r="N29" s="6" t="s">
        <v>1</v>
      </c>
      <c r="O29" s="2"/>
      <c r="P29" s="15"/>
      <c r="Q29" s="2"/>
      <c r="R29" s="16"/>
      <c r="S29" s="16"/>
      <c r="T29" s="17"/>
      <c r="U29" s="2"/>
      <c r="V29" s="2"/>
    </row>
    <row r="30" spans="1:22" x14ac:dyDescent="0.35">
      <c r="A30" s="5">
        <v>43160</v>
      </c>
      <c r="B30" s="6">
        <v>60.256315999999998</v>
      </c>
      <c r="C30" s="6">
        <v>224.92387099999999</v>
      </c>
      <c r="D30" s="6">
        <v>229.6721744415</v>
      </c>
      <c r="E30" s="7">
        <f t="shared" si="0"/>
        <v>3.7327849747734327</v>
      </c>
      <c r="F30" s="43">
        <f t="shared" si="1"/>
        <v>3811.586729621838</v>
      </c>
      <c r="G30" s="43">
        <f t="shared" si="2"/>
        <v>1021.1107136845428</v>
      </c>
      <c r="H30" s="27">
        <v>0.39772542829122487</v>
      </c>
      <c r="I30" s="6" t="s">
        <v>1</v>
      </c>
      <c r="J30" s="6" t="s">
        <v>1</v>
      </c>
      <c r="K30" s="6" t="s">
        <v>1</v>
      </c>
      <c r="L30" s="6" t="s">
        <v>1</v>
      </c>
      <c r="M30" s="6" t="s">
        <v>1</v>
      </c>
      <c r="N30" s="6" t="s">
        <v>1</v>
      </c>
      <c r="O30" s="2"/>
      <c r="P30" s="15"/>
      <c r="Q30" s="2"/>
      <c r="R30" s="16"/>
      <c r="S30" s="16"/>
      <c r="T30" s="17"/>
      <c r="U30" s="2"/>
      <c r="V30" s="2"/>
    </row>
    <row r="31" spans="1:22" x14ac:dyDescent="0.35">
      <c r="A31" s="5">
        <v>43191</v>
      </c>
      <c r="B31" s="6">
        <v>60.653703999999998</v>
      </c>
      <c r="C31" s="6">
        <v>226.829005</v>
      </c>
      <c r="D31" s="6">
        <v>234.30981035849999</v>
      </c>
      <c r="E31" s="7">
        <f t="shared" si="0"/>
        <v>3.7397387140610574</v>
      </c>
      <c r="F31" s="43">
        <f t="shared" si="1"/>
        <v>3863.0750458125362</v>
      </c>
      <c r="G31" s="43">
        <f t="shared" si="2"/>
        <v>1032.9799328727822</v>
      </c>
      <c r="H31" s="27">
        <v>0.39997797059887003</v>
      </c>
      <c r="I31" s="6" t="s">
        <v>1</v>
      </c>
      <c r="J31" s="6" t="s">
        <v>1</v>
      </c>
      <c r="K31" s="6" t="s">
        <v>1</v>
      </c>
      <c r="L31" s="6" t="s">
        <v>1</v>
      </c>
      <c r="M31" s="6" t="s">
        <v>1</v>
      </c>
      <c r="N31" s="6" t="s">
        <v>1</v>
      </c>
      <c r="O31" s="2"/>
      <c r="P31" s="15"/>
      <c r="Q31" s="2"/>
      <c r="R31" s="16"/>
      <c r="S31" s="16"/>
      <c r="T31" s="17"/>
      <c r="U31" s="2"/>
      <c r="V31" s="2"/>
    </row>
    <row r="32" spans="1:22" x14ac:dyDescent="0.35">
      <c r="A32" s="5">
        <v>43221</v>
      </c>
      <c r="B32" s="6">
        <v>60.831201</v>
      </c>
      <c r="C32" s="6">
        <v>227.46016299999999</v>
      </c>
      <c r="D32" s="6">
        <v>235.68481637150001</v>
      </c>
      <c r="E32" s="7">
        <f t="shared" si="0"/>
        <v>3.7392022393245203</v>
      </c>
      <c r="F32" s="43">
        <f t="shared" si="1"/>
        <v>3874.4067599701016</v>
      </c>
      <c r="G32" s="43">
        <f t="shared" si="2"/>
        <v>1036.1586541705767</v>
      </c>
      <c r="H32" s="27">
        <v>0.40074467358744392</v>
      </c>
      <c r="I32" s="6" t="s">
        <v>1</v>
      </c>
      <c r="J32" s="6" t="s">
        <v>1</v>
      </c>
      <c r="K32" s="6" t="s">
        <v>1</v>
      </c>
      <c r="L32" s="6" t="s">
        <v>1</v>
      </c>
      <c r="M32" s="6" t="s">
        <v>1</v>
      </c>
      <c r="N32" s="6" t="s">
        <v>1</v>
      </c>
      <c r="O32" s="2"/>
      <c r="P32" s="15"/>
      <c r="Q32" s="2"/>
      <c r="R32" s="16"/>
      <c r="S32" s="16"/>
      <c r="T32" s="17"/>
      <c r="U32" s="2"/>
      <c r="V32" s="2"/>
    </row>
    <row r="33" spans="1:22" x14ac:dyDescent="0.35">
      <c r="A33" s="5">
        <v>43252</v>
      </c>
      <c r="B33" s="6">
        <v>61.165905000000002</v>
      </c>
      <c r="C33" s="6">
        <v>228.49875800000001</v>
      </c>
      <c r="D33" s="6">
        <v>235.56605982650001</v>
      </c>
      <c r="E33" s="7">
        <f t="shared" si="0"/>
        <v>3.7357210360902857</v>
      </c>
      <c r="F33" s="43">
        <f t="shared" si="1"/>
        <v>3851.2641941045426</v>
      </c>
      <c r="G33" s="43">
        <f t="shared" si="2"/>
        <v>1030.9292789525798</v>
      </c>
      <c r="H33" s="27">
        <v>0.40253437240389106</v>
      </c>
      <c r="I33" s="6" t="s">
        <v>1</v>
      </c>
      <c r="J33" s="6" t="s">
        <v>1</v>
      </c>
      <c r="K33" s="6" t="s">
        <v>1</v>
      </c>
      <c r="L33" s="6" t="s">
        <v>1</v>
      </c>
      <c r="M33" s="6" t="s">
        <v>1</v>
      </c>
      <c r="N33" s="6" t="s">
        <v>1</v>
      </c>
      <c r="O33" s="2"/>
      <c r="P33" s="15"/>
      <c r="Q33" s="2"/>
      <c r="R33" s="16"/>
      <c r="S33" s="16"/>
      <c r="T33" s="17"/>
      <c r="U33" s="2"/>
      <c r="V33" s="2"/>
    </row>
    <row r="34" spans="1:22" x14ac:dyDescent="0.35">
      <c r="A34" s="5">
        <v>43282</v>
      </c>
      <c r="B34" s="6">
        <v>61.001421999999998</v>
      </c>
      <c r="C34" s="6">
        <v>227.10589200000001</v>
      </c>
      <c r="D34" s="6">
        <v>235.10754001500001</v>
      </c>
      <c r="E34" s="7">
        <f t="shared" si="0"/>
        <v>3.7229606221310712</v>
      </c>
      <c r="F34" s="43">
        <f t="shared" si="1"/>
        <v>3854.1321219528295</v>
      </c>
      <c r="G34" s="43">
        <f t="shared" si="2"/>
        <v>1035.2331150219563</v>
      </c>
      <c r="H34" s="27">
        <v>0.40104742117328579</v>
      </c>
      <c r="I34" s="6" t="s">
        <v>1</v>
      </c>
      <c r="J34" s="6" t="s">
        <v>1</v>
      </c>
      <c r="K34" s="6" t="s">
        <v>1</v>
      </c>
      <c r="L34" s="6" t="s">
        <v>1</v>
      </c>
      <c r="M34" s="6" t="s">
        <v>1</v>
      </c>
      <c r="N34" s="6" t="s">
        <v>1</v>
      </c>
      <c r="O34" s="2"/>
      <c r="P34" s="15"/>
      <c r="Q34" s="2"/>
      <c r="R34" s="16"/>
      <c r="S34" s="16"/>
      <c r="T34" s="17"/>
      <c r="U34" s="2"/>
      <c r="V34" s="2"/>
    </row>
    <row r="35" spans="1:22" x14ac:dyDescent="0.35">
      <c r="A35" s="5">
        <v>43313</v>
      </c>
      <c r="B35" s="6">
        <v>61.043062999999997</v>
      </c>
      <c r="C35" s="6">
        <v>228.60298700000001</v>
      </c>
      <c r="D35" s="6">
        <v>237.69387536950001</v>
      </c>
      <c r="E35" s="7">
        <f t="shared" ref="E35:E43" si="3">C35/B35</f>
        <v>3.7449462029780523</v>
      </c>
      <c r="F35" s="43">
        <f t="shared" ref="F35:F43" si="4">1000*D35/B35</f>
        <v>3893.8720255485873</v>
      </c>
      <c r="G35" s="43">
        <f t="shared" ref="G35:G43" si="5">F35/E35</f>
        <v>1039.7671460412719</v>
      </c>
      <c r="H35" s="27">
        <v>0.40091060653732591</v>
      </c>
      <c r="I35" s="6" t="s">
        <v>1</v>
      </c>
      <c r="J35" s="6" t="s">
        <v>1</v>
      </c>
      <c r="K35" s="6" t="s">
        <v>1</v>
      </c>
      <c r="L35" s="6" t="s">
        <v>1</v>
      </c>
      <c r="M35" s="6" t="s">
        <v>1</v>
      </c>
      <c r="N35" s="6" t="s">
        <v>1</v>
      </c>
      <c r="O35" s="2"/>
      <c r="P35" s="15"/>
      <c r="Q35" s="2"/>
      <c r="R35" s="16"/>
      <c r="S35" s="16"/>
      <c r="T35" s="17"/>
      <c r="U35" s="2"/>
      <c r="V35" s="2"/>
    </row>
    <row r="36" spans="1:22" x14ac:dyDescent="0.35">
      <c r="A36" s="5">
        <v>43344</v>
      </c>
      <c r="B36" s="6">
        <v>60.945824000000002</v>
      </c>
      <c r="C36" s="6">
        <v>227.727608</v>
      </c>
      <c r="D36" s="6">
        <v>238.014869452</v>
      </c>
      <c r="E36" s="7">
        <f t="shared" si="3"/>
        <v>3.7365580289799674</v>
      </c>
      <c r="F36" s="43">
        <f t="shared" si="4"/>
        <v>3905.3515701420333</v>
      </c>
      <c r="G36" s="43">
        <f t="shared" si="5"/>
        <v>1045.1735366754478</v>
      </c>
      <c r="H36" s="27">
        <v>0.3998757921880442</v>
      </c>
      <c r="I36" s="6" t="s">
        <v>1</v>
      </c>
      <c r="J36" s="6" t="s">
        <v>1</v>
      </c>
      <c r="K36" s="6" t="s">
        <v>1</v>
      </c>
      <c r="L36" s="6" t="s">
        <v>1</v>
      </c>
      <c r="M36" s="6" t="s">
        <v>1</v>
      </c>
      <c r="N36" s="6" t="s">
        <v>1</v>
      </c>
      <c r="O36" s="2"/>
      <c r="P36" s="15"/>
      <c r="Q36" s="2"/>
      <c r="R36" s="16"/>
      <c r="S36" s="16"/>
      <c r="T36" s="17"/>
      <c r="U36" s="2"/>
      <c r="V36" s="2"/>
    </row>
    <row r="37" spans="1:22" x14ac:dyDescent="0.35">
      <c r="A37" s="5">
        <v>43374</v>
      </c>
      <c r="B37" s="6">
        <v>61.772393999999998</v>
      </c>
      <c r="C37" s="6">
        <v>230.57298399999999</v>
      </c>
      <c r="D37" s="6">
        <v>239.05078839699999</v>
      </c>
      <c r="E37" s="7">
        <f t="shared" si="3"/>
        <v>3.7326217921876235</v>
      </c>
      <c r="F37" s="43">
        <f t="shared" si="4"/>
        <v>3869.864399249283</v>
      </c>
      <c r="G37" s="43">
        <f t="shared" si="5"/>
        <v>1036.7684203497147</v>
      </c>
      <c r="H37" s="27">
        <v>0.40486414839178536</v>
      </c>
      <c r="I37" s="6" t="s">
        <v>1</v>
      </c>
      <c r="J37" s="6" t="s">
        <v>1</v>
      </c>
      <c r="K37" s="6" t="s">
        <v>1</v>
      </c>
      <c r="L37" s="6" t="s">
        <v>1</v>
      </c>
      <c r="M37" s="6" t="s">
        <v>1</v>
      </c>
      <c r="N37" s="6" t="s">
        <v>1</v>
      </c>
      <c r="O37" s="2"/>
      <c r="P37" s="15"/>
      <c r="Q37" s="2"/>
      <c r="R37" s="16"/>
      <c r="S37" s="16"/>
      <c r="T37" s="17"/>
      <c r="U37" s="2"/>
      <c r="V37" s="2"/>
    </row>
    <row r="38" spans="1:22" x14ac:dyDescent="0.35">
      <c r="A38" s="5">
        <v>43405</v>
      </c>
      <c r="B38" s="6">
        <v>62.664921999999997</v>
      </c>
      <c r="C38" s="6">
        <v>234.43580900000001</v>
      </c>
      <c r="D38" s="6">
        <v>250.36190370099999</v>
      </c>
      <c r="E38" s="7">
        <f t="shared" si="3"/>
        <v>3.7411011059744079</v>
      </c>
      <c r="F38" s="43">
        <f t="shared" si="4"/>
        <v>3995.2479905903342</v>
      </c>
      <c r="G38" s="43">
        <f t="shared" si="5"/>
        <v>1067.9337118716367</v>
      </c>
      <c r="H38" s="27">
        <v>0.41025999943368413</v>
      </c>
      <c r="I38" s="6" t="s">
        <v>1</v>
      </c>
      <c r="J38" s="6" t="s">
        <v>1</v>
      </c>
      <c r="K38" s="6" t="s">
        <v>1</v>
      </c>
      <c r="L38" s="6" t="s">
        <v>1</v>
      </c>
      <c r="M38" s="6" t="s">
        <v>1</v>
      </c>
      <c r="N38" s="6" t="s">
        <v>1</v>
      </c>
      <c r="O38" s="2"/>
      <c r="P38" s="15"/>
      <c r="Q38" s="2"/>
      <c r="R38" s="16"/>
      <c r="S38" s="16"/>
      <c r="T38" s="17"/>
      <c r="U38" s="2"/>
      <c r="V38" s="2"/>
    </row>
    <row r="39" spans="1:22" ht="15" thickBot="1" x14ac:dyDescent="0.4">
      <c r="A39" s="12">
        <v>43435</v>
      </c>
      <c r="B39" s="13">
        <v>62.473340999999998</v>
      </c>
      <c r="C39" s="13">
        <v>233.32314199999999</v>
      </c>
      <c r="D39" s="13">
        <v>246.21291251599999</v>
      </c>
      <c r="E39" s="14">
        <f t="shared" si="3"/>
        <v>3.7347633128825302</v>
      </c>
      <c r="F39" s="46">
        <f t="shared" si="4"/>
        <v>3941.0876475455343</v>
      </c>
      <c r="G39" s="46">
        <f t="shared" si="5"/>
        <v>1055.2442865525957</v>
      </c>
      <c r="H39" s="28">
        <v>0.40858903663821167</v>
      </c>
      <c r="I39" s="13" t="s">
        <v>1</v>
      </c>
      <c r="J39" s="13" t="s">
        <v>1</v>
      </c>
      <c r="K39" s="13" t="s">
        <v>1</v>
      </c>
      <c r="L39" s="13" t="s">
        <v>1</v>
      </c>
      <c r="M39" s="13" t="s">
        <v>1</v>
      </c>
      <c r="N39" s="13" t="s">
        <v>1</v>
      </c>
      <c r="O39" s="2"/>
      <c r="P39" s="2"/>
      <c r="Q39" s="2"/>
      <c r="R39" s="16"/>
      <c r="S39" s="16"/>
      <c r="T39" s="17"/>
      <c r="U39" s="2"/>
      <c r="V39" s="2"/>
    </row>
    <row r="40" spans="1:22" x14ac:dyDescent="0.35">
      <c r="A40" s="3">
        <v>43466</v>
      </c>
      <c r="B40" s="4">
        <v>62.176389</v>
      </c>
      <c r="C40" s="4">
        <v>229.19332399999999</v>
      </c>
      <c r="D40" s="4">
        <v>244.12878483150001</v>
      </c>
      <c r="E40" s="11">
        <f t="shared" si="3"/>
        <v>3.6861793952041824</v>
      </c>
      <c r="F40" s="45">
        <f t="shared" si="4"/>
        <v>3926.3905279462274</v>
      </c>
      <c r="G40" s="45">
        <f t="shared" si="5"/>
        <v>1065.1653397701061</v>
      </c>
      <c r="H40" s="26">
        <v>0.40622983238440158</v>
      </c>
      <c r="I40" s="4">
        <v>30.596152</v>
      </c>
      <c r="J40" s="4">
        <v>31.580237</v>
      </c>
      <c r="K40" s="40">
        <v>8.6322749999999999</v>
      </c>
      <c r="L40" s="40">
        <v>23.417263999999999</v>
      </c>
      <c r="M40" s="40">
        <v>20.936872000000001</v>
      </c>
      <c r="N40" s="40">
        <v>9.189978</v>
      </c>
      <c r="O40" s="2"/>
      <c r="P40" s="15"/>
      <c r="Q40" s="15"/>
      <c r="R40" s="16"/>
      <c r="S40" s="16"/>
      <c r="T40" s="17"/>
      <c r="U40" s="2"/>
      <c r="V40" s="2"/>
    </row>
    <row r="41" spans="1:22" x14ac:dyDescent="0.35">
      <c r="A41" s="5">
        <v>43497</v>
      </c>
      <c r="B41" s="6">
        <v>62.172902999999998</v>
      </c>
      <c r="C41" s="6">
        <v>228.612706</v>
      </c>
      <c r="D41" s="6">
        <v>243.23215786</v>
      </c>
      <c r="E41" s="7">
        <f t="shared" si="3"/>
        <v>3.6770473143259856</v>
      </c>
      <c r="F41" s="43">
        <f t="shared" si="4"/>
        <v>3912.1891712214247</v>
      </c>
      <c r="G41" s="43">
        <f t="shared" si="5"/>
        <v>1063.9485534981595</v>
      </c>
      <c r="H41" s="27">
        <v>0.40574887443389401</v>
      </c>
      <c r="I41" s="6">
        <v>30.605162</v>
      </c>
      <c r="J41" s="6">
        <v>31.567741000000002</v>
      </c>
      <c r="K41" s="41">
        <v>8.5842120000000008</v>
      </c>
      <c r="L41" s="41">
        <v>23.391393999999998</v>
      </c>
      <c r="M41" s="41">
        <v>20.977381999999999</v>
      </c>
      <c r="N41" s="41">
        <v>9.2199150000000003</v>
      </c>
      <c r="O41" s="2"/>
      <c r="P41" s="15"/>
      <c r="Q41" s="15"/>
      <c r="R41" s="16"/>
      <c r="S41" s="16"/>
      <c r="T41" s="17"/>
      <c r="U41" s="2"/>
      <c r="V41" s="2"/>
    </row>
    <row r="42" spans="1:22" x14ac:dyDescent="0.35">
      <c r="A42" s="5">
        <v>43525</v>
      </c>
      <c r="B42" s="6">
        <v>62.960081000000002</v>
      </c>
      <c r="C42" s="6">
        <v>231.16342599999999</v>
      </c>
      <c r="D42" s="6">
        <v>248.6806031225</v>
      </c>
      <c r="E42" s="7">
        <f t="shared" si="3"/>
        <v>3.6715871760076038</v>
      </c>
      <c r="F42" s="43">
        <f t="shared" si="4"/>
        <v>3949.813900692091</v>
      </c>
      <c r="G42" s="43">
        <f t="shared" si="5"/>
        <v>1075.7783245629005</v>
      </c>
      <c r="H42" s="27">
        <v>0.41034175631052855</v>
      </c>
      <c r="I42" s="6">
        <v>30.994634999999999</v>
      </c>
      <c r="J42" s="6">
        <v>31.965446</v>
      </c>
      <c r="K42" s="41">
        <v>8.6473580000000005</v>
      </c>
      <c r="L42" s="41">
        <v>23.619361999999999</v>
      </c>
      <c r="M42" s="41">
        <v>21.298095</v>
      </c>
      <c r="N42" s="41">
        <v>9.3952659999999995</v>
      </c>
      <c r="O42" s="2"/>
      <c r="P42" s="15"/>
      <c r="Q42" s="15"/>
      <c r="R42" s="16"/>
      <c r="S42" s="16"/>
      <c r="T42" s="17"/>
      <c r="U42" s="2"/>
      <c r="V42" s="2"/>
    </row>
    <row r="43" spans="1:22" x14ac:dyDescent="0.35">
      <c r="A43" s="5">
        <v>43556</v>
      </c>
      <c r="B43" s="6">
        <v>63.205404000000001</v>
      </c>
      <c r="C43" s="6">
        <v>229.59013300000001</v>
      </c>
      <c r="D43" s="6">
        <v>247.92446906399999</v>
      </c>
      <c r="E43" s="7">
        <f t="shared" si="3"/>
        <v>3.6324446719777317</v>
      </c>
      <c r="F43" s="43">
        <f t="shared" si="4"/>
        <v>3922.5201228679748</v>
      </c>
      <c r="G43" s="43">
        <f t="shared" si="5"/>
        <v>1079.856811895309</v>
      </c>
      <c r="H43" s="27">
        <v>0.41119737397609923</v>
      </c>
      <c r="I43" s="6">
        <v>31.121997</v>
      </c>
      <c r="J43" s="6">
        <v>32.083407000000001</v>
      </c>
      <c r="K43" s="41">
        <v>8.6237329999999996</v>
      </c>
      <c r="L43" s="41">
        <v>23.653625000000002</v>
      </c>
      <c r="M43" s="41">
        <v>21.405728</v>
      </c>
      <c r="N43" s="41">
        <v>9.5223180000000003</v>
      </c>
      <c r="O43" s="2"/>
      <c r="P43" s="15"/>
      <c r="Q43" s="15"/>
      <c r="R43" s="16"/>
      <c r="S43" s="16"/>
      <c r="T43" s="17"/>
      <c r="U43" s="2"/>
      <c r="V43" s="2"/>
    </row>
    <row r="44" spans="1:22" x14ac:dyDescent="0.35">
      <c r="A44" s="5">
        <v>43586</v>
      </c>
      <c r="B44" s="6">
        <v>63.374619000000003</v>
      </c>
      <c r="C44" s="6">
        <v>230.03009299999999</v>
      </c>
      <c r="D44" s="6">
        <v>250.721397067</v>
      </c>
      <c r="E44" s="7">
        <f t="shared" ref="E44:E50" si="6">C44/B44</f>
        <v>3.629687982818484</v>
      </c>
      <c r="F44" s="43">
        <f t="shared" ref="F44:F50" si="7">1000*D44/B44</f>
        <v>3956.1799506360735</v>
      </c>
      <c r="G44" s="43">
        <f t="shared" ref="G44:G50" si="8">F44/E44</f>
        <v>1089.9504225605822</v>
      </c>
      <c r="H44" s="27">
        <v>0.40905531289887853</v>
      </c>
      <c r="I44" s="6">
        <v>31.206887999999999</v>
      </c>
      <c r="J44" s="6">
        <v>32.167731000000003</v>
      </c>
      <c r="K44" s="41">
        <v>8.5912690000000005</v>
      </c>
      <c r="L44" s="41">
        <v>23.673098</v>
      </c>
      <c r="M44" s="41">
        <v>21.495635</v>
      </c>
      <c r="N44" s="41">
        <v>9.6146170000000009</v>
      </c>
      <c r="O44" s="2"/>
      <c r="P44" s="15"/>
      <c r="Q44" s="15"/>
      <c r="R44" s="16"/>
      <c r="S44" s="16"/>
      <c r="T44" s="17"/>
      <c r="U44" s="2"/>
      <c r="V44" s="2"/>
    </row>
    <row r="45" spans="1:22" x14ac:dyDescent="0.35">
      <c r="A45" s="5">
        <v>43617</v>
      </c>
      <c r="B45" s="6">
        <v>63.450581</v>
      </c>
      <c r="C45" s="6">
        <v>229.53571099999999</v>
      </c>
      <c r="D45" s="6">
        <v>251.78629018749999</v>
      </c>
      <c r="E45" s="7">
        <f t="shared" si="6"/>
        <v>3.6175509724646964</v>
      </c>
      <c r="F45" s="43">
        <f t="shared" si="7"/>
        <v>3968.2267083968859</v>
      </c>
      <c r="G45" s="43">
        <f t="shared" si="8"/>
        <v>1096.9373309737412</v>
      </c>
      <c r="H45" s="27">
        <v>0.4123367736198536</v>
      </c>
      <c r="I45" s="6">
        <v>31.238109000000001</v>
      </c>
      <c r="J45" s="6">
        <v>32.212471999999998</v>
      </c>
      <c r="K45" s="41">
        <v>8.5898620000000001</v>
      </c>
      <c r="L45" s="41">
        <v>23.699304000000001</v>
      </c>
      <c r="M45" s="41">
        <v>21.531008</v>
      </c>
      <c r="N45" s="41">
        <v>9.6304069999999999</v>
      </c>
      <c r="O45" s="2"/>
      <c r="P45" s="15"/>
      <c r="Q45" s="15"/>
      <c r="R45" s="16"/>
      <c r="S45" s="16"/>
      <c r="T45" s="17"/>
      <c r="U45" s="2"/>
      <c r="V45" s="2"/>
    </row>
    <row r="46" spans="1:22" x14ac:dyDescent="0.35">
      <c r="A46" s="5">
        <v>43647</v>
      </c>
      <c r="B46" s="6">
        <v>63.463368000000003</v>
      </c>
      <c r="C46" s="6">
        <v>228.92486400000001</v>
      </c>
      <c r="D46" s="6">
        <v>252.093118164</v>
      </c>
      <c r="E46" s="7">
        <f t="shared" si="6"/>
        <v>3.6071968950655124</v>
      </c>
      <c r="F46" s="43">
        <f t="shared" si="7"/>
        <v>3972.2618907335645</v>
      </c>
      <c r="G46" s="43">
        <f t="shared" si="8"/>
        <v>1101.2046212856983</v>
      </c>
      <c r="H46" s="27">
        <v>0.4114939215828361</v>
      </c>
      <c r="I46" s="6">
        <v>31.253575000000001</v>
      </c>
      <c r="J46" s="6">
        <v>32.209792999999998</v>
      </c>
      <c r="K46" s="41">
        <v>8.5825180000000003</v>
      </c>
      <c r="L46" s="41">
        <v>23.665292999999998</v>
      </c>
      <c r="M46" s="41">
        <v>21.548089999999998</v>
      </c>
      <c r="N46" s="41">
        <v>9.6674670000000003</v>
      </c>
      <c r="O46" s="2"/>
      <c r="P46" s="15"/>
      <c r="Q46" s="15"/>
      <c r="R46" s="16"/>
      <c r="S46" s="16"/>
      <c r="T46" s="17"/>
      <c r="U46" s="2"/>
      <c r="V46" s="2"/>
    </row>
    <row r="47" spans="1:22" x14ac:dyDescent="0.35">
      <c r="A47" s="5">
        <v>43678</v>
      </c>
      <c r="B47" s="6">
        <v>63.427939000000002</v>
      </c>
      <c r="C47" s="6">
        <v>229.16912600000001</v>
      </c>
      <c r="D47" s="6">
        <v>256.16655027500002</v>
      </c>
      <c r="E47" s="7">
        <f t="shared" si="6"/>
        <v>3.6130627861012479</v>
      </c>
      <c r="F47" s="43">
        <f t="shared" si="7"/>
        <v>4038.7020974305979</v>
      </c>
      <c r="G47" s="43">
        <f t="shared" si="8"/>
        <v>1117.8056780432109</v>
      </c>
      <c r="H47" s="27">
        <v>0.41084098793245089</v>
      </c>
      <c r="I47" s="6">
        <v>31.212792</v>
      </c>
      <c r="J47" s="6">
        <v>32.215147000000002</v>
      </c>
      <c r="K47" s="41">
        <v>8.5312470000000005</v>
      </c>
      <c r="L47" s="41">
        <v>23.636213000000001</v>
      </c>
      <c r="M47" s="41">
        <v>21.578071999999999</v>
      </c>
      <c r="N47" s="41">
        <v>9.6824069999999995</v>
      </c>
      <c r="O47" s="2"/>
      <c r="P47" s="15"/>
      <c r="Q47" s="15"/>
      <c r="R47" s="16"/>
      <c r="S47" s="16"/>
      <c r="T47" s="17"/>
      <c r="U47" s="2"/>
      <c r="V47" s="2"/>
    </row>
    <row r="48" spans="1:22" x14ac:dyDescent="0.35">
      <c r="A48" s="5">
        <v>43709</v>
      </c>
      <c r="B48" s="6">
        <v>63.206609</v>
      </c>
      <c r="C48" s="6">
        <v>226.26363699999999</v>
      </c>
      <c r="D48" s="6">
        <v>252.686649351</v>
      </c>
      <c r="E48" s="7">
        <f t="shared" si="6"/>
        <v>3.5797464945477455</v>
      </c>
      <c r="F48" s="43">
        <f t="shared" si="7"/>
        <v>3997.7884172049162</v>
      </c>
      <c r="G48" s="43">
        <f t="shared" si="8"/>
        <v>1116.7797561346547</v>
      </c>
      <c r="H48" s="27">
        <v>0.40902571919700415</v>
      </c>
      <c r="I48" s="6">
        <v>31.065532000000001</v>
      </c>
      <c r="J48" s="6">
        <v>32.141077000000003</v>
      </c>
      <c r="K48" s="41">
        <v>8.4617609999999992</v>
      </c>
      <c r="L48" s="41">
        <v>23.563721000000001</v>
      </c>
      <c r="M48" s="41">
        <v>21.542808999999998</v>
      </c>
      <c r="N48" s="41">
        <v>9.6383179999999999</v>
      </c>
      <c r="O48" s="2"/>
      <c r="P48" s="15"/>
      <c r="Q48" s="15"/>
      <c r="R48" s="2"/>
      <c r="S48" s="19"/>
      <c r="T48" s="2"/>
      <c r="U48" s="2"/>
      <c r="V48" s="2"/>
    </row>
    <row r="49" spans="1:22" x14ac:dyDescent="0.35">
      <c r="A49" s="5">
        <v>43739</v>
      </c>
      <c r="B49" s="6">
        <v>63.851410000000001</v>
      </c>
      <c r="C49" s="6">
        <v>228.227743</v>
      </c>
      <c r="D49" s="6">
        <v>254.94453453049999</v>
      </c>
      <c r="E49" s="7">
        <f t="shared" si="6"/>
        <v>3.574357136357678</v>
      </c>
      <c r="F49" s="43">
        <f t="shared" si="7"/>
        <v>3992.7784606557625</v>
      </c>
      <c r="G49" s="43">
        <f t="shared" si="8"/>
        <v>1117.061980192741</v>
      </c>
      <c r="H49" s="27">
        <v>0.41281316617991132</v>
      </c>
      <c r="I49" s="6">
        <v>31.390097999999998</v>
      </c>
      <c r="J49" s="6">
        <v>32.461312</v>
      </c>
      <c r="K49" s="41">
        <v>8.5648210000000002</v>
      </c>
      <c r="L49" s="41">
        <v>23.714483999999999</v>
      </c>
      <c r="M49" s="41">
        <v>21.765564999999999</v>
      </c>
      <c r="N49" s="41">
        <v>9.80654</v>
      </c>
      <c r="O49" s="2"/>
      <c r="P49" s="15"/>
      <c r="Q49" s="15"/>
      <c r="R49" s="2"/>
      <c r="S49" s="19"/>
      <c r="T49" s="2"/>
      <c r="U49" s="2"/>
      <c r="V49" s="2"/>
    </row>
    <row r="50" spans="1:22" x14ac:dyDescent="0.35">
      <c r="A50" s="5">
        <v>43770</v>
      </c>
      <c r="B50" s="6">
        <v>63.840967999999997</v>
      </c>
      <c r="C50" s="6">
        <v>226.600131</v>
      </c>
      <c r="D50" s="6">
        <v>256.27119685650001</v>
      </c>
      <c r="E50" s="7">
        <f t="shared" si="6"/>
        <v>3.549446978936786</v>
      </c>
      <c r="F50" s="43">
        <f t="shared" si="7"/>
        <v>4014.2122665887523</v>
      </c>
      <c r="G50" s="43">
        <f t="shared" si="8"/>
        <v>1130.940197278615</v>
      </c>
      <c r="H50" s="27">
        <v>0.41236080038560319</v>
      </c>
      <c r="I50" s="6">
        <v>31.427759000000002</v>
      </c>
      <c r="J50" s="6">
        <v>32.413209000000002</v>
      </c>
      <c r="K50" s="41">
        <v>8.5621489999999998</v>
      </c>
      <c r="L50" s="41">
        <v>23.641386000000001</v>
      </c>
      <c r="M50" s="41">
        <v>21.794937999999998</v>
      </c>
      <c r="N50" s="41">
        <v>9.8424949999999995</v>
      </c>
      <c r="O50" s="2"/>
      <c r="P50" s="15"/>
      <c r="Q50" s="15"/>
      <c r="R50" s="2"/>
      <c r="S50" s="2"/>
      <c r="T50" s="2"/>
      <c r="U50" s="2"/>
      <c r="V50" s="2"/>
    </row>
    <row r="51" spans="1:22" ht="15" thickBot="1" x14ac:dyDescent="0.4">
      <c r="A51" s="12">
        <v>43800</v>
      </c>
      <c r="B51" s="13">
        <v>63.307343000000003</v>
      </c>
      <c r="C51" s="13">
        <v>224.841533</v>
      </c>
      <c r="D51" s="13">
        <v>255.91062615149997</v>
      </c>
      <c r="E51" s="14">
        <f t="shared" ref="E51:E61" si="9">C51/B51</f>
        <v>3.5515869462409753</v>
      </c>
      <c r="F51" s="46">
        <f t="shared" ref="F51:F58" si="10">1000*D51/B51</f>
        <v>4042.3529724111145</v>
      </c>
      <c r="G51" s="46">
        <f t="shared" ref="G51:G58" si="11">F51/E51</f>
        <v>1138.1821798533101</v>
      </c>
      <c r="H51" s="28">
        <v>0.40853268749720578</v>
      </c>
      <c r="I51" s="13">
        <v>31.084271000000001</v>
      </c>
      <c r="J51" s="13">
        <v>32.223072000000002</v>
      </c>
      <c r="K51" s="42">
        <v>8.4655360000000002</v>
      </c>
      <c r="L51" s="42">
        <v>23.396888000000001</v>
      </c>
      <c r="M51" s="42">
        <v>21.655504000000001</v>
      </c>
      <c r="N51" s="42">
        <v>9.789415</v>
      </c>
      <c r="O51" s="2"/>
      <c r="P51" s="15"/>
      <c r="Q51" s="15"/>
      <c r="R51" s="2"/>
      <c r="S51" s="2"/>
      <c r="T51" s="2"/>
      <c r="U51" s="2"/>
      <c r="V51" s="2"/>
    </row>
    <row r="52" spans="1:22" x14ac:dyDescent="0.35">
      <c r="A52" s="3">
        <v>43831</v>
      </c>
      <c r="B52" s="4">
        <v>63.782359999999997</v>
      </c>
      <c r="C52" s="4">
        <v>226.93625800000001</v>
      </c>
      <c r="D52" s="4">
        <v>258.11509000000001</v>
      </c>
      <c r="E52" s="11">
        <f t="shared" si="9"/>
        <v>3.5579783814835326</v>
      </c>
      <c r="F52" s="45">
        <f t="shared" si="10"/>
        <v>4046.8099643851374</v>
      </c>
      <c r="G52" s="45">
        <f t="shared" si="11"/>
        <v>1137.3902622471196</v>
      </c>
      <c r="H52" s="26">
        <v>0.41121417575729269</v>
      </c>
      <c r="I52" s="4">
        <v>31.354361999999998</v>
      </c>
      <c r="J52" s="4">
        <v>32.427998000000002</v>
      </c>
      <c r="K52" s="40">
        <v>8.5629170000000006</v>
      </c>
      <c r="L52" s="40">
        <v>23.513072000000001</v>
      </c>
      <c r="M52" s="40">
        <v>21.802344000000002</v>
      </c>
      <c r="N52" s="40">
        <v>9.9040269999999992</v>
      </c>
      <c r="O52" s="2"/>
      <c r="P52" s="15"/>
      <c r="Q52" s="15"/>
      <c r="R52" s="2"/>
      <c r="S52" s="2"/>
      <c r="T52" s="2"/>
      <c r="U52" s="2"/>
      <c r="V52" s="2"/>
    </row>
    <row r="53" spans="1:22" x14ac:dyDescent="0.35">
      <c r="A53" s="5">
        <v>43862</v>
      </c>
      <c r="B53" s="6">
        <v>63.889695000000003</v>
      </c>
      <c r="C53" s="6">
        <v>225.81388899999999</v>
      </c>
      <c r="D53" s="6">
        <v>255.07708128760501</v>
      </c>
      <c r="E53" s="7">
        <f t="shared" si="9"/>
        <v>3.5344336672760761</v>
      </c>
      <c r="F53" s="43">
        <f t="shared" si="10"/>
        <v>3992.4604631091916</v>
      </c>
      <c r="G53" s="43">
        <f t="shared" si="11"/>
        <v>1129.589868972165</v>
      </c>
      <c r="H53" s="27">
        <v>0.4115219494739969</v>
      </c>
      <c r="I53" s="6">
        <v>31.564218</v>
      </c>
      <c r="J53" s="6">
        <v>32.325476999999999</v>
      </c>
      <c r="K53" s="41">
        <v>8.6208559999999999</v>
      </c>
      <c r="L53" s="41">
        <v>23.570854000000001</v>
      </c>
      <c r="M53" s="41">
        <v>21.829795000000001</v>
      </c>
      <c r="N53" s="41">
        <v>9.8681900000000002</v>
      </c>
      <c r="O53" s="2"/>
      <c r="P53" s="15"/>
      <c r="Q53" s="15"/>
      <c r="R53" s="19"/>
      <c r="S53" s="19"/>
      <c r="T53" s="2"/>
      <c r="U53" s="2"/>
      <c r="V53" s="2"/>
    </row>
    <row r="54" spans="1:22" x14ac:dyDescent="0.35">
      <c r="A54" s="5">
        <v>43891</v>
      </c>
      <c r="B54" s="6">
        <v>64.812645000000003</v>
      </c>
      <c r="C54" s="6">
        <v>227.65176299999999</v>
      </c>
      <c r="D54" s="6">
        <v>258.749816954349</v>
      </c>
      <c r="E54" s="7">
        <f t="shared" si="9"/>
        <v>3.5124590733798935</v>
      </c>
      <c r="F54" s="43">
        <f t="shared" si="10"/>
        <v>3992.273682926364</v>
      </c>
      <c r="G54" s="43">
        <f t="shared" si="11"/>
        <v>1136.6036157354467</v>
      </c>
      <c r="H54" s="27">
        <v>0.4170773347584642</v>
      </c>
      <c r="I54" s="6">
        <v>32.252578999999997</v>
      </c>
      <c r="J54" s="6">
        <v>32.560065999999999</v>
      </c>
      <c r="K54" s="41">
        <v>8.5689290000000007</v>
      </c>
      <c r="L54" s="41">
        <v>23.783338000000001</v>
      </c>
      <c r="M54" s="41">
        <v>22.297063999999999</v>
      </c>
      <c r="N54" s="41">
        <v>10.163314</v>
      </c>
      <c r="O54" s="2"/>
      <c r="P54" s="15"/>
      <c r="Q54" s="15"/>
      <c r="R54" s="20"/>
      <c r="S54" s="2"/>
      <c r="T54" s="19"/>
      <c r="U54" s="2"/>
      <c r="V54" s="2"/>
    </row>
    <row r="55" spans="1:22" x14ac:dyDescent="0.35">
      <c r="A55" s="5">
        <v>43922</v>
      </c>
      <c r="B55" s="6">
        <v>65.908612000000005</v>
      </c>
      <c r="C55" s="6">
        <v>229.267044</v>
      </c>
      <c r="D55" s="6">
        <v>258.22697026960901</v>
      </c>
      <c r="E55" s="7">
        <f t="shared" si="9"/>
        <v>3.478559736624403</v>
      </c>
      <c r="F55" s="43">
        <f t="shared" si="10"/>
        <v>3917.954914140947</v>
      </c>
      <c r="G55" s="43">
        <f t="shared" si="11"/>
        <v>1126.3152599883001</v>
      </c>
      <c r="H55" s="27">
        <v>0.42373429825148989</v>
      </c>
      <c r="I55" s="6">
        <v>32.904406000000002</v>
      </c>
      <c r="J55" s="6">
        <v>33.004206000000003</v>
      </c>
      <c r="K55" s="41">
        <v>8.6215290000000007</v>
      </c>
      <c r="L55" s="41">
        <v>23.984043</v>
      </c>
      <c r="M55" s="41">
        <v>22.793208</v>
      </c>
      <c r="N55" s="41">
        <v>10.509831999999999</v>
      </c>
      <c r="O55" s="2"/>
      <c r="P55" s="15"/>
      <c r="Q55" s="15"/>
      <c r="R55" s="2"/>
      <c r="S55" s="2"/>
      <c r="T55" s="2"/>
      <c r="U55" s="2"/>
      <c r="V55" s="2"/>
    </row>
    <row r="56" spans="1:22" x14ac:dyDescent="0.35">
      <c r="A56" s="5">
        <v>43952</v>
      </c>
      <c r="B56" s="6">
        <v>65.231943000000001</v>
      </c>
      <c r="C56" s="6">
        <v>225.89057500000001</v>
      </c>
      <c r="D56" s="6">
        <v>253.091587964979</v>
      </c>
      <c r="E56" s="7">
        <f t="shared" si="9"/>
        <v>3.4628828241403142</v>
      </c>
      <c r="F56" s="43">
        <f t="shared" si="10"/>
        <v>3879.8719818138638</v>
      </c>
      <c r="G56" s="43">
        <f t="shared" si="11"/>
        <v>1120.4167680080454</v>
      </c>
      <c r="H56" s="27">
        <v>0.41899256441060867</v>
      </c>
      <c r="I56" s="6">
        <v>32.506737000000001</v>
      </c>
      <c r="J56" s="6">
        <v>32.725206</v>
      </c>
      <c r="K56" s="41">
        <v>8.4569019999999995</v>
      </c>
      <c r="L56" s="41">
        <v>23.709340999999998</v>
      </c>
      <c r="M56" s="41">
        <v>22.623788999999999</v>
      </c>
      <c r="N56" s="41">
        <v>10.441910999999999</v>
      </c>
      <c r="O56" s="2"/>
      <c r="P56" s="15"/>
      <c r="Q56" s="15"/>
      <c r="R56" s="2"/>
      <c r="S56" s="2"/>
      <c r="T56" s="2"/>
      <c r="U56" s="2"/>
      <c r="V56" s="2"/>
    </row>
    <row r="57" spans="1:22" x14ac:dyDescent="0.35">
      <c r="A57" s="5">
        <v>43983</v>
      </c>
      <c r="B57" s="6">
        <v>64.000691000000003</v>
      </c>
      <c r="C57" s="6">
        <v>221.91197700000001</v>
      </c>
      <c r="D57" s="6">
        <v>248.878757499139</v>
      </c>
      <c r="E57" s="7">
        <f t="shared" si="9"/>
        <v>3.467337204218623</v>
      </c>
      <c r="F57" s="43">
        <f t="shared" si="10"/>
        <v>3888.6886002393157</v>
      </c>
      <c r="G57" s="43">
        <f t="shared" si="11"/>
        <v>1121.520166976562</v>
      </c>
      <c r="H57" s="27">
        <v>0.4103170584410713</v>
      </c>
      <c r="I57" s="6">
        <v>31.899055000000001</v>
      </c>
      <c r="J57" s="6">
        <v>32.101635999999999</v>
      </c>
      <c r="K57" s="41">
        <v>8.2320270000000004</v>
      </c>
      <c r="L57" s="41">
        <v>23.252324999999999</v>
      </c>
      <c r="M57" s="41">
        <v>22.218854</v>
      </c>
      <c r="N57" s="41">
        <v>10.297485</v>
      </c>
      <c r="O57" s="2"/>
      <c r="P57" s="15"/>
      <c r="Q57" s="15"/>
      <c r="R57" s="2"/>
      <c r="S57" s="2"/>
      <c r="T57" s="2"/>
      <c r="U57" s="2"/>
      <c r="V57" s="2"/>
    </row>
    <row r="58" spans="1:22" x14ac:dyDescent="0.35">
      <c r="A58" s="5">
        <v>44013</v>
      </c>
      <c r="B58" s="6">
        <v>63.503126999999999</v>
      </c>
      <c r="C58" s="6">
        <v>220.16563600000001</v>
      </c>
      <c r="D58" s="6">
        <v>251.294733264961</v>
      </c>
      <c r="E58" s="7">
        <f t="shared" si="9"/>
        <v>3.4670046405746286</v>
      </c>
      <c r="F58" s="43">
        <f t="shared" si="10"/>
        <v>3957.2025053972693</v>
      </c>
      <c r="G58" s="43">
        <f t="shared" si="11"/>
        <v>1141.3894458305065</v>
      </c>
      <c r="H58" s="27">
        <v>0.40681504908888361</v>
      </c>
      <c r="I58" s="6">
        <v>31.637454000000002</v>
      </c>
      <c r="J58" s="6">
        <v>31.865673000000001</v>
      </c>
      <c r="K58" s="41">
        <v>8.092015</v>
      </c>
      <c r="L58" s="41">
        <v>23.024032999999999</v>
      </c>
      <c r="M58" s="41">
        <v>22.072384</v>
      </c>
      <c r="N58" s="41">
        <v>10.314695</v>
      </c>
      <c r="O58" s="2"/>
      <c r="P58" s="15"/>
      <c r="Q58" s="15"/>
      <c r="R58" s="2"/>
      <c r="S58" s="2"/>
      <c r="T58" s="2"/>
      <c r="U58" s="2"/>
      <c r="V58" s="2"/>
    </row>
    <row r="59" spans="1:22" x14ac:dyDescent="0.35">
      <c r="A59" s="5">
        <v>44044</v>
      </c>
      <c r="B59" s="6">
        <v>63.050431000000003</v>
      </c>
      <c r="C59" s="6">
        <v>220.45895400000001</v>
      </c>
      <c r="D59" s="6">
        <v>248.88312784134001</v>
      </c>
      <c r="E59" s="7">
        <f t="shared" si="9"/>
        <v>3.4965495160532685</v>
      </c>
      <c r="F59" s="43">
        <f t="shared" ref="F59:F66" si="12">1000*D59/B59</f>
        <v>3947.3660035938533</v>
      </c>
      <c r="G59" s="43">
        <f t="shared" ref="G59:G66" si="13">F59/E59</f>
        <v>1128.9318184887152</v>
      </c>
      <c r="H59" s="27">
        <v>0.40360533928125963</v>
      </c>
      <c r="I59" s="6">
        <v>31.432337</v>
      </c>
      <c r="J59" s="6">
        <v>31.618093999999999</v>
      </c>
      <c r="K59" s="41">
        <v>7.9533199999999997</v>
      </c>
      <c r="L59" s="41">
        <v>22.783436999999999</v>
      </c>
      <c r="M59" s="41">
        <v>21.948622</v>
      </c>
      <c r="N59" s="41">
        <v>10.365052</v>
      </c>
      <c r="O59" s="2"/>
      <c r="P59" s="15"/>
      <c r="Q59" s="15"/>
      <c r="R59" s="2"/>
      <c r="S59" s="2"/>
      <c r="T59" s="2"/>
      <c r="U59" s="2"/>
      <c r="V59" s="2"/>
    </row>
    <row r="60" spans="1:22" x14ac:dyDescent="0.35">
      <c r="A60" s="5">
        <v>44075</v>
      </c>
      <c r="B60" s="6">
        <v>62.763292</v>
      </c>
      <c r="C60" s="6">
        <v>218.11806799999999</v>
      </c>
      <c r="D60" s="6">
        <v>247.05102097685</v>
      </c>
      <c r="E60" s="7">
        <f t="shared" si="9"/>
        <v>3.4752490038285435</v>
      </c>
      <c r="F60" s="43">
        <f t="shared" si="12"/>
        <v>3936.2342717276524</v>
      </c>
      <c r="G60" s="43">
        <f t="shared" si="13"/>
        <v>1132.6481260454316</v>
      </c>
      <c r="H60" s="27">
        <v>0.40145923930637062</v>
      </c>
      <c r="I60" s="6">
        <v>31.271777</v>
      </c>
      <c r="J60" s="6">
        <v>31.491515</v>
      </c>
      <c r="K60" s="41">
        <v>7.8096319999999997</v>
      </c>
      <c r="L60" s="41">
        <v>22.590173</v>
      </c>
      <c r="M60" s="41">
        <v>21.90211</v>
      </c>
      <c r="N60" s="41">
        <v>10.461377000000001</v>
      </c>
      <c r="O60" s="2"/>
      <c r="P60" s="15"/>
      <c r="Q60" s="15"/>
      <c r="R60" s="2"/>
      <c r="S60" s="2"/>
      <c r="T60" s="2"/>
      <c r="U60" s="2"/>
      <c r="V60" s="2"/>
    </row>
    <row r="61" spans="1:22" x14ac:dyDescent="0.35">
      <c r="A61" s="5">
        <v>44105</v>
      </c>
      <c r="B61" s="6">
        <v>62.279786000000001</v>
      </c>
      <c r="C61" s="6">
        <v>216.22332800000001</v>
      </c>
      <c r="D61" s="6">
        <v>245.53767678083</v>
      </c>
      <c r="E61" s="7">
        <f t="shared" si="9"/>
        <v>3.4718058922039328</v>
      </c>
      <c r="F61" s="43">
        <f t="shared" si="12"/>
        <v>3942.4939061420346</v>
      </c>
      <c r="G61" s="43">
        <f t="shared" si="13"/>
        <v>1135.5744037980489</v>
      </c>
      <c r="H61" s="27">
        <v>0.3980610728769623</v>
      </c>
      <c r="I61" s="6">
        <v>31.046016000000002</v>
      </c>
      <c r="J61" s="6">
        <v>31.23377</v>
      </c>
      <c r="K61" s="41">
        <v>7.6974030000000004</v>
      </c>
      <c r="L61" s="41">
        <v>22.421876999999999</v>
      </c>
      <c r="M61" s="41">
        <v>21.748087000000002</v>
      </c>
      <c r="N61" s="41">
        <v>10.412419</v>
      </c>
      <c r="O61" s="2"/>
      <c r="P61" s="15"/>
      <c r="Q61" s="15"/>
      <c r="R61" s="2"/>
      <c r="S61" s="2"/>
      <c r="T61" s="2"/>
      <c r="U61" s="2"/>
      <c r="V61" s="2"/>
    </row>
    <row r="62" spans="1:22" x14ac:dyDescent="0.35">
      <c r="A62" s="5">
        <v>44136</v>
      </c>
      <c r="B62" s="21">
        <v>61.948697000000003</v>
      </c>
      <c r="C62" s="6">
        <v>214.865194</v>
      </c>
      <c r="D62" s="6">
        <v>241.41659509171799</v>
      </c>
      <c r="E62" s="7">
        <f t="shared" ref="E62:E69" si="14">C62/B62</f>
        <v>3.4684376654443594</v>
      </c>
      <c r="F62" s="43">
        <f t="shared" si="12"/>
        <v>3897.0407253556596</v>
      </c>
      <c r="G62" s="43">
        <f t="shared" si="13"/>
        <v>1123.5723692489626</v>
      </c>
      <c r="H62" s="27">
        <v>0.39564126485832646</v>
      </c>
      <c r="I62" s="6">
        <v>30.856794000000001</v>
      </c>
      <c r="J62" s="6">
        <v>31.091902999999999</v>
      </c>
      <c r="K62" s="41">
        <v>7.6077120000000003</v>
      </c>
      <c r="L62" s="41">
        <v>22.279983999999999</v>
      </c>
      <c r="M62" s="41">
        <v>21.658525999999998</v>
      </c>
      <c r="N62" s="41">
        <v>10.402475000000001</v>
      </c>
      <c r="O62" s="2"/>
      <c r="P62" s="15"/>
      <c r="Q62" s="15"/>
      <c r="R62" s="2"/>
      <c r="S62" s="2"/>
      <c r="T62" s="2"/>
      <c r="U62" s="2"/>
      <c r="V62" s="2"/>
    </row>
    <row r="63" spans="1:22" ht="15" thickBot="1" x14ac:dyDescent="0.4">
      <c r="A63" s="12">
        <v>44166</v>
      </c>
      <c r="B63" s="13">
        <v>61.361283</v>
      </c>
      <c r="C63" s="13">
        <v>212.88215700000001</v>
      </c>
      <c r="D63" s="13">
        <v>236.758876556519</v>
      </c>
      <c r="E63" s="14">
        <f t="shared" si="14"/>
        <v>3.469323759087632</v>
      </c>
      <c r="F63" s="46">
        <f t="shared" si="12"/>
        <v>3858.4407786342899</v>
      </c>
      <c r="G63" s="46">
        <f t="shared" si="13"/>
        <v>1112.1593274560771</v>
      </c>
      <c r="H63" s="28">
        <v>0.39158909857889251</v>
      </c>
      <c r="I63" s="13">
        <v>30.585795000000001</v>
      </c>
      <c r="J63" s="13">
        <v>30.775487999999999</v>
      </c>
      <c r="K63" s="42">
        <v>7.4839609999999999</v>
      </c>
      <c r="L63" s="42">
        <v>22.027259000000001</v>
      </c>
      <c r="M63" s="42">
        <v>21.463528</v>
      </c>
      <c r="N63" s="42">
        <v>10.386535</v>
      </c>
      <c r="O63" s="2"/>
      <c r="P63" s="15"/>
      <c r="Q63" s="15"/>
      <c r="R63" s="2"/>
      <c r="S63" s="2"/>
      <c r="T63" s="2"/>
      <c r="U63" s="2"/>
      <c r="V63" s="2"/>
    </row>
    <row r="64" spans="1:22" x14ac:dyDescent="0.35">
      <c r="A64" s="3">
        <v>44197</v>
      </c>
      <c r="B64" s="4">
        <v>61.669348999999997</v>
      </c>
      <c r="C64" s="4">
        <v>213.25967499999999</v>
      </c>
      <c r="D64" s="4">
        <v>239.95694320854901</v>
      </c>
      <c r="E64" s="11">
        <f t="shared" si="14"/>
        <v>3.4581145813619663</v>
      </c>
      <c r="F64" s="45">
        <f t="shared" si="12"/>
        <v>3891.0244246059578</v>
      </c>
      <c r="G64" s="45">
        <f t="shared" si="13"/>
        <v>1125.1866683588869</v>
      </c>
      <c r="H64" s="26">
        <v>0.39325318480572774</v>
      </c>
      <c r="I64" s="4">
        <v>30.770923</v>
      </c>
      <c r="J64" s="4">
        <v>30.898426000000001</v>
      </c>
      <c r="K64" s="40">
        <v>7.5435030000000003</v>
      </c>
      <c r="L64" s="40">
        <v>22.143108999999999</v>
      </c>
      <c r="M64" s="40">
        <v>21.563889</v>
      </c>
      <c r="N64" s="40">
        <v>10.418848000000001</v>
      </c>
      <c r="O64" s="2"/>
      <c r="P64" s="15"/>
      <c r="Q64" s="15"/>
      <c r="R64" s="20"/>
      <c r="S64" s="20"/>
      <c r="T64" s="22"/>
      <c r="U64" s="22"/>
      <c r="V64" s="23"/>
    </row>
    <row r="65" spans="1:22" x14ac:dyDescent="0.35">
      <c r="A65" s="5">
        <v>44228</v>
      </c>
      <c r="B65" s="6">
        <v>61.555021000000004</v>
      </c>
      <c r="C65" s="6">
        <v>210.68800999999999</v>
      </c>
      <c r="D65" s="6">
        <v>240.51541365553899</v>
      </c>
      <c r="E65" s="7">
        <f t="shared" si="14"/>
        <v>3.4227591279678058</v>
      </c>
      <c r="F65" s="43">
        <f t="shared" si="12"/>
        <v>3907.3240451910328</v>
      </c>
      <c r="G65" s="43">
        <f t="shared" si="13"/>
        <v>1141.5714337780257</v>
      </c>
      <c r="H65" s="27">
        <v>0.39222299454007681</v>
      </c>
      <c r="I65" s="6">
        <v>30.727609000000001</v>
      </c>
      <c r="J65" s="6">
        <v>30.827411999999999</v>
      </c>
      <c r="K65" s="41">
        <v>7.548692</v>
      </c>
      <c r="L65" s="41">
        <v>22.131143000000002</v>
      </c>
      <c r="M65" s="41">
        <v>21.509329000000001</v>
      </c>
      <c r="N65" s="41">
        <v>10.365857</v>
      </c>
      <c r="O65" s="2"/>
      <c r="P65" s="15"/>
      <c r="Q65" s="15"/>
      <c r="R65" s="20"/>
      <c r="S65" s="19"/>
      <c r="T65" s="19"/>
      <c r="U65" s="2"/>
      <c r="V65" s="2"/>
    </row>
    <row r="66" spans="1:22" x14ac:dyDescent="0.35">
      <c r="A66" s="5">
        <v>44256</v>
      </c>
      <c r="B66" s="6">
        <v>62.557333</v>
      </c>
      <c r="C66" s="6">
        <v>212.195404</v>
      </c>
      <c r="D66" s="6">
        <v>244.20712855065901</v>
      </c>
      <c r="E66" s="7">
        <f t="shared" si="14"/>
        <v>3.392014873779865</v>
      </c>
      <c r="F66" s="43">
        <f t="shared" si="12"/>
        <v>3903.73305317634</v>
      </c>
      <c r="G66" s="43">
        <f t="shared" si="13"/>
        <v>1150.8596508087378</v>
      </c>
      <c r="H66" s="27">
        <v>0.39830377119722521</v>
      </c>
      <c r="I66" s="6">
        <v>31.295985999999999</v>
      </c>
      <c r="J66" s="6">
        <v>31.261347000000001</v>
      </c>
      <c r="K66" s="41">
        <v>7.6752219999999998</v>
      </c>
      <c r="L66" s="41">
        <v>22.393764999999998</v>
      </c>
      <c r="M66" s="41">
        <v>21.848993</v>
      </c>
      <c r="N66" s="41">
        <v>10.639353</v>
      </c>
      <c r="O66" s="2"/>
      <c r="P66" s="15"/>
      <c r="Q66" s="15"/>
      <c r="R66" s="2"/>
      <c r="S66" s="2"/>
      <c r="T66" s="2"/>
      <c r="U66" s="2"/>
      <c r="V66" s="2"/>
    </row>
    <row r="67" spans="1:22" x14ac:dyDescent="0.35">
      <c r="A67" s="5">
        <v>44287</v>
      </c>
      <c r="B67" s="6">
        <v>62.981572</v>
      </c>
      <c r="C67" s="6">
        <v>213.364452</v>
      </c>
      <c r="D67" s="6">
        <v>248.02028658793901</v>
      </c>
      <c r="E67" s="7">
        <f t="shared" si="14"/>
        <v>3.3877282707392569</v>
      </c>
      <c r="F67" s="43">
        <f t="shared" ref="F67:F73" si="15">1000*D67/B67</f>
        <v>3937.9818367813846</v>
      </c>
      <c r="G67" s="43">
        <f t="shared" ref="G67:G73" si="16">F67/E67</f>
        <v>1162.4255318216692</v>
      </c>
      <c r="H67" s="27">
        <v>0.40069716767615277</v>
      </c>
      <c r="I67" s="6">
        <v>31.563431999999999</v>
      </c>
      <c r="J67" s="6">
        <v>31.418140000000001</v>
      </c>
      <c r="K67" s="41">
        <v>7.7581629999999997</v>
      </c>
      <c r="L67" s="41">
        <v>22.554881999999999</v>
      </c>
      <c r="M67" s="41">
        <v>21.991174999999998</v>
      </c>
      <c r="N67" s="41">
        <v>10.677352000000001</v>
      </c>
      <c r="O67" s="2"/>
      <c r="P67" s="15"/>
      <c r="Q67" s="15"/>
      <c r="R67" s="2"/>
      <c r="S67" s="2"/>
      <c r="T67" s="2"/>
      <c r="U67" s="2"/>
      <c r="V67" s="2"/>
    </row>
    <row r="68" spans="1:22" x14ac:dyDescent="0.35">
      <c r="A68" s="5">
        <v>44317</v>
      </c>
      <c r="B68" s="6">
        <v>62.558805</v>
      </c>
      <c r="C68" s="6">
        <v>211.575683</v>
      </c>
      <c r="D68" s="6">
        <v>249.57385522146001</v>
      </c>
      <c r="E68" s="7">
        <f t="shared" si="14"/>
        <v>3.3820288447005979</v>
      </c>
      <c r="F68" s="43">
        <f t="shared" si="15"/>
        <v>3989.4281104228257</v>
      </c>
      <c r="G68" s="43">
        <f t="shared" si="16"/>
        <v>1179.5961222134399</v>
      </c>
      <c r="H68" s="27">
        <v>0.397701979901388</v>
      </c>
      <c r="I68" s="6">
        <v>31.356784000000001</v>
      </c>
      <c r="J68" s="6">
        <v>31.202020999999998</v>
      </c>
      <c r="K68" s="41">
        <v>7.735385</v>
      </c>
      <c r="L68" s="41">
        <v>22.421111</v>
      </c>
      <c r="M68" s="41">
        <v>21.800936</v>
      </c>
      <c r="N68" s="41">
        <v>10.601373000000001</v>
      </c>
      <c r="O68" s="2"/>
      <c r="P68" s="15"/>
      <c r="Q68" s="15"/>
      <c r="R68" s="2"/>
      <c r="S68" s="2"/>
      <c r="T68" s="2"/>
      <c r="U68" s="2"/>
      <c r="V68" s="2"/>
    </row>
    <row r="69" spans="1:22" x14ac:dyDescent="0.35">
      <c r="A69" s="5">
        <v>44348</v>
      </c>
      <c r="B69" s="6">
        <v>62.509431999999997</v>
      </c>
      <c r="C69" s="6">
        <v>211.371568</v>
      </c>
      <c r="D69" s="6">
        <v>245.93557871197001</v>
      </c>
      <c r="E69" s="7">
        <f t="shared" si="14"/>
        <v>3.3814347889131358</v>
      </c>
      <c r="F69" s="43">
        <f t="shared" si="15"/>
        <v>3934.3755149138137</v>
      </c>
      <c r="G69" s="43">
        <f t="shared" si="16"/>
        <v>1163.5225164813558</v>
      </c>
      <c r="H69" s="27">
        <v>0.39708303997824035</v>
      </c>
      <c r="I69" s="6">
        <v>31.340440000000001</v>
      </c>
      <c r="J69" s="6">
        <v>31.168991999999999</v>
      </c>
      <c r="K69" s="41">
        <v>7.6782599999999999</v>
      </c>
      <c r="L69" s="41">
        <v>22.375478999999999</v>
      </c>
      <c r="M69" s="41">
        <v>21.800398999999999</v>
      </c>
      <c r="N69" s="41">
        <v>10.655294</v>
      </c>
      <c r="O69" s="2"/>
      <c r="P69" s="15"/>
      <c r="Q69" s="15"/>
      <c r="R69" s="2"/>
      <c r="S69" s="2"/>
      <c r="T69" s="2"/>
      <c r="U69" s="2"/>
      <c r="V69" s="2"/>
    </row>
    <row r="70" spans="1:22" x14ac:dyDescent="0.35">
      <c r="A70" s="5">
        <v>44378</v>
      </c>
      <c r="B70" s="6">
        <v>62.223742000000001</v>
      </c>
      <c r="C70" s="6">
        <v>209.22792100000001</v>
      </c>
      <c r="D70" s="6">
        <v>244.882122433001</v>
      </c>
      <c r="E70" s="7">
        <f>C70/B70</f>
        <v>3.3625094582064832</v>
      </c>
      <c r="F70" s="43">
        <f t="shared" si="15"/>
        <v>3935.5094142843577</v>
      </c>
      <c r="G70" s="43">
        <f t="shared" si="16"/>
        <v>1170.4084295374755</v>
      </c>
      <c r="H70" s="27">
        <v>0.39526824646091191</v>
      </c>
      <c r="I70" s="6">
        <v>31.189059</v>
      </c>
      <c r="J70" s="6">
        <v>31.034683000000001</v>
      </c>
      <c r="K70" s="41">
        <v>7.6665299999999998</v>
      </c>
      <c r="L70" s="41">
        <v>22.293123999999999</v>
      </c>
      <c r="M70" s="41">
        <v>21.665528999999999</v>
      </c>
      <c r="N70" s="41">
        <v>10.598559</v>
      </c>
      <c r="O70" s="2"/>
      <c r="P70" s="15"/>
      <c r="Q70" s="15"/>
      <c r="R70" s="2"/>
      <c r="S70" s="2"/>
      <c r="T70" s="2"/>
      <c r="U70" s="2"/>
      <c r="V70" s="2"/>
    </row>
    <row r="71" spans="1:22" x14ac:dyDescent="0.35">
      <c r="A71" s="5">
        <v>44409</v>
      </c>
      <c r="B71" s="6">
        <v>62.248755000000003</v>
      </c>
      <c r="C71" s="6">
        <v>208.793611</v>
      </c>
      <c r="D71" s="6">
        <v>244.57115357577001</v>
      </c>
      <c r="E71" s="7">
        <f>C71/B71</f>
        <v>3.3541813165580581</v>
      </c>
      <c r="F71" s="43">
        <f t="shared" si="15"/>
        <v>3928.9324513521597</v>
      </c>
      <c r="G71" s="43">
        <f t="shared" si="16"/>
        <v>1171.3536271747798</v>
      </c>
      <c r="H71" s="27">
        <v>0.39515162680608379</v>
      </c>
      <c r="I71" s="6">
        <v>31.263482</v>
      </c>
      <c r="J71" s="6">
        <v>30.985272999999999</v>
      </c>
      <c r="K71" s="41">
        <v>7.6888170000000002</v>
      </c>
      <c r="L71" s="41">
        <v>22.286261</v>
      </c>
      <c r="M71" s="41">
        <v>21.638175</v>
      </c>
      <c r="N71" s="41">
        <v>10.635502000000001</v>
      </c>
      <c r="O71" s="2"/>
      <c r="P71" s="15"/>
      <c r="Q71" s="15"/>
      <c r="R71" s="2"/>
      <c r="S71" s="2"/>
      <c r="T71" s="2"/>
      <c r="U71" s="2"/>
      <c r="V71" s="2"/>
    </row>
    <row r="72" spans="1:22" x14ac:dyDescent="0.35">
      <c r="A72" s="5">
        <v>44440</v>
      </c>
      <c r="B72" s="6">
        <v>62.210270000000001</v>
      </c>
      <c r="C72" s="6">
        <v>208.45974799999999</v>
      </c>
      <c r="D72" s="6">
        <v>245.39762536270999</v>
      </c>
      <c r="E72" s="7">
        <f>C72/B72</f>
        <v>3.3508896199936116</v>
      </c>
      <c r="F72" s="43">
        <f t="shared" si="15"/>
        <v>3944.6481322571012</v>
      </c>
      <c r="G72" s="43">
        <f t="shared" si="16"/>
        <v>1177.1942915459631</v>
      </c>
      <c r="H72" s="27">
        <v>0.39463213812204445</v>
      </c>
      <c r="I72" s="6">
        <v>31.176224000000001</v>
      </c>
      <c r="J72" s="6">
        <v>31.034046</v>
      </c>
      <c r="K72" s="41">
        <v>7.6743699999999997</v>
      </c>
      <c r="L72" s="41">
        <v>22.272834</v>
      </c>
      <c r="M72" s="41">
        <v>21.609514999999998</v>
      </c>
      <c r="N72" s="41">
        <v>10.653551</v>
      </c>
      <c r="O72" s="2"/>
      <c r="P72" s="15"/>
      <c r="Q72" s="15"/>
      <c r="R72" s="2"/>
      <c r="S72" s="2"/>
      <c r="T72" s="2"/>
      <c r="U72" s="2"/>
      <c r="V72" s="2"/>
    </row>
    <row r="73" spans="1:22" x14ac:dyDescent="0.35">
      <c r="A73" s="5">
        <v>44470</v>
      </c>
      <c r="B73" s="6">
        <v>63.405042999999999</v>
      </c>
      <c r="C73" s="6">
        <v>213.26876200000001</v>
      </c>
      <c r="D73" s="6">
        <v>253.658626081959</v>
      </c>
      <c r="E73" s="7">
        <f>C73/B73</f>
        <v>3.3635930504770735</v>
      </c>
      <c r="F73" s="43">
        <f t="shared" si="15"/>
        <v>4000.6064830199548</v>
      </c>
      <c r="G73" s="43">
        <f t="shared" si="16"/>
        <v>1189.3848105235354</v>
      </c>
      <c r="H73" s="27">
        <v>0.40193087830658208</v>
      </c>
      <c r="I73" s="6">
        <v>31.809697</v>
      </c>
      <c r="J73" s="6">
        <v>31.595345999999999</v>
      </c>
      <c r="K73" s="41">
        <v>7.8764149999999997</v>
      </c>
      <c r="L73" s="41">
        <v>22.678357999999999</v>
      </c>
      <c r="M73" s="41">
        <v>21.983263999999998</v>
      </c>
      <c r="N73" s="41">
        <v>10.867006</v>
      </c>
      <c r="O73" s="2"/>
      <c r="P73" s="15"/>
      <c r="Q73" s="15"/>
      <c r="R73" s="2"/>
      <c r="S73" s="2"/>
      <c r="T73" s="2"/>
      <c r="U73" s="2"/>
      <c r="V73" s="2"/>
    </row>
    <row r="74" spans="1:22" x14ac:dyDescent="0.35">
      <c r="A74" s="5">
        <v>44501</v>
      </c>
      <c r="B74" s="6">
        <v>64.269670000000005</v>
      </c>
      <c r="C74" s="6">
        <v>215.61180400000001</v>
      </c>
      <c r="D74" s="6">
        <v>257.882220581078</v>
      </c>
      <c r="E74" s="7">
        <f t="shared" ref="E74:E75" si="17">C74/B74</f>
        <v>3.3547986787546908</v>
      </c>
      <c r="F74" s="43">
        <f t="shared" ref="F74:F75" si="18">1000*D74/B74</f>
        <v>4012.502640531342</v>
      </c>
      <c r="G74" s="43">
        <f t="shared" ref="G74:G75" si="19">F74/E74</f>
        <v>1196.0487125328166</v>
      </c>
      <c r="H74" s="27">
        <v>0.40712783589558715</v>
      </c>
      <c r="I74" s="6">
        <v>32.235073</v>
      </c>
      <c r="J74" s="6">
        <v>32.034596999999998</v>
      </c>
      <c r="K74" s="41">
        <v>8.0293060000000001</v>
      </c>
      <c r="L74" s="41">
        <v>22.963709000000001</v>
      </c>
      <c r="M74" s="41">
        <v>22.226469000000002</v>
      </c>
      <c r="N74" s="41">
        <v>11.050186</v>
      </c>
      <c r="O74" s="2"/>
      <c r="P74" s="15"/>
      <c r="Q74" s="15"/>
      <c r="R74" s="2"/>
      <c r="S74" s="2"/>
      <c r="T74" s="2"/>
      <c r="U74" s="2"/>
      <c r="V74" s="2"/>
    </row>
    <row r="75" spans="1:22" ht="15" thickBot="1" x14ac:dyDescent="0.4">
      <c r="A75" s="12">
        <v>44531</v>
      </c>
      <c r="B75" s="13">
        <v>63.970854000000003</v>
      </c>
      <c r="C75" s="13">
        <v>213.58676800000001</v>
      </c>
      <c r="D75" s="13">
        <v>251.949936802298</v>
      </c>
      <c r="E75" s="14">
        <f t="shared" si="17"/>
        <v>3.3388137666569215</v>
      </c>
      <c r="F75" s="46">
        <f t="shared" si="18"/>
        <v>3938.5113852364389</v>
      </c>
      <c r="G75" s="46">
        <f t="shared" si="19"/>
        <v>1179.6139768466276</v>
      </c>
      <c r="H75" s="28">
        <v>0.40495240878866284</v>
      </c>
      <c r="I75" s="13">
        <v>32.054439000000002</v>
      </c>
      <c r="J75" s="13">
        <v>31.916415000000001</v>
      </c>
      <c r="K75" s="42">
        <v>7.9938070000000003</v>
      </c>
      <c r="L75" s="42">
        <v>22.770769999999999</v>
      </c>
      <c r="M75" s="42">
        <v>22.096776999999999</v>
      </c>
      <c r="N75" s="42">
        <v>11.109500000000001</v>
      </c>
      <c r="O75" s="2"/>
      <c r="P75" s="15"/>
      <c r="Q75" s="15"/>
      <c r="R75" s="2"/>
      <c r="S75" s="2"/>
      <c r="T75" s="2"/>
      <c r="U75" s="2"/>
      <c r="V75" s="2"/>
    </row>
    <row r="76" spans="1:22" x14ac:dyDescent="0.35">
      <c r="A76" s="3">
        <v>44562</v>
      </c>
      <c r="B76" s="4">
        <f>64.817442</f>
        <v>64.817442</v>
      </c>
      <c r="C76" s="4">
        <v>219.50181000000001</v>
      </c>
      <c r="D76" s="4">
        <v>260.72953172646902</v>
      </c>
      <c r="E76" s="11">
        <f t="shared" ref="E76" si="20">C76/B76</f>
        <v>3.386462088398984</v>
      </c>
      <c r="F76" s="45">
        <f t="shared" ref="F76" si="21">1000*D76/B76</f>
        <v>4022.5211560565599</v>
      </c>
      <c r="G76" s="45">
        <f t="shared" ref="G76" si="22">F76/E76</f>
        <v>1187.8240627103212</v>
      </c>
      <c r="H76" s="26">
        <v>0.41002541454512681</v>
      </c>
      <c r="I76" s="4">
        <v>32.484546000000002</v>
      </c>
      <c r="J76" s="4">
        <v>32.332895999999998</v>
      </c>
      <c r="K76" s="40">
        <v>8.1843419999999991</v>
      </c>
      <c r="L76" s="40">
        <v>23.074750999999999</v>
      </c>
      <c r="M76" s="40">
        <v>22.325068999999999</v>
      </c>
      <c r="N76" s="40">
        <v>11.233280000000001</v>
      </c>
      <c r="O76" s="2"/>
      <c r="P76" s="15"/>
      <c r="Q76" s="15"/>
      <c r="R76" s="2"/>
      <c r="S76" s="2"/>
      <c r="T76" s="2"/>
      <c r="U76" s="2"/>
      <c r="V76" s="2"/>
    </row>
    <row r="77" spans="1:22" x14ac:dyDescent="0.35">
      <c r="A77" s="5">
        <v>44593</v>
      </c>
      <c r="B77" s="6">
        <v>65.169145999999998</v>
      </c>
      <c r="C77" s="6">
        <v>221.342388</v>
      </c>
      <c r="D77" s="6">
        <v>263.41861240250898</v>
      </c>
      <c r="E77" s="7">
        <f t="shared" ref="E77:E85" si="23">C77/B77</f>
        <v>3.396429162966168</v>
      </c>
      <c r="F77" s="43">
        <f t="shared" ref="F77:F79" si="24">1000*D77/B77</f>
        <v>4042.0755613785236</v>
      </c>
      <c r="G77" s="43">
        <f t="shared" ref="G77:G85" si="25">F77/E77</f>
        <v>1190.095646761112</v>
      </c>
      <c r="H77" s="27">
        <v>0.41196273014041324</v>
      </c>
      <c r="I77" s="6">
        <v>32.688611000000002</v>
      </c>
      <c r="J77" s="6">
        <v>32.480535000000003</v>
      </c>
      <c r="K77" s="41">
        <v>8.2950330000000001</v>
      </c>
      <c r="L77" s="41">
        <v>23.210111000000001</v>
      </c>
      <c r="M77" s="41">
        <v>22.409154000000001</v>
      </c>
      <c r="N77" s="41">
        <v>11.254848000000001</v>
      </c>
      <c r="O77" s="2"/>
      <c r="P77" s="15"/>
      <c r="Q77" s="15"/>
      <c r="R77" s="2"/>
      <c r="S77" s="2"/>
      <c r="T77" s="2"/>
      <c r="U77" s="2"/>
      <c r="V77" s="2"/>
    </row>
    <row r="78" spans="1:22" x14ac:dyDescent="0.35">
      <c r="A78" s="5">
        <v>44621</v>
      </c>
      <c r="B78" s="6">
        <v>65.693982000000005</v>
      </c>
      <c r="C78" s="6">
        <v>223.429013</v>
      </c>
      <c r="D78" s="6">
        <v>265.81813192022003</v>
      </c>
      <c r="E78" s="7">
        <f t="shared" si="23"/>
        <v>3.4010575428355061</v>
      </c>
      <c r="F78" s="43">
        <f t="shared" si="24"/>
        <v>4046.3087154652922</v>
      </c>
      <c r="G78" s="43">
        <f t="shared" si="25"/>
        <v>1189.7207455337059</v>
      </c>
      <c r="H78" s="27">
        <v>0.41499077682208851</v>
      </c>
      <c r="I78" s="6">
        <v>32.974392999999999</v>
      </c>
      <c r="J78" s="6">
        <v>32.719588999999999</v>
      </c>
      <c r="K78" s="41">
        <v>8.3643979999999996</v>
      </c>
      <c r="L78" s="41">
        <v>23.339492</v>
      </c>
      <c r="M78" s="41">
        <v>22.595981999999999</v>
      </c>
      <c r="N78" s="41">
        <v>11.39411</v>
      </c>
      <c r="P78" s="15"/>
      <c r="Q78" s="15"/>
    </row>
    <row r="79" spans="1:22" x14ac:dyDescent="0.35">
      <c r="A79" s="5">
        <v>44652</v>
      </c>
      <c r="B79" s="6">
        <v>66.132670000000005</v>
      </c>
      <c r="C79" s="6">
        <v>226.019226</v>
      </c>
      <c r="D79" s="6">
        <v>271.62900026854601</v>
      </c>
      <c r="E79" s="7">
        <f t="shared" si="23"/>
        <v>3.4176637053970449</v>
      </c>
      <c r="F79" s="43">
        <f t="shared" si="24"/>
        <v>4107.3345483940993</v>
      </c>
      <c r="G79" s="43">
        <f t="shared" si="25"/>
        <v>1201.7959935343997</v>
      </c>
      <c r="H79" s="27">
        <v>0.4174705396091678</v>
      </c>
      <c r="I79" s="6">
        <v>33.177047999999999</v>
      </c>
      <c r="J79" s="6">
        <v>32.955621999999998</v>
      </c>
      <c r="K79" s="41">
        <v>8.4694900000000004</v>
      </c>
      <c r="L79" s="41">
        <v>23.506084000000001</v>
      </c>
      <c r="M79" s="41">
        <v>22.728249000000002</v>
      </c>
      <c r="N79" s="41">
        <v>11.428846999999999</v>
      </c>
      <c r="P79" s="15"/>
      <c r="Q79" s="15"/>
    </row>
    <row r="80" spans="1:22" x14ac:dyDescent="0.35">
      <c r="A80" s="5">
        <v>44682</v>
      </c>
      <c r="B80" s="6">
        <v>66.579818000000003</v>
      </c>
      <c r="C80" s="6">
        <v>229.518396</v>
      </c>
      <c r="D80" s="6">
        <v>278.270926079969</v>
      </c>
      <c r="E80" s="7">
        <f t="shared" si="23"/>
        <v>3.4472667978755962</v>
      </c>
      <c r="F80" s="43">
        <f t="shared" ref="F80:F85" si="26">1000*D80/B80</f>
        <v>4179.5086625194581</v>
      </c>
      <c r="G80" s="43">
        <f t="shared" si="25"/>
        <v>1212.4122986637158</v>
      </c>
      <c r="H80" s="27">
        <v>0.41999995811343727</v>
      </c>
      <c r="I80" s="6">
        <v>33.358817999999999</v>
      </c>
      <c r="J80" s="6">
        <v>33.220999999999997</v>
      </c>
      <c r="K80" s="41">
        <v>8.5675469999999994</v>
      </c>
      <c r="L80" s="41">
        <v>23.66865</v>
      </c>
      <c r="M80" s="41">
        <v>22.854407999999999</v>
      </c>
      <c r="N80" s="41">
        <v>11.489212999999999</v>
      </c>
      <c r="O80" s="37"/>
      <c r="P80" s="15"/>
      <c r="Q80" s="15"/>
      <c r="R80" s="38"/>
      <c r="S80" s="38"/>
    </row>
    <row r="81" spans="1:22" x14ac:dyDescent="0.35">
      <c r="A81" s="5">
        <v>44713</v>
      </c>
      <c r="B81" s="6">
        <v>66.818624999999997</v>
      </c>
      <c r="C81" s="6">
        <v>231.31453500000001</v>
      </c>
      <c r="D81" s="6">
        <v>281.428834910793</v>
      </c>
      <c r="E81" s="7">
        <f t="shared" si="23"/>
        <v>3.4618272225745446</v>
      </c>
      <c r="F81" s="43">
        <f t="shared" si="26"/>
        <v>4211.8321786895949</v>
      </c>
      <c r="G81" s="43">
        <f t="shared" si="25"/>
        <v>1216.6500255195506</v>
      </c>
      <c r="H81" s="27">
        <v>0.42121225313377775</v>
      </c>
      <c r="I81" s="6">
        <v>33.478369999999998</v>
      </c>
      <c r="J81" s="6">
        <v>33.340254999999999</v>
      </c>
      <c r="K81" s="41">
        <v>8.6164690000000004</v>
      </c>
      <c r="L81" s="41">
        <v>23.760214000000001</v>
      </c>
      <c r="M81" s="41">
        <v>22.922704</v>
      </c>
      <c r="N81" s="41">
        <v>11.519238</v>
      </c>
      <c r="O81" s="37"/>
      <c r="P81" s="15"/>
      <c r="Q81" s="15"/>
      <c r="R81" s="38"/>
      <c r="S81" s="38"/>
    </row>
    <row r="82" spans="1:22" x14ac:dyDescent="0.35">
      <c r="A82" s="5">
        <v>44743</v>
      </c>
      <c r="B82" s="6">
        <v>67.632289</v>
      </c>
      <c r="C82" s="6">
        <v>235.25366500000001</v>
      </c>
      <c r="D82" s="6">
        <v>287.65757713879299</v>
      </c>
      <c r="E82" s="7">
        <f t="shared" si="23"/>
        <v>3.4784223405480188</v>
      </c>
      <c r="F82" s="43">
        <f t="shared" si="26"/>
        <v>4253.2580427492703</v>
      </c>
      <c r="G82" s="43">
        <f t="shared" si="25"/>
        <v>1222.7549234516409</v>
      </c>
      <c r="H82" s="27">
        <v>0.42604384327197048</v>
      </c>
      <c r="I82" s="6">
        <v>33.923600999999998</v>
      </c>
      <c r="J82" s="6">
        <v>33.708688000000002</v>
      </c>
      <c r="K82" s="6">
        <v>8.7810550000000003</v>
      </c>
      <c r="L82" s="6">
        <v>24.083600000000001</v>
      </c>
      <c r="M82" s="6">
        <v>23.147033</v>
      </c>
      <c r="N82" s="6">
        <v>11.620601000000001</v>
      </c>
    </row>
    <row r="83" spans="1:22" x14ac:dyDescent="0.35">
      <c r="A83" s="5">
        <v>44774</v>
      </c>
      <c r="B83" s="6">
        <v>67.976241000000002</v>
      </c>
      <c r="C83" s="6">
        <v>238.202021</v>
      </c>
      <c r="D83" s="6">
        <v>289.46028239933202</v>
      </c>
      <c r="E83" s="7">
        <f t="shared" si="23"/>
        <v>3.504195252573616</v>
      </c>
      <c r="F83" s="43">
        <f t="shared" si="26"/>
        <v>4258.2566811738243</v>
      </c>
      <c r="G83" s="43">
        <f t="shared" si="25"/>
        <v>1215.1881885138669</v>
      </c>
      <c r="H83" s="27">
        <v>0.4278900901702653</v>
      </c>
      <c r="I83" s="6">
        <v>34.106001999999997</v>
      </c>
      <c r="J83" s="6">
        <v>33.870238999999998</v>
      </c>
      <c r="K83" s="6">
        <v>8.8246640000000003</v>
      </c>
      <c r="L83" s="6">
        <v>24.178515000000001</v>
      </c>
      <c r="M83" s="6">
        <v>23.238883999999999</v>
      </c>
      <c r="N83" s="6">
        <v>11.734178</v>
      </c>
    </row>
    <row r="84" spans="1:22" x14ac:dyDescent="0.35">
      <c r="A84" s="5">
        <v>44805</v>
      </c>
      <c r="B84" s="6">
        <v>68.388048999999995</v>
      </c>
      <c r="C84" s="6">
        <v>240.88552999999999</v>
      </c>
      <c r="D84" s="6">
        <v>295.73860894532299</v>
      </c>
      <c r="E84" s="7">
        <f t="shared" si="23"/>
        <v>3.5223337048261167</v>
      </c>
      <c r="F84" s="43">
        <f t="shared" si="26"/>
        <v>4324.4194456449986</v>
      </c>
      <c r="G84" s="43">
        <f t="shared" si="25"/>
        <v>1227.7142962689497</v>
      </c>
      <c r="H84" s="27">
        <v>0.43016009205122485</v>
      </c>
      <c r="I84" s="6">
        <v>34.303652</v>
      </c>
      <c r="J84" s="6">
        <v>34.084397000000003</v>
      </c>
      <c r="K84" s="6">
        <v>8.8795260000000003</v>
      </c>
      <c r="L84" s="6">
        <v>24.275860999999999</v>
      </c>
      <c r="M84" s="6">
        <v>23.371200999999999</v>
      </c>
      <c r="N84" s="6">
        <v>11.861461</v>
      </c>
    </row>
    <row r="85" spans="1:22" x14ac:dyDescent="0.35">
      <c r="A85" s="5">
        <v>44835</v>
      </c>
      <c r="B85" s="6">
        <v>69.056640000000002</v>
      </c>
      <c r="C85" s="6">
        <v>243.44628299999999</v>
      </c>
      <c r="D85" s="6">
        <v>301.499852890932</v>
      </c>
      <c r="E85" s="7">
        <f t="shared" si="23"/>
        <v>3.5253131777045623</v>
      </c>
      <c r="F85" s="43">
        <f t="shared" si="26"/>
        <v>4365.9791859397155</v>
      </c>
      <c r="G85" s="43">
        <f t="shared" si="25"/>
        <v>1238.4656244307168</v>
      </c>
      <c r="H85" s="27">
        <v>0.43404036623475811</v>
      </c>
      <c r="I85" s="6">
        <v>34.619754</v>
      </c>
      <c r="J85" s="6">
        <v>34.436886000000001</v>
      </c>
      <c r="K85" s="6">
        <v>8.9446919999999999</v>
      </c>
      <c r="L85" s="6">
        <v>24.469792000000002</v>
      </c>
      <c r="M85" s="6">
        <v>23.621663999999999</v>
      </c>
      <c r="N85" s="6">
        <v>12.020492000000001</v>
      </c>
    </row>
    <row r="86" spans="1:22" x14ac:dyDescent="0.35">
      <c r="A86" s="5">
        <v>44866</v>
      </c>
      <c r="B86" s="21">
        <v>69.834750999999997</v>
      </c>
      <c r="C86" s="6">
        <v>247.026174</v>
      </c>
      <c r="D86" s="6">
        <v>311.02929353136301</v>
      </c>
      <c r="E86" s="7">
        <f t="shared" ref="E86:E87" si="27">C86/B86</f>
        <v>3.5372958371398791</v>
      </c>
      <c r="F86" s="43">
        <f t="shared" ref="F86:F87" si="28">1000*D86/B86</f>
        <v>4453.7896831817015</v>
      </c>
      <c r="G86" s="43">
        <f t="shared" ref="G86:G87" si="29">F86/E86</f>
        <v>1259.094485798752</v>
      </c>
      <c r="H86" s="27">
        <v>0.43860238417029329</v>
      </c>
      <c r="I86" s="6">
        <v>35.035789999999999</v>
      </c>
      <c r="J86" s="6">
        <v>34.798960999999998</v>
      </c>
      <c r="K86" s="6">
        <v>9.0072860000000006</v>
      </c>
      <c r="L86" s="6">
        <v>24.667211000000002</v>
      </c>
      <c r="M86" s="6">
        <v>23.905601999999998</v>
      </c>
      <c r="N86" s="6">
        <v>12.254652</v>
      </c>
    </row>
    <row r="87" spans="1:22" ht="15" thickBot="1" x14ac:dyDescent="0.4">
      <c r="A87" s="12">
        <v>44896</v>
      </c>
      <c r="B87" s="13">
        <v>69.429316</v>
      </c>
      <c r="C87" s="13">
        <v>247.571853</v>
      </c>
      <c r="D87" s="13">
        <v>312.009398463303</v>
      </c>
      <c r="E87" s="14">
        <f t="shared" si="27"/>
        <v>3.5658114938076015</v>
      </c>
      <c r="F87" s="46">
        <f t="shared" si="28"/>
        <v>4493.9143353119453</v>
      </c>
      <c r="G87" s="46">
        <f t="shared" si="29"/>
        <v>1260.2781563512513</v>
      </c>
      <c r="H87" s="28">
        <v>0.43572949260015081</v>
      </c>
      <c r="I87" s="13">
        <v>34.803800000000003</v>
      </c>
      <c r="J87" s="13">
        <v>34.625515999999998</v>
      </c>
      <c r="K87" s="42">
        <v>8.9212100000000003</v>
      </c>
      <c r="L87" s="42">
        <v>24.464351000000001</v>
      </c>
      <c r="M87" s="42">
        <v>23.739346999999999</v>
      </c>
      <c r="N87" s="42">
        <v>12.304408</v>
      </c>
      <c r="O87" s="2"/>
      <c r="P87" s="15"/>
      <c r="Q87" s="15"/>
      <c r="R87" s="2"/>
      <c r="S87" s="2"/>
      <c r="T87" s="2"/>
      <c r="U87" s="2"/>
      <c r="V87" s="2"/>
    </row>
    <row r="88" spans="1:22" x14ac:dyDescent="0.35">
      <c r="A88" s="3">
        <v>44927</v>
      </c>
      <c r="B88" s="4">
        <v>70.092977000000005</v>
      </c>
      <c r="C88" s="4">
        <v>252.099884</v>
      </c>
      <c r="D88" s="4">
        <v>323.28867214725301</v>
      </c>
      <c r="E88" s="11">
        <f t="shared" ref="E88" si="30">C88/B88</f>
        <v>3.5966496900252931</v>
      </c>
      <c r="F88" s="45">
        <f t="shared" ref="F88" si="31">1000*D88/B88</f>
        <v>4612.2833696627404</v>
      </c>
      <c r="G88" s="45">
        <f t="shared" ref="G88" si="32">F88/E88</f>
        <v>1282.3832641956033</v>
      </c>
      <c r="H88" s="26">
        <v>0.43956509449269837</v>
      </c>
      <c r="I88" s="4">
        <v>35.173672000000003</v>
      </c>
      <c r="J88" s="4">
        <v>34.919305000000001</v>
      </c>
      <c r="K88" s="40">
        <v>8.9981059999999999</v>
      </c>
      <c r="L88" s="40">
        <v>24.695468000000002</v>
      </c>
      <c r="M88" s="40">
        <v>23.974515</v>
      </c>
      <c r="N88" s="40">
        <v>12.424887999999999</v>
      </c>
      <c r="O88" s="2"/>
      <c r="P88" s="15"/>
      <c r="Q88" s="15"/>
      <c r="R88" s="2"/>
      <c r="S88" s="2"/>
      <c r="T88" s="2"/>
      <c r="U88" s="2"/>
      <c r="V88" s="2"/>
    </row>
    <row r="89" spans="1:22" x14ac:dyDescent="0.35">
      <c r="A89" s="5">
        <v>44958</v>
      </c>
      <c r="B89" s="6">
        <v>70.526944</v>
      </c>
      <c r="C89" s="6">
        <v>255.38090399999999</v>
      </c>
      <c r="D89" s="6">
        <v>326.66506288990598</v>
      </c>
      <c r="E89" s="7">
        <f t="shared" ref="E89" si="33">C89/B89</f>
        <v>3.6210402651219367</v>
      </c>
      <c r="F89" s="43">
        <f t="shared" ref="F89" si="34">1000*D89/B89</f>
        <v>4631.7767985226465</v>
      </c>
      <c r="G89" s="43">
        <f t="shared" ref="G89" si="35">F89/E89</f>
        <v>1279.1287749921428</v>
      </c>
      <c r="H89" s="27">
        <v>0.44195528663746719</v>
      </c>
      <c r="I89" s="6">
        <v>35.429039000000003</v>
      </c>
      <c r="J89" s="6">
        <v>35.097904999999997</v>
      </c>
      <c r="K89" s="6">
        <v>9.064864</v>
      </c>
      <c r="L89" s="6">
        <v>24.861186</v>
      </c>
      <c r="M89" s="6">
        <v>24.134843</v>
      </c>
      <c r="N89" s="6">
        <v>12.466051</v>
      </c>
    </row>
    <row r="90" spans="1:22" x14ac:dyDescent="0.35">
      <c r="A90" s="5">
        <v>44986</v>
      </c>
      <c r="B90" s="6">
        <v>70.707397</v>
      </c>
      <c r="C90" s="6">
        <v>258.60958799999997</v>
      </c>
      <c r="D90" s="6">
        <v>334.56082570567497</v>
      </c>
      <c r="E90" s="7">
        <f t="shared" ref="E90" si="36">C90/B90</f>
        <v>3.6574615807169364</v>
      </c>
      <c r="F90" s="43">
        <f t="shared" ref="F90" si="37">1000*D90/B90</f>
        <v>4731.6241284582293</v>
      </c>
      <c r="G90" s="43">
        <f t="shared" ref="G90" si="38">F90/E90</f>
        <v>1293.6907262141999</v>
      </c>
      <c r="H90" s="27">
        <v>0.44275414865609214</v>
      </c>
      <c r="I90" s="6">
        <v>35.563035999999997</v>
      </c>
      <c r="J90" s="6">
        <v>35.144361000000004</v>
      </c>
      <c r="K90" s="41">
        <v>9.0576380000000007</v>
      </c>
      <c r="L90" s="41">
        <v>24.886019999999998</v>
      </c>
      <c r="M90" s="41">
        <v>24.219424</v>
      </c>
      <c r="N90" s="41">
        <v>12.544314999999999</v>
      </c>
      <c r="P90" s="15"/>
      <c r="Q90" s="15"/>
    </row>
    <row r="91" spans="1:22" x14ac:dyDescent="0.35">
      <c r="A91" s="5">
        <v>45017</v>
      </c>
      <c r="B91" s="6">
        <v>71.439576000000002</v>
      </c>
      <c r="C91" s="6">
        <v>261.17947400000003</v>
      </c>
      <c r="D91" s="6">
        <v>340.56646610772299</v>
      </c>
      <c r="E91" s="7">
        <f t="shared" ref="E91" si="39">C91/B91</f>
        <v>3.6559493858138241</v>
      </c>
      <c r="F91" s="43">
        <f t="shared" ref="F91" si="40">1000*D91/B91</f>
        <v>4767.1960722124522</v>
      </c>
      <c r="G91" s="43">
        <f t="shared" ref="G91" si="41">F91/E91</f>
        <v>1303.9557086623238</v>
      </c>
      <c r="H91" s="27">
        <v>0.44700371860621035</v>
      </c>
      <c r="I91" s="6">
        <v>35.933123000000002</v>
      </c>
      <c r="J91" s="6">
        <v>35.506453</v>
      </c>
      <c r="K91" s="41">
        <v>9.1440429999999999</v>
      </c>
      <c r="L91" s="41">
        <v>25.156352999999999</v>
      </c>
      <c r="M91" s="41">
        <v>24.488092000000002</v>
      </c>
      <c r="N91" s="41">
        <v>12.651088</v>
      </c>
      <c r="P91" s="15"/>
      <c r="Q91" s="15"/>
    </row>
    <row r="92" spans="1:22" x14ac:dyDescent="0.35">
      <c r="A92" s="5">
        <v>45047</v>
      </c>
      <c r="B92" s="6">
        <v>71.903574000000006</v>
      </c>
      <c r="C92" s="6">
        <v>264.44820800000002</v>
      </c>
      <c r="D92" s="6">
        <v>345.757431083406</v>
      </c>
      <c r="E92" s="7">
        <f t="shared" ref="E92" si="42">C92/B92</f>
        <v>3.6778172945895569</v>
      </c>
      <c r="F92" s="43">
        <f t="shared" ref="F92" si="43">1000*D92/B92</f>
        <v>4808.626495859663</v>
      </c>
      <c r="G92" s="43">
        <f t="shared" ref="G92" si="44">F92/E92</f>
        <v>1307.4674761396227</v>
      </c>
      <c r="H92" s="27">
        <v>0.44956984306840836</v>
      </c>
      <c r="I92" s="6">
        <v>36.19717</v>
      </c>
      <c r="J92" s="6">
        <v>35.706403999999999</v>
      </c>
      <c r="K92" s="41">
        <v>9.1784680000000005</v>
      </c>
      <c r="L92" s="41">
        <v>25.295490000000001</v>
      </c>
      <c r="M92" s="41">
        <v>24.663325</v>
      </c>
      <c r="N92" s="41">
        <v>12.766291000000001</v>
      </c>
      <c r="O92" s="37"/>
      <c r="P92" s="15"/>
      <c r="Q92" s="15"/>
      <c r="R92" s="38"/>
      <c r="S92" s="38"/>
    </row>
    <row r="93" spans="1:22" x14ac:dyDescent="0.35">
      <c r="A93" s="5">
        <v>45078</v>
      </c>
      <c r="B93" s="6">
        <v>71.453534000000005</v>
      </c>
      <c r="C93" s="6">
        <v>262.80710599999998</v>
      </c>
      <c r="D93" s="6">
        <v>346.274525823646</v>
      </c>
      <c r="E93" s="7">
        <f t="shared" ref="E93" si="45">C93/B93</f>
        <v>3.6780141063421712</v>
      </c>
      <c r="F93" s="43">
        <f t="shared" ref="F93" si="46">1000*D93/B93</f>
        <v>4846.1497485015361</v>
      </c>
      <c r="G93" s="43">
        <f t="shared" ref="G93" si="47">F93/E93</f>
        <v>1317.5995546469205</v>
      </c>
      <c r="H93" s="27">
        <v>0.44642117502888068</v>
      </c>
      <c r="I93" s="6">
        <v>35.962026999999999</v>
      </c>
      <c r="J93" s="6">
        <v>35.491506999999999</v>
      </c>
      <c r="K93" s="41">
        <v>9.0803530000000006</v>
      </c>
      <c r="L93" s="41">
        <v>25.103933000000001</v>
      </c>
      <c r="M93" s="41">
        <v>24.536473999999998</v>
      </c>
      <c r="N93" s="41">
        <v>12.732773999999999</v>
      </c>
      <c r="O93" s="37"/>
      <c r="P93" s="15"/>
      <c r="Q93" s="15"/>
      <c r="R93" s="38"/>
      <c r="S93" s="38"/>
    </row>
    <row r="94" spans="1:22" x14ac:dyDescent="0.35">
      <c r="A94" s="5">
        <v>45108</v>
      </c>
      <c r="B94" s="6">
        <v>71.419038999999998</v>
      </c>
      <c r="C94" s="6">
        <v>265.235409</v>
      </c>
      <c r="D94" s="6">
        <v>351.664991925528</v>
      </c>
      <c r="E94" s="7">
        <f t="shared" ref="E94:E95" si="48">C94/B94</f>
        <v>3.7137913463103307</v>
      </c>
      <c r="F94" s="43">
        <f t="shared" ref="F94:F95" si="49">1000*D94/B94</f>
        <v>4923.967010050751</v>
      </c>
      <c r="G94" s="43">
        <f t="shared" ref="G94:G95" si="50">F94/E94</f>
        <v>1325.8598965024612</v>
      </c>
      <c r="H94" s="27">
        <v>0.4458711980642262</v>
      </c>
      <c r="I94" s="6">
        <v>35.978327</v>
      </c>
      <c r="J94" s="6">
        <v>35.440711999999998</v>
      </c>
      <c r="K94" s="6">
        <v>8.9351000000000003</v>
      </c>
      <c r="L94" s="6">
        <v>24.998165</v>
      </c>
      <c r="M94" s="6">
        <v>24.643504</v>
      </c>
      <c r="N94" s="6">
        <v>12.842269999999999</v>
      </c>
    </row>
    <row r="95" spans="1:22" x14ac:dyDescent="0.35">
      <c r="A95" s="5">
        <v>45139</v>
      </c>
      <c r="B95" s="6">
        <v>71.739068000000003</v>
      </c>
      <c r="C95" s="6">
        <v>268.869866</v>
      </c>
      <c r="D95" s="6">
        <v>355.01732011613802</v>
      </c>
      <c r="E95" s="7">
        <f t="shared" si="48"/>
        <v>3.7478862424028145</v>
      </c>
      <c r="F95" s="43">
        <f t="shared" si="49"/>
        <v>4948.7305873019986</v>
      </c>
      <c r="G95" s="43">
        <f t="shared" si="50"/>
        <v>1320.4057613363709</v>
      </c>
      <c r="H95" s="27">
        <v>0.44752297618048914</v>
      </c>
      <c r="I95" s="6">
        <v>36.167766</v>
      </c>
      <c r="J95" s="6">
        <v>35.571302000000003</v>
      </c>
      <c r="K95" s="6">
        <v>8.9628350000000001</v>
      </c>
      <c r="L95" s="6">
        <v>25.109217000000001</v>
      </c>
      <c r="M95" s="6">
        <v>24.723763000000002</v>
      </c>
      <c r="N95" s="6">
        <v>12.943253</v>
      </c>
    </row>
    <row r="96" spans="1:22" x14ac:dyDescent="0.35">
      <c r="A96" s="5">
        <v>45170</v>
      </c>
      <c r="B96" s="6">
        <v>71.822148999999996</v>
      </c>
      <c r="C96" s="6">
        <v>270.52671700000002</v>
      </c>
      <c r="D96" s="6">
        <v>366.81189380225902</v>
      </c>
      <c r="E96" s="7">
        <f t="shared" ref="E96" si="51">C96/B96</f>
        <v>3.7666196398551097</v>
      </c>
      <c r="F96" s="43">
        <f t="shared" ref="F96" si="52">1000*D96/B96</f>
        <v>5107.2252628121587</v>
      </c>
      <c r="G96" s="43">
        <f t="shared" ref="G96" si="53">F96/E96</f>
        <v>1355.9174408724259</v>
      </c>
      <c r="H96" s="27">
        <v>0.44769488508065408</v>
      </c>
      <c r="I96" s="6">
        <v>36.202105000000003</v>
      </c>
      <c r="J96" s="6">
        <v>35.620044</v>
      </c>
      <c r="K96" s="6">
        <v>8.9924610000000005</v>
      </c>
      <c r="L96" s="6">
        <v>25.129998000000001</v>
      </c>
      <c r="M96" s="6">
        <v>24.725210000000001</v>
      </c>
      <c r="N96" s="6">
        <v>12.97448</v>
      </c>
    </row>
    <row r="97" spans="1:22" x14ac:dyDescent="0.35">
      <c r="A97" s="5">
        <v>45200</v>
      </c>
      <c r="B97" s="6">
        <v>71.952513999999994</v>
      </c>
      <c r="C97" s="6">
        <v>271.36631799999998</v>
      </c>
      <c r="D97" s="6">
        <v>376.86996258571702</v>
      </c>
      <c r="E97" s="7">
        <f t="shared" ref="E97" si="54">C97/B97</f>
        <v>3.7714640241757222</v>
      </c>
      <c r="F97" s="43">
        <f t="shared" ref="F97" si="55">1000*D97/B97</f>
        <v>5237.7594837856122</v>
      </c>
      <c r="G97" s="43">
        <f t="shared" ref="G97" si="56">F97/E97</f>
        <v>1388.786808043425</v>
      </c>
      <c r="H97" s="27">
        <v>0.44816071893255549</v>
      </c>
      <c r="I97" s="6">
        <v>36.265369</v>
      </c>
      <c r="J97" s="6">
        <v>35.687145000000001</v>
      </c>
      <c r="K97" s="6">
        <v>8.9909549999999996</v>
      </c>
      <c r="L97" s="6">
        <v>25.170681999999999</v>
      </c>
      <c r="M97" s="6">
        <v>24.770368000000001</v>
      </c>
      <c r="N97" s="6">
        <v>13.020509000000001</v>
      </c>
    </row>
    <row r="98" spans="1:22" x14ac:dyDescent="0.35">
      <c r="A98" s="5">
        <v>45231</v>
      </c>
      <c r="B98" s="21">
        <v>71.808920000000001</v>
      </c>
      <c r="C98" s="6">
        <v>269.85573900000003</v>
      </c>
      <c r="D98" s="6">
        <v>378.00135849825801</v>
      </c>
      <c r="E98" s="7">
        <f t="shared" ref="E98" si="57">C98/B98</f>
        <v>3.7579696087895491</v>
      </c>
      <c r="F98" s="43">
        <f t="shared" ref="F98" si="58">1000*D98/B98</f>
        <v>5263.9889097100749</v>
      </c>
      <c r="G98" s="43">
        <f t="shared" ref="G98" si="59">F98/E98</f>
        <v>1400.753454045526</v>
      </c>
      <c r="H98" s="27">
        <v>0.44692045794694374</v>
      </c>
      <c r="I98" s="6">
        <v>36.194557000000003</v>
      </c>
      <c r="J98" s="6">
        <v>35.614362999999997</v>
      </c>
      <c r="K98" s="6">
        <v>8.9512970000000003</v>
      </c>
      <c r="L98" s="6">
        <v>25.054207000000002</v>
      </c>
      <c r="M98" s="6">
        <v>24.743168000000001</v>
      </c>
      <c r="N98" s="6">
        <v>13.060248</v>
      </c>
    </row>
    <row r="99" spans="1:22" ht="15" thickBot="1" x14ac:dyDescent="0.4">
      <c r="A99" s="12">
        <v>45261</v>
      </c>
      <c r="B99" s="13">
        <v>71.102439000000004</v>
      </c>
      <c r="C99" s="13">
        <v>267.43411700000001</v>
      </c>
      <c r="D99" s="13">
        <v>367.92809592797897</v>
      </c>
      <c r="E99" s="14">
        <f t="shared" ref="E99" si="60">C99/B99</f>
        <v>3.7612509607441176</v>
      </c>
      <c r="F99" s="46">
        <f t="shared" ref="F99" si="61">1000*D99/B99</f>
        <v>5174.6199019695932</v>
      </c>
      <c r="G99" s="46">
        <f t="shared" ref="G99" si="62">F99/E99</f>
        <v>1375.7709751294708</v>
      </c>
      <c r="H99" s="28">
        <v>0.44218124168454925</v>
      </c>
      <c r="I99" s="13">
        <v>35.806677999999998</v>
      </c>
      <c r="J99" s="13">
        <v>35.295760999999999</v>
      </c>
      <c r="K99" s="42">
        <v>8.8140079999999994</v>
      </c>
      <c r="L99" s="42">
        <v>24.633835000000001</v>
      </c>
      <c r="M99" s="42">
        <v>24.558668000000001</v>
      </c>
      <c r="N99" s="42">
        <v>13.095928000000001</v>
      </c>
      <c r="O99" s="2"/>
      <c r="P99" s="15"/>
      <c r="Q99" s="15"/>
      <c r="R99" s="2"/>
      <c r="S99" s="2"/>
      <c r="T99" s="2"/>
      <c r="U99" s="2"/>
      <c r="V99" s="2"/>
    </row>
    <row r="100" spans="1:22" x14ac:dyDescent="0.35">
      <c r="A100" s="3">
        <v>45292</v>
      </c>
      <c r="B100" s="4">
        <v>72.069816000000003</v>
      </c>
      <c r="C100" s="4">
        <v>271.37092100000001</v>
      </c>
      <c r="D100" s="4">
        <v>382.831796880968</v>
      </c>
      <c r="E100" s="11">
        <f t="shared" ref="E100" si="63">C100/B100</f>
        <v>3.7653893968592898</v>
      </c>
      <c r="F100" s="45">
        <f t="shared" ref="F100" si="64">1000*D100/B100</f>
        <v>5311.957461927861</v>
      </c>
      <c r="G100" s="45">
        <f t="shared" ref="G100" si="65">F100/E100</f>
        <v>1410.7325702777416</v>
      </c>
      <c r="H100" s="26">
        <v>0.44785059223653773</v>
      </c>
      <c r="I100" s="4">
        <v>36.288849999999996</v>
      </c>
      <c r="J100" s="4">
        <v>35.780965999999999</v>
      </c>
      <c r="K100" s="40">
        <v>8.8855249999999995</v>
      </c>
      <c r="L100" s="40">
        <v>25.012238</v>
      </c>
      <c r="M100" s="40">
        <v>24.864566</v>
      </c>
      <c r="N100" s="40">
        <v>13.307487</v>
      </c>
      <c r="O100" s="2"/>
      <c r="P100" s="15"/>
      <c r="Q100" s="15"/>
      <c r="R100" s="2"/>
      <c r="S100" s="2"/>
      <c r="T100" s="2"/>
      <c r="U100" s="2"/>
      <c r="V100" s="2"/>
    </row>
    <row r="101" spans="1:22" x14ac:dyDescent="0.35">
      <c r="A101" s="5">
        <v>45323</v>
      </c>
      <c r="B101" s="6">
        <v>72.039263000000005</v>
      </c>
      <c r="C101" s="6">
        <v>271.47912300000002</v>
      </c>
      <c r="D101" s="6">
        <v>382.25992708295797</v>
      </c>
      <c r="E101" s="7">
        <f t="shared" ref="E101" si="66">C101/B101</f>
        <v>3.7684883450292932</v>
      </c>
      <c r="F101" s="43">
        <f t="shared" ref="F101" si="67">1000*D101/B101</f>
        <v>5306.2720406087155</v>
      </c>
      <c r="G101" s="43">
        <f t="shared" ref="G101" si="68">F101/E101</f>
        <v>1408.0638056391465</v>
      </c>
      <c r="H101" s="27">
        <v>0.44731439413955021</v>
      </c>
      <c r="I101" s="6">
        <v>36.276381000000001</v>
      </c>
      <c r="J101" s="6">
        <v>35.762881999999998</v>
      </c>
      <c r="K101" s="6">
        <v>8.8874770000000005</v>
      </c>
      <c r="L101" s="6">
        <v>25.001615000000001</v>
      </c>
      <c r="M101" s="6">
        <v>24.864373000000001</v>
      </c>
      <c r="N101" s="6">
        <v>13.285798</v>
      </c>
    </row>
    <row r="102" spans="1:22" x14ac:dyDescent="0.35">
      <c r="A102" s="5">
        <v>45352</v>
      </c>
      <c r="B102" s="6">
        <v>72.894820999999993</v>
      </c>
      <c r="C102" s="6">
        <v>274.20484499999998</v>
      </c>
      <c r="D102" s="6">
        <v>387.26797404551598</v>
      </c>
      <c r="E102" s="7">
        <f t="shared" ref="E102:E103" si="69">C102/B102</f>
        <v>3.7616505704842873</v>
      </c>
      <c r="F102" s="43">
        <f t="shared" ref="F102:F103" si="70">1000*D102/B102</f>
        <v>5312.6953154259891</v>
      </c>
      <c r="G102" s="43">
        <f t="shared" ref="G102:G103" si="71">F102/E102</f>
        <v>1412.3308946109833</v>
      </c>
      <c r="H102" s="27">
        <v>0.45227658736582121</v>
      </c>
      <c r="I102" s="6">
        <v>36.727201999999998</v>
      </c>
      <c r="J102" s="6">
        <v>36.167619000000002</v>
      </c>
      <c r="K102" s="41">
        <v>8.9428059999999991</v>
      </c>
      <c r="L102" s="41">
        <v>25.229489000000001</v>
      </c>
      <c r="M102" s="41">
        <v>25.203776999999999</v>
      </c>
      <c r="N102" s="41">
        <v>13.518749</v>
      </c>
      <c r="P102" s="15"/>
      <c r="Q102" s="15"/>
    </row>
    <row r="103" spans="1:22" x14ac:dyDescent="0.35">
      <c r="A103" s="5">
        <v>45383</v>
      </c>
      <c r="B103" s="6">
        <v>73.419784000000007</v>
      </c>
      <c r="C103" s="6">
        <v>274.61028499999998</v>
      </c>
      <c r="D103" s="6">
        <v>394.29640899557899</v>
      </c>
      <c r="E103" s="7">
        <f t="shared" si="69"/>
        <v>3.7402763947112669</v>
      </c>
      <c r="F103" s="43">
        <f t="shared" si="70"/>
        <v>5370.4381505069387</v>
      </c>
      <c r="G103" s="43">
        <f t="shared" si="71"/>
        <v>1435.8399176330158</v>
      </c>
      <c r="H103" s="27">
        <v>0.45518118607993063</v>
      </c>
      <c r="I103" s="6">
        <v>36.976677000000002</v>
      </c>
      <c r="J103" s="6">
        <v>36.443106999999998</v>
      </c>
      <c r="K103" s="41">
        <v>8.9635259999999999</v>
      </c>
      <c r="L103" s="41">
        <v>25.359328000000001</v>
      </c>
      <c r="M103" s="41">
        <v>25.415299999999998</v>
      </c>
      <c r="N103" s="41">
        <v>13.68163</v>
      </c>
      <c r="P103" s="15"/>
      <c r="Q103" s="15"/>
    </row>
    <row r="104" spans="1:22" x14ac:dyDescent="0.35">
      <c r="A104" s="5">
        <v>45413</v>
      </c>
      <c r="B104" s="6">
        <v>72.535353000000001</v>
      </c>
      <c r="C104" s="6">
        <v>273.24564400000003</v>
      </c>
      <c r="D104" s="6">
        <v>394.97737606446202</v>
      </c>
      <c r="E104" s="7">
        <f t="shared" ref="E104" si="72">C104/B104</f>
        <v>3.7670685079591468</v>
      </c>
      <c r="F104" s="43">
        <f t="shared" ref="F104" si="73">1000*D104/B104</f>
        <v>5445.3085251334205</v>
      </c>
      <c r="G104" s="43">
        <f t="shared" ref="G104" si="74">F104/E104</f>
        <v>1445.5029192138265</v>
      </c>
      <c r="H104" s="27">
        <v>0.44934989604974024</v>
      </c>
      <c r="I104" s="6">
        <v>36.508623999999998</v>
      </c>
      <c r="J104" s="6">
        <v>36.026729000000003</v>
      </c>
      <c r="K104" s="41">
        <v>8.832891</v>
      </c>
      <c r="L104" s="41">
        <v>25.135626999999999</v>
      </c>
      <c r="M104" s="41">
        <v>25.121991999999999</v>
      </c>
      <c r="N104" s="41">
        <v>13.444843000000001</v>
      </c>
      <c r="O104" s="37"/>
      <c r="P104" s="15"/>
      <c r="Q104" s="15"/>
      <c r="R104" s="38"/>
      <c r="S104" s="38"/>
    </row>
    <row r="105" spans="1:22" x14ac:dyDescent="0.35">
      <c r="A105" s="5">
        <v>45444</v>
      </c>
      <c r="B105" s="6">
        <v>72.501131999999998</v>
      </c>
      <c r="C105" s="6">
        <v>273.66722700000003</v>
      </c>
      <c r="D105" s="6">
        <v>397.47266574120999</v>
      </c>
      <c r="E105" s="7">
        <f t="shared" ref="E105" si="75">C105/B105</f>
        <v>3.7746614356311019</v>
      </c>
      <c r="F105" s="43">
        <f t="shared" ref="F105" si="76">1000*D105/B105</f>
        <v>5482.2959969950534</v>
      </c>
      <c r="G105" s="43">
        <f t="shared" ref="G105" si="77">F105/E105</f>
        <v>1452.3940995726534</v>
      </c>
      <c r="H105" s="27">
        <v>0.4487902064636084</v>
      </c>
      <c r="I105" s="6">
        <v>36.491509000000001</v>
      </c>
      <c r="J105" s="6">
        <v>36.009622999999998</v>
      </c>
      <c r="K105" s="41">
        <v>8.8523530000000008</v>
      </c>
      <c r="L105" s="41">
        <v>25.116198000000001</v>
      </c>
      <c r="M105" s="41">
        <v>25.071577000000001</v>
      </c>
      <c r="N105" s="41">
        <v>13.461004000000001</v>
      </c>
      <c r="O105" s="37"/>
      <c r="P105" s="15"/>
      <c r="Q105" s="15"/>
      <c r="R105" s="38"/>
      <c r="S105" s="38"/>
    </row>
    <row r="106" spans="1:22" x14ac:dyDescent="0.35">
      <c r="A106" s="5">
        <v>45474</v>
      </c>
      <c r="B106" s="6">
        <v>72.664146000000002</v>
      </c>
      <c r="C106" s="6">
        <v>271.630064</v>
      </c>
      <c r="D106" s="6">
        <v>390.45805445121101</v>
      </c>
      <c r="E106" s="7">
        <f t="shared" ref="E106" si="78">C106/B106</f>
        <v>3.7381580731713271</v>
      </c>
      <c r="F106" s="43">
        <f t="shared" ref="F106" si="79">1000*D106/B106</f>
        <v>5373.4623737435932</v>
      </c>
      <c r="G106" s="43">
        <f t="shared" ref="G106" si="80">F106/E106</f>
        <v>1437.4625868041287</v>
      </c>
      <c r="H106" s="27">
        <v>0.44945100891788331</v>
      </c>
      <c r="I106" s="6">
        <v>36.609779000000003</v>
      </c>
      <c r="J106" s="6">
        <v>36.054366999999999</v>
      </c>
      <c r="K106" s="6">
        <v>8.8770889999999998</v>
      </c>
      <c r="L106" s="6">
        <v>25.116292999999999</v>
      </c>
      <c r="M106" s="6">
        <v>25.144493000000001</v>
      </c>
      <c r="N106" s="6">
        <v>13.526270999999999</v>
      </c>
    </row>
    <row r="107" spans="1:22" x14ac:dyDescent="0.35">
      <c r="A107" s="5">
        <v>45505</v>
      </c>
      <c r="B107" s="6">
        <v>72.462540000000004</v>
      </c>
      <c r="C107" s="6">
        <v>271.80045200000001</v>
      </c>
      <c r="D107" s="6">
        <v>390.58569383803001</v>
      </c>
      <c r="E107" s="7">
        <f t="shared" ref="E107" si="81">C107/B107</f>
        <v>3.7509098080194261</v>
      </c>
      <c r="F107" s="43">
        <f t="shared" ref="F107" si="82">1000*D107/B107</f>
        <v>5390.1739276325388</v>
      </c>
      <c r="G107" s="43">
        <f t="shared" ref="G107" si="83">F107/E107</f>
        <v>1437.0310680647065</v>
      </c>
      <c r="H107" s="27">
        <v>0.44788017910598721</v>
      </c>
      <c r="I107" s="6">
        <v>36.500000999999997</v>
      </c>
      <c r="J107" s="6">
        <v>35.962539</v>
      </c>
      <c r="K107" s="6">
        <v>8.8235700000000001</v>
      </c>
      <c r="L107" s="6">
        <v>25.025054000000001</v>
      </c>
      <c r="M107" s="6">
        <v>25.056460999999999</v>
      </c>
      <c r="N107" s="6">
        <v>13.557454999999999</v>
      </c>
    </row>
    <row r="108" spans="1:22" x14ac:dyDescent="0.35">
      <c r="A108" s="5">
        <v>45536</v>
      </c>
      <c r="B108" s="6">
        <v>72.641925999999998</v>
      </c>
      <c r="C108" s="6">
        <v>272.901366</v>
      </c>
      <c r="D108" s="6">
        <v>395.11392089453199</v>
      </c>
      <c r="E108" s="7">
        <f t="shared" ref="E108" si="84">C108/B108</f>
        <v>3.7568024559260724</v>
      </c>
      <c r="F108" s="43">
        <f t="shared" ref="F108" si="85">1000*D108/B108</f>
        <v>5439.1994079910819</v>
      </c>
      <c r="G108" s="43">
        <f t="shared" ref="G108" si="86">F108/E108</f>
        <v>1447.8268346026966</v>
      </c>
      <c r="H108" s="27">
        <v>0.44866447848886892</v>
      </c>
      <c r="I108" s="6">
        <v>36.583356000000002</v>
      </c>
      <c r="J108" s="6">
        <v>36.058570000000003</v>
      </c>
      <c r="K108" s="6">
        <v>8.8100240000000003</v>
      </c>
      <c r="L108" s="6">
        <v>25.068086000000001</v>
      </c>
      <c r="M108" s="6">
        <v>25.124337000000001</v>
      </c>
      <c r="N108" s="6">
        <v>13.639479</v>
      </c>
    </row>
    <row r="109" spans="1:22" x14ac:dyDescent="0.35">
      <c r="A109" s="5">
        <v>45566</v>
      </c>
      <c r="B109" s="6">
        <v>73.103989999999996</v>
      </c>
      <c r="C109" s="6">
        <v>276.08582899999999</v>
      </c>
      <c r="D109" s="6">
        <v>402.38849922894298</v>
      </c>
      <c r="E109" s="7">
        <f t="shared" ref="E109" si="87">C109/B109</f>
        <v>3.7766177878936569</v>
      </c>
      <c r="F109" s="43">
        <f t="shared" ref="F109" si="88">1000*D109/B109</f>
        <v>5504.3301908547401</v>
      </c>
      <c r="G109" s="43">
        <f t="shared" ref="G109" si="89">F109/E109</f>
        <v>1457.4761069281212</v>
      </c>
      <c r="H109" s="27">
        <v>0.4511920228370444</v>
      </c>
      <c r="I109" s="6">
        <v>36.821365</v>
      </c>
      <c r="J109" s="6">
        <v>36.282625000000003</v>
      </c>
      <c r="K109" s="6">
        <v>8.8599499999999995</v>
      </c>
      <c r="L109" s="6">
        <v>25.20138</v>
      </c>
      <c r="M109" s="6">
        <v>25.274536999999999</v>
      </c>
      <c r="N109" s="6">
        <v>13.768122999999999</v>
      </c>
    </row>
    <row r="110" spans="1:22" x14ac:dyDescent="0.35">
      <c r="A110" s="5">
        <v>45597</v>
      </c>
      <c r="B110" s="21">
        <v>73.788793999999996</v>
      </c>
      <c r="C110" s="6">
        <v>274.53965899999997</v>
      </c>
      <c r="D110" s="6">
        <v>410.14044469877399</v>
      </c>
      <c r="E110" s="7">
        <f t="shared" ref="E110:E113" si="90">C110/B110</f>
        <v>3.720614528542098</v>
      </c>
      <c r="F110" s="43">
        <f t="shared" ref="F110:F111" si="91">1000*D110/B110</f>
        <v>5558.3025885851175</v>
      </c>
      <c r="G110" s="43">
        <f t="shared" ref="G110:G111" si="92">F110/E110</f>
        <v>1493.9205730519757</v>
      </c>
      <c r="H110" s="27">
        <v>0.45508938184184783</v>
      </c>
      <c r="I110" s="6">
        <v>37.176814</v>
      </c>
      <c r="J110" s="6">
        <v>36.611980000000003</v>
      </c>
      <c r="K110" s="6">
        <v>8.8991629999999997</v>
      </c>
      <c r="L110" s="6">
        <v>25.321943999999998</v>
      </c>
      <c r="M110" s="6">
        <v>25.462427999999999</v>
      </c>
      <c r="N110" s="6">
        <v>14.105259</v>
      </c>
    </row>
    <row r="111" spans="1:22" ht="15" thickBot="1" x14ac:dyDescent="0.4">
      <c r="A111" s="12">
        <v>45627</v>
      </c>
      <c r="B111" s="13">
        <v>73.512252000000004</v>
      </c>
      <c r="C111" s="13">
        <v>275.68159200000002</v>
      </c>
      <c r="D111" s="13">
        <v>404.07403136415201</v>
      </c>
      <c r="E111" s="14">
        <f t="shared" si="90"/>
        <v>3.7501448330000828</v>
      </c>
      <c r="F111" s="46">
        <f t="shared" si="91"/>
        <v>5496.689604396176</v>
      </c>
      <c r="G111" s="46">
        <f t="shared" si="92"/>
        <v>1465.7272849909834</v>
      </c>
      <c r="H111" s="28">
        <v>0.45305602938242429</v>
      </c>
      <c r="I111" s="13">
        <v>37.039588000000002</v>
      </c>
      <c r="J111" s="13">
        <v>36.472664000000002</v>
      </c>
      <c r="K111" s="42">
        <v>8.8751540000000002</v>
      </c>
      <c r="L111" s="42">
        <v>25.251995000000001</v>
      </c>
      <c r="M111" s="42">
        <v>25.428121999999998</v>
      </c>
      <c r="N111" s="42">
        <v>13.956981000000001</v>
      </c>
      <c r="O111" s="2"/>
      <c r="P111" s="15"/>
      <c r="Q111" s="15"/>
      <c r="R111" s="2"/>
      <c r="S111" s="2"/>
      <c r="T111" s="2"/>
      <c r="U111" s="2"/>
      <c r="V111" s="2"/>
    </row>
    <row r="112" spans="1:22" x14ac:dyDescent="0.35">
      <c r="A112" s="3">
        <v>45658</v>
      </c>
      <c r="B112" s="4">
        <v>74.602913999999998</v>
      </c>
      <c r="C112" s="4">
        <v>281.25599599999998</v>
      </c>
      <c r="D112" s="4">
        <v>419.04470610022997</v>
      </c>
      <c r="E112" s="11">
        <f t="shared" ref="E112" si="93">C112/B112</f>
        <v>3.7700403498983968</v>
      </c>
      <c r="F112" s="45">
        <f t="shared" ref="F112:F113" si="94">1000*D112/B112</f>
        <v>5617.0018519682753</v>
      </c>
      <c r="G112" s="45">
        <f t="shared" ref="G112:G113" si="95">F112/E112</f>
        <v>1489.9049693512311</v>
      </c>
      <c r="H112" s="26">
        <v>0.45944531744540695</v>
      </c>
      <c r="I112" s="4">
        <v>37.556221999999998</v>
      </c>
      <c r="J112" s="4">
        <v>37.046692</v>
      </c>
      <c r="K112" s="40">
        <v>9.0521200000000004</v>
      </c>
      <c r="L112" s="40">
        <v>25.726631000000001</v>
      </c>
      <c r="M112" s="40">
        <v>25.758434999999999</v>
      </c>
      <c r="N112" s="40">
        <v>14.065728</v>
      </c>
      <c r="O112" s="2"/>
      <c r="P112" s="15"/>
      <c r="Q112" s="15"/>
      <c r="R112" s="2"/>
      <c r="S112" s="2"/>
      <c r="T112" s="2"/>
      <c r="U112" s="2"/>
      <c r="V112" s="2"/>
    </row>
    <row r="113" spans="1:22" x14ac:dyDescent="0.35">
      <c r="A113" s="5">
        <v>45689</v>
      </c>
      <c r="B113" s="6">
        <v>75.003387000000004</v>
      </c>
      <c r="C113" s="6">
        <v>286.11166200000002</v>
      </c>
      <c r="D113" s="6">
        <v>437.83153749082499</v>
      </c>
      <c r="E113" s="7">
        <f t="shared" si="90"/>
        <v>3.8146498904109492</v>
      </c>
      <c r="F113" s="43">
        <f t="shared" si="94"/>
        <v>5837.4902121530185</v>
      </c>
      <c r="G113" s="43">
        <f t="shared" si="95"/>
        <v>1530.2820389433302</v>
      </c>
      <c r="H113" s="27">
        <v>0.46157758592826481</v>
      </c>
      <c r="I113" s="6">
        <v>37.724542</v>
      </c>
      <c r="J113" s="6">
        <v>37.278844999999997</v>
      </c>
      <c r="K113" s="6">
        <v>9.0699400000000008</v>
      </c>
      <c r="L113" s="6">
        <v>25.926617</v>
      </c>
      <c r="M113" s="6">
        <v>25.910443999999998</v>
      </c>
      <c r="N113" s="6">
        <v>14.096386000000001</v>
      </c>
    </row>
    <row r="114" spans="1:22" x14ac:dyDescent="0.35">
      <c r="A114" s="5">
        <v>45717</v>
      </c>
      <c r="B114" s="6">
        <v>75.769531000000001</v>
      </c>
      <c r="C114" s="6">
        <v>287.59146199999998</v>
      </c>
      <c r="D114" s="6">
        <v>438.98295319302298</v>
      </c>
      <c r="E114" s="7">
        <f t="shared" ref="E114" si="96">C114/B114</f>
        <v>3.7956083164880612</v>
      </c>
      <c r="F114" s="43">
        <f t="shared" ref="F114" si="97">1000*D114/B114</f>
        <v>5793.6606891894708</v>
      </c>
      <c r="G114" s="43">
        <f t="shared" ref="G114" si="98">F114/E114</f>
        <v>1526.4116331555872</v>
      </c>
      <c r="H114" s="27">
        <v>0.46595522892174029</v>
      </c>
      <c r="I114" s="6">
        <v>38.108510000000003</v>
      </c>
      <c r="J114" s="6">
        <v>37.661020999999998</v>
      </c>
      <c r="K114" s="41">
        <v>9.1426189999999998</v>
      </c>
      <c r="L114" s="41">
        <v>26.169799000000001</v>
      </c>
      <c r="M114" s="41">
        <v>26.196626999999999</v>
      </c>
      <c r="N114" s="41">
        <v>14.260486</v>
      </c>
      <c r="P114" s="15"/>
      <c r="Q114" s="15"/>
    </row>
    <row r="115" spans="1:22" x14ac:dyDescent="0.35">
      <c r="A115" s="5">
        <v>45748</v>
      </c>
      <c r="B115" s="6">
        <v>76.638531</v>
      </c>
      <c r="C115" s="6">
        <v>294.10668800000002</v>
      </c>
      <c r="D115" s="6">
        <v>457.43310315399998</v>
      </c>
      <c r="E115" s="7">
        <f t="shared" ref="E115" si="99">C115/B115</f>
        <v>3.837582534038916</v>
      </c>
      <c r="F115" s="43">
        <f t="shared" ref="F115" si="100">1000*D115/B115</f>
        <v>5968.7091752058759</v>
      </c>
      <c r="G115" s="43">
        <f t="shared" ref="G115" si="101">F115/E115</f>
        <v>1555.3305035824276</v>
      </c>
      <c r="H115" s="27">
        <v>0.4709583156108621</v>
      </c>
      <c r="I115" s="6">
        <v>38.552363</v>
      </c>
      <c r="J115" s="6">
        <v>38.086168000000001</v>
      </c>
      <c r="K115" s="41">
        <v>9.2537850000000006</v>
      </c>
      <c r="L115" s="41">
        <v>26.547103</v>
      </c>
      <c r="M115" s="41">
        <v>26.592870999999999</v>
      </c>
      <c r="N115" s="41">
        <v>14.244771999999999</v>
      </c>
      <c r="P115" s="15"/>
      <c r="Q115" s="15"/>
    </row>
    <row r="116" spans="1:22" x14ac:dyDescent="0.35">
      <c r="A116" s="5">
        <v>45778</v>
      </c>
      <c r="B116" s="6">
        <v>77.072280000000006</v>
      </c>
      <c r="C116" s="6">
        <v>298.51002</v>
      </c>
      <c r="D116" s="6">
        <v>465.28093259799999</v>
      </c>
      <c r="E116" s="7">
        <f t="shared" ref="E116" si="102">C116/B116</f>
        <v>3.8731178057791982</v>
      </c>
      <c r="F116" s="43">
        <f t="shared" ref="F116" si="103">1000*D116/B116</f>
        <v>6036.9426283742996</v>
      </c>
      <c r="G116" s="43">
        <f t="shared" ref="G116" si="104">F116/E116</f>
        <v>1558.6777710108358</v>
      </c>
      <c r="H116" s="27">
        <v>0.47328110303473703</v>
      </c>
      <c r="I116" s="6">
        <v>38.785603000000002</v>
      </c>
      <c r="J116" s="6">
        <v>38.286676999999997</v>
      </c>
      <c r="K116" s="41">
        <v>9.2548960000000005</v>
      </c>
      <c r="L116" s="41">
        <v>26.643574000000001</v>
      </c>
      <c r="M116" s="41">
        <v>26.732130999999999</v>
      </c>
      <c r="N116" s="41">
        <v>14.441679000000001</v>
      </c>
      <c r="O116" s="37"/>
      <c r="P116" s="15"/>
      <c r="Q116" s="15"/>
      <c r="R116" s="38"/>
      <c r="S116" s="38"/>
    </row>
    <row r="117" spans="1:22" x14ac:dyDescent="0.35">
      <c r="A117" s="5">
        <v>45809</v>
      </c>
      <c r="B117" s="6">
        <v>77.874599000000003</v>
      </c>
      <c r="C117" s="6">
        <v>304.54344900000001</v>
      </c>
      <c r="D117" s="6">
        <v>477.23550930300001</v>
      </c>
      <c r="E117" s="7">
        <f t="shared" ref="E117:E118" si="105">C117/B117</f>
        <v>3.9106904293658062</v>
      </c>
      <c r="F117" s="43">
        <f t="shared" ref="F117:F118" si="106">1000*D117/B117</f>
        <v>6128.2563946557202</v>
      </c>
      <c r="G117" s="43">
        <f t="shared" ref="G117:G118" si="107">F117/E117</f>
        <v>1567.0522904697252</v>
      </c>
      <c r="H117" s="27">
        <v>0.47786187242322586</v>
      </c>
      <c r="I117" s="6">
        <v>39.196348</v>
      </c>
      <c r="J117" s="6">
        <v>38.678251000000003</v>
      </c>
      <c r="K117" s="41">
        <v>9.2441739999999992</v>
      </c>
      <c r="L117" s="41">
        <v>26.932323</v>
      </c>
      <c r="M117" s="41">
        <v>27.072382000000001</v>
      </c>
      <c r="N117" s="41">
        <v>14.625719999999999</v>
      </c>
      <c r="O117" s="37"/>
      <c r="P117" s="15"/>
      <c r="Q117" s="15"/>
      <c r="R117" s="38"/>
      <c r="S117" s="38"/>
    </row>
    <row r="118" spans="1:22" x14ac:dyDescent="0.35">
      <c r="A118" s="5">
        <v>45839</v>
      </c>
      <c r="B118" s="6">
        <v>78.161185000000003</v>
      </c>
      <c r="C118" s="6">
        <v>307.52147500000001</v>
      </c>
      <c r="D118" s="6">
        <v>482.85960404899998</v>
      </c>
      <c r="E118" s="7">
        <f t="shared" si="105"/>
        <v>3.9344525674732287</v>
      </c>
      <c r="F118" s="43">
        <f t="shared" si="106"/>
        <v>6177.7415996059926</v>
      </c>
      <c r="G118" s="43">
        <f t="shared" si="107"/>
        <v>1570.1654788466396</v>
      </c>
      <c r="H118" s="27">
        <v>0.47927332791837085</v>
      </c>
      <c r="I118" s="6">
        <v>39.323169</v>
      </c>
      <c r="J118" s="6">
        <v>38.838016000000003</v>
      </c>
      <c r="K118" s="6">
        <v>9.2674679999999992</v>
      </c>
      <c r="L118" s="6">
        <v>27.000328</v>
      </c>
      <c r="M118" s="41">
        <v>27.161753000000001</v>
      </c>
      <c r="N118" s="6">
        <v>14.731636</v>
      </c>
    </row>
    <row r="119" spans="1:22" x14ac:dyDescent="0.35">
      <c r="A119" s="5">
        <v>45870</v>
      </c>
      <c r="B119" s="6">
        <v>78.848843000000002</v>
      </c>
      <c r="C119" s="6">
        <v>313.09851700000002</v>
      </c>
      <c r="D119" s="6">
        <v>494.10999701200001</v>
      </c>
      <c r="E119" s="7">
        <f t="shared" ref="E119" si="108">C119/B119</f>
        <v>3.9708701496101853</v>
      </c>
      <c r="F119" s="43">
        <f t="shared" ref="F119" si="109">1000*D119/B119</f>
        <v>6266.5472087142734</v>
      </c>
      <c r="G119" s="43">
        <f t="shared" ref="G119" si="110">F119/E119</f>
        <v>1578.1294710252491</v>
      </c>
      <c r="H119" s="27">
        <v>0.48315218404352311</v>
      </c>
      <c r="I119" s="6">
        <v>39.674613999999998</v>
      </c>
      <c r="J119" s="6">
        <v>39.174228999999997</v>
      </c>
      <c r="K119" s="6">
        <v>9.2646460000000008</v>
      </c>
      <c r="L119" s="6">
        <v>27.178258</v>
      </c>
      <c r="M119" s="41">
        <v>27.449898000000001</v>
      </c>
      <c r="N119" s="6">
        <v>14.956041000000001</v>
      </c>
    </row>
    <row r="120" spans="1:22" x14ac:dyDescent="0.35">
      <c r="A120" s="5">
        <v>45901</v>
      </c>
      <c r="B120" s="6">
        <v>79.166951999999995</v>
      </c>
      <c r="C120" s="6">
        <v>313.47032400000001</v>
      </c>
      <c r="D120" s="6">
        <v>496.66958279200003</v>
      </c>
      <c r="E120" s="7">
        <f t="shared" ref="E120" si="111">C120/B120</f>
        <v>3.959610873991966</v>
      </c>
      <c r="F120" s="43">
        <f t="shared" ref="F120" si="112">1000*D120/B120</f>
        <v>6273.69843406375</v>
      </c>
      <c r="G120" s="43">
        <f t="shared" ref="G120" si="113">F120/E120</f>
        <v>1584.4229732955521</v>
      </c>
      <c r="H120" s="27">
        <v>0.48476246927706457</v>
      </c>
      <c r="I120" s="6">
        <v>39.850875000000002</v>
      </c>
      <c r="J120" s="6">
        <v>39.316077</v>
      </c>
      <c r="K120" s="6">
        <v>9.2241199999999992</v>
      </c>
      <c r="L120" s="6">
        <v>27.191144999999999</v>
      </c>
      <c r="M120" s="41">
        <v>27.560566999999999</v>
      </c>
      <c r="N120" s="6">
        <v>15.19112</v>
      </c>
    </row>
    <row r="121" spans="1:22" x14ac:dyDescent="0.35">
      <c r="A121" s="5">
        <v>45931</v>
      </c>
      <c r="B121" s="6">
        <v>80.436532</v>
      </c>
      <c r="C121" s="6">
        <v>321.25457999999998</v>
      </c>
      <c r="D121" s="6">
        <v>509.17629217199999</v>
      </c>
      <c r="E121" s="7">
        <f t="shared" ref="E121" si="114">C121/B121</f>
        <v>3.9938889956120929</v>
      </c>
      <c r="F121" s="43">
        <f t="shared" ref="F121" si="115">1000*D121/B121</f>
        <v>6330.1621727301717</v>
      </c>
      <c r="G121" s="43">
        <f t="shared" ref="G121" si="116">F121/E121</f>
        <v>1584.9619705717505</v>
      </c>
      <c r="H121" s="27">
        <v>0.49219227565150231</v>
      </c>
      <c r="I121" s="6">
        <v>40.550953</v>
      </c>
      <c r="J121" s="6">
        <v>39.885579</v>
      </c>
      <c r="K121" s="6">
        <v>9.3551249999999992</v>
      </c>
      <c r="L121" s="6">
        <v>27.527161</v>
      </c>
      <c r="M121" s="6">
        <v>28.030503</v>
      </c>
      <c r="N121" s="6">
        <v>15.523743</v>
      </c>
    </row>
    <row r="122" spans="1:22" x14ac:dyDescent="0.35">
      <c r="A122" s="5">
        <v>45962</v>
      </c>
      <c r="B122" s="21">
        <v>80.609865999999997</v>
      </c>
      <c r="C122" s="6">
        <v>321.627972</v>
      </c>
      <c r="D122" s="6">
        <v>511.52540176299999</v>
      </c>
      <c r="E122" s="7">
        <f t="shared" ref="E122" si="117">C122/B122</f>
        <v>3.9899330933015076</v>
      </c>
      <c r="F122" s="43">
        <f t="shared" ref="F122" si="118">1000*D122/B122</f>
        <v>6345.6922476834288</v>
      </c>
      <c r="G122" s="43">
        <f t="shared" ref="G122" si="119">F122/E122</f>
        <v>1590.4257287764758</v>
      </c>
      <c r="H122" s="27">
        <v>0.49290814915617392</v>
      </c>
      <c r="I122" s="6">
        <v>40.608030999999997</v>
      </c>
      <c r="J122" s="6">
        <v>40.001835</v>
      </c>
      <c r="K122" s="6">
        <v>9.2693729999999999</v>
      </c>
      <c r="L122" s="6">
        <v>27.539959</v>
      </c>
      <c r="M122" s="6">
        <v>28.148769999999999</v>
      </c>
      <c r="N122" s="6">
        <v>15.651764</v>
      </c>
    </row>
    <row r="123" spans="1:22" ht="15" thickBot="1" x14ac:dyDescent="0.4">
      <c r="A123" s="12">
        <v>45992</v>
      </c>
      <c r="B123" s="13">
        <v>81.248016000000007</v>
      </c>
      <c r="C123" s="13">
        <v>325.46627100000001</v>
      </c>
      <c r="D123" s="13">
        <v>518.55522155000006</v>
      </c>
      <c r="E123" s="14">
        <f t="shared" ref="E123" si="120">C123/B123</f>
        <v>4.0058365363653925</v>
      </c>
      <c r="F123" s="46">
        <f t="shared" ref="F123" si="121">1000*D123/B123</f>
        <v>6382.3739591376607</v>
      </c>
      <c r="G123" s="46">
        <f t="shared" ref="G123" si="122">F123/E123</f>
        <v>1593.2686971117816</v>
      </c>
      <c r="H123" s="28">
        <v>0.49646296785574623</v>
      </c>
      <c r="I123" s="13">
        <v>40.944929000000002</v>
      </c>
      <c r="J123" s="13">
        <v>40.303086999999998</v>
      </c>
      <c r="K123" s="42">
        <v>9.2164819999999992</v>
      </c>
      <c r="L123" s="42">
        <v>27.654758999999999</v>
      </c>
      <c r="M123" s="42">
        <v>28.468753</v>
      </c>
      <c r="N123" s="42">
        <v>15.908022000000001</v>
      </c>
      <c r="O123" s="2"/>
      <c r="P123" s="15"/>
      <c r="Q123" s="15"/>
      <c r="R123" s="2"/>
      <c r="S123" s="2"/>
      <c r="T123" s="2"/>
      <c r="U123" s="2"/>
      <c r="V123" s="2"/>
    </row>
    <row r="124" spans="1:22" x14ac:dyDescent="0.35">
      <c r="A124" s="3">
        <v>46023</v>
      </c>
      <c r="B124" s="4">
        <v>81.319333</v>
      </c>
      <c r="C124" s="4">
        <v>327.22980699999999</v>
      </c>
      <c r="D124" s="4">
        <v>524.77760272800003</v>
      </c>
      <c r="E124" s="11">
        <f t="shared" ref="E124" si="123">C124/B124</f>
        <v>4.0240099731265628</v>
      </c>
      <c r="F124" s="45">
        <f t="shared" ref="F124" si="124">1000*D124/B124</f>
        <v>6453.2944795304702</v>
      </c>
      <c r="G124" s="45">
        <f t="shared" ref="G124" si="125">F124/E124</f>
        <v>1603.6974367924863</v>
      </c>
      <c r="H124" s="26">
        <v>0.4965513335523013</v>
      </c>
      <c r="I124" s="4">
        <v>41.014054000000002</v>
      </c>
      <c r="J124" s="4">
        <v>40.305278999999999</v>
      </c>
      <c r="K124" s="40">
        <v>9.2723220000000008</v>
      </c>
      <c r="L124" s="40">
        <v>27.695314</v>
      </c>
      <c r="M124" s="40">
        <v>28.479409</v>
      </c>
      <c r="N124" s="40">
        <v>15.872287999999999</v>
      </c>
      <c r="O124" s="2"/>
      <c r="P124" s="15"/>
      <c r="Q124" s="15"/>
      <c r="R124" s="2"/>
      <c r="S124" s="2"/>
      <c r="T124" s="2"/>
      <c r="U124" s="2"/>
      <c r="V124" s="2"/>
    </row>
    <row r="125" spans="1:22" x14ac:dyDescent="0.35">
      <c r="A125" s="5">
        <v>46054</v>
      </c>
      <c r="B125" s="6">
        <v>81.731915999999998</v>
      </c>
      <c r="C125" s="6">
        <v>332.18992400000002</v>
      </c>
      <c r="D125" s="6">
        <v>539.27806376399997</v>
      </c>
      <c r="E125" s="7">
        <f t="shared" ref="E125" si="126">C125/B125</f>
        <v>4.06438439544229</v>
      </c>
      <c r="F125" s="43">
        <f t="shared" ref="F125" si="127">1000*D125/B125</f>
        <v>6598.1331425535154</v>
      </c>
      <c r="G125" s="43">
        <f t="shared" ref="G125" si="128">F125/E125</f>
        <v>1623.4028331455349</v>
      </c>
      <c r="H125" s="27">
        <v>0.49872165071397867</v>
      </c>
      <c r="I125" s="6">
        <v>41.282919999999997</v>
      </c>
      <c r="J125" s="6">
        <v>40.448996000000001</v>
      </c>
      <c r="K125" s="6">
        <v>9.3591890000000006</v>
      </c>
      <c r="L125" s="6">
        <v>27.914155999999998</v>
      </c>
      <c r="M125" s="6">
        <v>28.595395</v>
      </c>
      <c r="N125" s="6">
        <v>15.863175999999999</v>
      </c>
    </row>
    <row r="126" spans="1:22" x14ac:dyDescent="0.35">
      <c r="A126" s="5">
        <v>46082</v>
      </c>
      <c r="B126" s="6">
        <v>82.832491000000005</v>
      </c>
      <c r="C126" s="6">
        <v>338.26519400000001</v>
      </c>
      <c r="D126" s="6">
        <v>557.33931667000002</v>
      </c>
      <c r="E126" s="7">
        <f t="shared" ref="E126" si="129">C126/B126</f>
        <v>4.083725962074471</v>
      </c>
      <c r="F126" s="43">
        <f t="shared" ref="F126" si="130">1000*D126/B126</f>
        <v>6728.5108770904881</v>
      </c>
      <c r="G126" s="43">
        <f t="shared" ref="G126" si="131">F126/E126</f>
        <v>1647.6401549903476</v>
      </c>
      <c r="H126" s="27">
        <v>0.50508377168851259</v>
      </c>
      <c r="I126" s="6">
        <v>41.862658000000003</v>
      </c>
      <c r="J126" s="6">
        <v>40.969833000000001</v>
      </c>
      <c r="K126" s="41">
        <v>9.5090269999999997</v>
      </c>
      <c r="L126" s="41">
        <v>28.262547000000001</v>
      </c>
      <c r="M126" s="41">
        <v>28.969028000000002</v>
      </c>
      <c r="N126" s="41">
        <v>16.091888999999998</v>
      </c>
      <c r="P126" s="15"/>
      <c r="Q126" s="15"/>
    </row>
    <row r="127" spans="1:22" x14ac:dyDescent="0.35">
      <c r="A127" s="5">
        <v>46113</v>
      </c>
      <c r="B127" s="6">
        <v>83.389191999999994</v>
      </c>
      <c r="C127" s="6">
        <v>342.99197500000002</v>
      </c>
      <c r="D127" s="6">
        <v>568.24682753499997</v>
      </c>
      <c r="E127" s="7">
        <f t="shared" ref="E127" si="132">C127/B127</f>
        <v>4.1131466413537145</v>
      </c>
      <c r="F127" s="43">
        <f t="shared" ref="F127" si="133">1000*D127/B127</f>
        <v>6814.3942147202961</v>
      </c>
      <c r="G127" s="43">
        <f t="shared" ref="G127" si="134">F127/E127</f>
        <v>1656.7350519935633</v>
      </c>
      <c r="H127" s="27">
        <v>0.50812264989473976</v>
      </c>
      <c r="I127" s="6">
        <v>42.145018</v>
      </c>
      <c r="J127" s="6">
        <v>41.244174000000001</v>
      </c>
      <c r="K127" s="41">
        <v>9.5720589999999994</v>
      </c>
      <c r="L127" s="41">
        <v>28.415348000000002</v>
      </c>
      <c r="M127" s="41">
        <v>29.184618</v>
      </c>
      <c r="N127" s="41">
        <v>16.217167</v>
      </c>
      <c r="P127" s="15"/>
      <c r="Q127" s="15"/>
    </row>
    <row r="128" spans="1:22" x14ac:dyDescent="0.35">
      <c r="A128" s="5">
        <v>46143</v>
      </c>
      <c r="B128" s="6">
        <v>83.502846000000005</v>
      </c>
      <c r="C128" s="6">
        <v>344.16849000000002</v>
      </c>
      <c r="D128" s="6">
        <v>574.268388458</v>
      </c>
      <c r="E128" s="7">
        <f t="shared" ref="E128" si="135">C128/B128</f>
        <v>4.1216378421401352</v>
      </c>
      <c r="F128" s="43">
        <f t="shared" ref="F128" si="136">1000*D128/B128</f>
        <v>6877.2313276364257</v>
      </c>
      <c r="G128" s="43">
        <f t="shared" ref="G128" si="137">F128/E128</f>
        <v>1668.5675915828319</v>
      </c>
      <c r="H128" s="27">
        <v>0.50845920628947106</v>
      </c>
      <c r="I128" s="6">
        <v>42.161828</v>
      </c>
      <c r="J128" s="6">
        <v>41.341017999999998</v>
      </c>
      <c r="K128" s="41">
        <v>9.4025219999999994</v>
      </c>
      <c r="L128" s="41">
        <v>28.38531</v>
      </c>
      <c r="M128" s="41">
        <v>29.351935999999998</v>
      </c>
      <c r="N128" s="41">
        <v>16.363078000000002</v>
      </c>
      <c r="O128" s="37"/>
      <c r="P128" s="15"/>
      <c r="Q128" s="15"/>
      <c r="R128" s="38"/>
      <c r="S128" s="38"/>
    </row>
    <row r="129" spans="1:22" x14ac:dyDescent="0.35">
      <c r="A129" s="5">
        <v>46174</v>
      </c>
      <c r="B129" s="6">
        <v>83.737593000000004</v>
      </c>
      <c r="C129" s="6">
        <v>345.475932</v>
      </c>
      <c r="D129" s="6">
        <v>579.51706650200003</v>
      </c>
      <c r="E129" s="7">
        <f t="shared" ref="E129" si="138">C129/B129</f>
        <v>4.1256969495170468</v>
      </c>
      <c r="F129" s="43">
        <f t="shared" ref="F129" si="139">1000*D129/B129</f>
        <v>6920.632009353315</v>
      </c>
      <c r="G129" s="43">
        <f t="shared" ref="G129" si="140">F129/E129</f>
        <v>1677.445555026392</v>
      </c>
      <c r="H129" s="27">
        <v>0.50953181995680052</v>
      </c>
      <c r="I129" s="6">
        <v>42.287354000000001</v>
      </c>
      <c r="J129" s="6">
        <v>41.450239000000003</v>
      </c>
      <c r="K129" s="41">
        <v>9.4471600000000002</v>
      </c>
      <c r="L129" s="41">
        <v>28.421040000000001</v>
      </c>
      <c r="M129" s="41">
        <v>29.447792</v>
      </c>
      <c r="N129" s="41">
        <v>16.421600999999999</v>
      </c>
      <c r="O129" s="37"/>
      <c r="P129" s="15"/>
      <c r="Q129" s="15"/>
      <c r="R129" s="38"/>
      <c r="S129" s="38"/>
    </row>
    <row r="130" spans="1:22" x14ac:dyDescent="0.35">
      <c r="A130" s="5">
        <v>46204</v>
      </c>
      <c r="B130" s="6">
        <v>83.931917999999996</v>
      </c>
      <c r="C130" s="6">
        <v>348.31089600000001</v>
      </c>
      <c r="D130" s="6">
        <v>586.451721937</v>
      </c>
      <c r="E130" s="7">
        <f t="shared" ref="E130" si="141">C130/B130</f>
        <v>4.1499217973310225</v>
      </c>
      <c r="F130" s="43">
        <f t="shared" ref="F130" si="142">1000*D130/B130</f>
        <v>6987.2312692413398</v>
      </c>
      <c r="G130" s="43">
        <f t="shared" ref="G130" si="143">F130/E130</f>
        <v>1683.7019130661938</v>
      </c>
      <c r="H130" s="27">
        <v>0.51035684529404768</v>
      </c>
      <c r="I130" s="6">
        <v>42.403303999999999</v>
      </c>
      <c r="J130" s="6">
        <v>41.528613999999997</v>
      </c>
      <c r="K130" s="6">
        <v>9.4384969999999999</v>
      </c>
      <c r="L130" s="6">
        <v>28.445167999999999</v>
      </c>
      <c r="M130" s="41">
        <v>29.532229999999998</v>
      </c>
      <c r="N130" s="6">
        <v>16.516023000000001</v>
      </c>
    </row>
    <row r="131" spans="1:22" x14ac:dyDescent="0.35">
      <c r="A131" s="5">
        <v>46235</v>
      </c>
      <c r="B131" s="6"/>
      <c r="C131" s="6"/>
      <c r="D131" s="6"/>
      <c r="E131" s="7"/>
      <c r="F131" s="43"/>
      <c r="G131" s="43"/>
      <c r="H131" s="27"/>
      <c r="I131" s="6"/>
      <c r="J131" s="6"/>
      <c r="K131" s="6"/>
      <c r="L131" s="6"/>
      <c r="M131" s="41"/>
      <c r="N131" s="6"/>
    </row>
    <row r="132" spans="1:22" x14ac:dyDescent="0.35">
      <c r="A132" s="5">
        <v>46266</v>
      </c>
      <c r="B132" s="6"/>
      <c r="C132" s="6"/>
      <c r="D132" s="6"/>
      <c r="E132" s="7"/>
      <c r="F132" s="43"/>
      <c r="G132" s="43"/>
      <c r="H132" s="27"/>
      <c r="I132" s="6"/>
      <c r="J132" s="6"/>
      <c r="K132" s="48"/>
      <c r="L132" s="48"/>
      <c r="M132" s="48"/>
      <c r="N132" s="48"/>
    </row>
    <row r="133" spans="1:22" x14ac:dyDescent="0.35">
      <c r="A133" s="5">
        <v>46296</v>
      </c>
      <c r="B133" s="6"/>
      <c r="C133" s="6"/>
      <c r="D133" s="6"/>
      <c r="E133" s="7"/>
      <c r="F133" s="43"/>
      <c r="G133" s="43"/>
      <c r="H133" s="27"/>
      <c r="I133" s="6"/>
      <c r="J133" s="6"/>
      <c r="K133" s="6"/>
      <c r="L133" s="6"/>
      <c r="M133" s="6"/>
      <c r="N133" s="6"/>
    </row>
    <row r="134" spans="1:22" x14ac:dyDescent="0.35">
      <c r="A134" s="5">
        <v>46327</v>
      </c>
      <c r="B134" s="21"/>
      <c r="C134" s="6"/>
      <c r="D134" s="6"/>
      <c r="E134" s="7"/>
      <c r="F134" s="43"/>
      <c r="G134" s="43"/>
      <c r="H134" s="27"/>
      <c r="I134" s="6"/>
      <c r="J134" s="6"/>
      <c r="K134" s="6"/>
      <c r="L134" s="6"/>
      <c r="M134" s="6"/>
      <c r="N134" s="6"/>
    </row>
    <row r="135" spans="1:22" ht="15" thickBot="1" x14ac:dyDescent="0.4">
      <c r="A135" s="12">
        <v>46357</v>
      </c>
      <c r="B135" s="13"/>
      <c r="C135" s="13"/>
      <c r="D135" s="13"/>
      <c r="E135" s="14"/>
      <c r="F135" s="46"/>
      <c r="G135" s="46"/>
      <c r="H135" s="28"/>
      <c r="I135" s="13"/>
      <c r="J135" s="13"/>
      <c r="K135" s="42"/>
      <c r="L135" s="42"/>
      <c r="M135" s="42"/>
      <c r="N135" s="42"/>
      <c r="O135" s="2"/>
      <c r="P135" s="15"/>
      <c r="Q135" s="15"/>
      <c r="R135" s="2"/>
      <c r="S135" s="2"/>
      <c r="T135" s="2"/>
      <c r="U135" s="2"/>
      <c r="V135" s="2"/>
    </row>
    <row r="140" spans="1:22" x14ac:dyDescent="0.35">
      <c r="C140" s="47"/>
    </row>
  </sheetData>
  <mergeCells count="3">
    <mergeCell ref="A2:G2"/>
    <mergeCell ref="I3:J3"/>
    <mergeCell ref="K2:N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L111"/>
  <sheetViews>
    <sheetView zoomScale="90" zoomScaleNormal="90" workbookViewId="0">
      <pane xSplit="1" ySplit="3" topLeftCell="B98" activePane="bottomRight" state="frozen"/>
      <selection pane="topRight" activeCell="B1" sqref="B1"/>
      <selection pane="bottomLeft" activeCell="A4" sqref="A4"/>
      <selection pane="bottomRight" activeCell="B109" sqref="B109"/>
    </sheetView>
  </sheetViews>
  <sheetFormatPr defaultColWidth="9.1796875" defaultRowHeight="14.5" x14ac:dyDescent="0.35"/>
  <cols>
    <col min="1" max="1" width="16.26953125" style="1" customWidth="1"/>
    <col min="2" max="2" width="15.7265625" style="1" bestFit="1" customWidth="1"/>
    <col min="3" max="11" width="16.26953125" style="1" customWidth="1"/>
    <col min="12" max="12" width="17.08984375" style="1" customWidth="1"/>
    <col min="13" max="16384" width="9.1796875" style="1"/>
  </cols>
  <sheetData>
    <row r="1" spans="1:12" ht="42" customHeight="1" x14ac:dyDescent="0.35"/>
    <row r="2" spans="1:12" ht="15" thickBot="1" x14ac:dyDescent="0.4">
      <c r="A2" s="54" t="s">
        <v>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ht="70" customHeight="1" thickBot="1" x14ac:dyDescent="0.4">
      <c r="A3" s="24" t="s">
        <v>0</v>
      </c>
      <c r="B3" s="25" t="s">
        <v>10</v>
      </c>
      <c r="C3" s="25" t="s">
        <v>11</v>
      </c>
      <c r="D3" s="25" t="s">
        <v>12</v>
      </c>
      <c r="E3" s="25" t="s">
        <v>13</v>
      </c>
      <c r="F3" s="25" t="s">
        <v>14</v>
      </c>
      <c r="G3" s="25" t="s">
        <v>15</v>
      </c>
      <c r="H3" s="25" t="s">
        <v>17</v>
      </c>
      <c r="I3" s="25" t="s">
        <v>55</v>
      </c>
      <c r="J3" s="25" t="s">
        <v>56</v>
      </c>
      <c r="K3" s="25" t="s">
        <v>16</v>
      </c>
      <c r="L3" s="25" t="s">
        <v>57</v>
      </c>
    </row>
    <row r="4" spans="1:12" x14ac:dyDescent="0.35">
      <c r="A4" s="3">
        <v>43101</v>
      </c>
      <c r="B4" s="26">
        <v>0.28182986199999999</v>
      </c>
      <c r="C4" s="26">
        <v>0.18942798799999999</v>
      </c>
      <c r="D4" s="26">
        <v>0.118731214</v>
      </c>
      <c r="E4" s="26">
        <v>0.132873144</v>
      </c>
      <c r="F4" s="26">
        <v>0.109593484</v>
      </c>
      <c r="G4" s="26">
        <v>7.6161867999999994E-2</v>
      </c>
      <c r="H4" s="26">
        <v>4.5216287000000001E-2</v>
      </c>
      <c r="I4" s="26" t="s">
        <v>1</v>
      </c>
      <c r="J4" s="26">
        <v>4.6166153000000001E-2</v>
      </c>
      <c r="K4" s="26">
        <f t="shared" ref="K4:K23" si="0">G4+B4</f>
        <v>0.35799172999999995</v>
      </c>
      <c r="L4" s="26">
        <f>SUM(C4:F4)+H4+J4</f>
        <v>0.64200827000000005</v>
      </c>
    </row>
    <row r="5" spans="1:12" x14ac:dyDescent="0.35">
      <c r="A5" s="5">
        <v>43132</v>
      </c>
      <c r="B5" s="27">
        <v>0.283480707</v>
      </c>
      <c r="C5" s="27">
        <v>0.191028377</v>
      </c>
      <c r="D5" s="27">
        <v>0.119126101</v>
      </c>
      <c r="E5" s="27">
        <v>0.13272149499999999</v>
      </c>
      <c r="F5" s="27">
        <v>0.10760578</v>
      </c>
      <c r="G5" s="27">
        <v>7.6637943E-2</v>
      </c>
      <c r="H5" s="27">
        <v>4.3344885E-2</v>
      </c>
      <c r="I5" s="27" t="s">
        <v>1</v>
      </c>
      <c r="J5" s="27">
        <v>4.6054711999999998E-2</v>
      </c>
      <c r="K5" s="27">
        <f t="shared" si="0"/>
        <v>0.36011864999999998</v>
      </c>
      <c r="L5" s="27">
        <f t="shared" ref="L5:L23" si="1">SUM(C5:F5)+H5+J5</f>
        <v>0.63988135000000002</v>
      </c>
    </row>
    <row r="6" spans="1:12" x14ac:dyDescent="0.35">
      <c r="A6" s="5">
        <v>43160</v>
      </c>
      <c r="B6" s="27">
        <v>0.28096515799999999</v>
      </c>
      <c r="C6" s="27">
        <v>0.19036347000000001</v>
      </c>
      <c r="D6" s="27">
        <v>0.117084858</v>
      </c>
      <c r="E6" s="27">
        <v>0.13168628499999999</v>
      </c>
      <c r="F6" s="27">
        <v>0.105807868</v>
      </c>
      <c r="G6" s="27">
        <v>9.0724272999999994E-2</v>
      </c>
      <c r="H6" s="27">
        <v>3.8852036999999999E-2</v>
      </c>
      <c r="I6" s="27" t="s">
        <v>1</v>
      </c>
      <c r="J6" s="27">
        <v>4.4516051000000001E-2</v>
      </c>
      <c r="K6" s="27">
        <f t="shared" si="0"/>
        <v>0.37168943099999996</v>
      </c>
      <c r="L6" s="27">
        <f t="shared" si="1"/>
        <v>0.62831056899999993</v>
      </c>
    </row>
    <row r="7" spans="1:12" x14ac:dyDescent="0.35">
      <c r="A7" s="5">
        <v>43191</v>
      </c>
      <c r="B7" s="27">
        <v>0.281746049</v>
      </c>
      <c r="C7" s="27">
        <v>0.19047977799999999</v>
      </c>
      <c r="D7" s="27">
        <v>0.11523085399999999</v>
      </c>
      <c r="E7" s="27">
        <v>0.130105676</v>
      </c>
      <c r="F7" s="27">
        <v>0.102849661</v>
      </c>
      <c r="G7" s="27">
        <v>9.2461000000000002E-2</v>
      </c>
      <c r="H7" s="27">
        <v>4.3092660999999997E-2</v>
      </c>
      <c r="I7" s="27" t="s">
        <v>1</v>
      </c>
      <c r="J7" s="27">
        <v>4.4034321000000001E-2</v>
      </c>
      <c r="K7" s="27">
        <f t="shared" si="0"/>
        <v>0.37420704900000001</v>
      </c>
      <c r="L7" s="27">
        <f t="shared" si="1"/>
        <v>0.62579295099999999</v>
      </c>
    </row>
    <row r="8" spans="1:12" x14ac:dyDescent="0.35">
      <c r="A8" s="5">
        <v>43221</v>
      </c>
      <c r="B8" s="27">
        <v>0.28091572199999998</v>
      </c>
      <c r="C8" s="27">
        <v>0.19209322200000001</v>
      </c>
      <c r="D8" s="27">
        <v>0.115578931</v>
      </c>
      <c r="E8" s="27">
        <v>0.13135549499999999</v>
      </c>
      <c r="F8" s="27">
        <v>0.101401933</v>
      </c>
      <c r="G8" s="27">
        <v>9.2603116999999999E-2</v>
      </c>
      <c r="H8" s="27">
        <v>4.1997659999999999E-2</v>
      </c>
      <c r="I8" s="27" t="s">
        <v>1</v>
      </c>
      <c r="J8" s="27">
        <v>4.4053920000000003E-2</v>
      </c>
      <c r="K8" s="27">
        <f t="shared" si="0"/>
        <v>0.37351883899999999</v>
      </c>
      <c r="L8" s="27">
        <f t="shared" si="1"/>
        <v>0.62648116099999995</v>
      </c>
    </row>
    <row r="9" spans="1:12" x14ac:dyDescent="0.35">
      <c r="A9" s="5">
        <v>43252</v>
      </c>
      <c r="B9" s="27">
        <v>0.27856131699999997</v>
      </c>
      <c r="C9" s="27">
        <v>0.19623064400000001</v>
      </c>
      <c r="D9" s="27">
        <v>0.11550355700000001</v>
      </c>
      <c r="E9" s="27">
        <v>0.13071561200000001</v>
      </c>
      <c r="F9" s="27">
        <v>0.10233004800000001</v>
      </c>
      <c r="G9" s="27">
        <v>9.2343311999999997E-2</v>
      </c>
      <c r="H9" s="27">
        <v>4.019503E-2</v>
      </c>
      <c r="I9" s="27" t="s">
        <v>1</v>
      </c>
      <c r="J9" s="27">
        <v>4.4120481000000003E-2</v>
      </c>
      <c r="K9" s="27">
        <f t="shared" si="0"/>
        <v>0.37090462899999999</v>
      </c>
      <c r="L9" s="27">
        <f t="shared" si="1"/>
        <v>0.6290953720000001</v>
      </c>
    </row>
    <row r="10" spans="1:12" x14ac:dyDescent="0.35">
      <c r="A10" s="5">
        <v>43282</v>
      </c>
      <c r="B10" s="27">
        <v>0.28123572800000002</v>
      </c>
      <c r="C10" s="27">
        <v>0.193663062</v>
      </c>
      <c r="D10" s="27">
        <v>0.11614529899999999</v>
      </c>
      <c r="E10" s="27">
        <v>0.13065655900000001</v>
      </c>
      <c r="F10" s="27">
        <v>0.10323611000000001</v>
      </c>
      <c r="G10" s="27">
        <v>9.1947947000000002E-2</v>
      </c>
      <c r="H10" s="27">
        <v>3.8900850000000001E-2</v>
      </c>
      <c r="I10" s="27" t="s">
        <v>1</v>
      </c>
      <c r="J10" s="27">
        <v>4.4214444999999998E-2</v>
      </c>
      <c r="K10" s="27">
        <f t="shared" si="0"/>
        <v>0.37318367500000005</v>
      </c>
      <c r="L10" s="27">
        <f t="shared" si="1"/>
        <v>0.62681632500000006</v>
      </c>
    </row>
    <row r="11" spans="1:12" x14ac:dyDescent="0.35">
      <c r="A11" s="5">
        <v>43313</v>
      </c>
      <c r="B11" s="27">
        <v>0.28046229900000003</v>
      </c>
      <c r="C11" s="27">
        <v>0.19147243999999999</v>
      </c>
      <c r="D11" s="27">
        <v>0.120129105</v>
      </c>
      <c r="E11" s="27">
        <v>0.12982744700000001</v>
      </c>
      <c r="F11" s="27">
        <v>0.103036515</v>
      </c>
      <c r="G11" s="27">
        <v>9.4170592999999997E-2</v>
      </c>
      <c r="H11" s="27">
        <v>3.7470387000000001E-2</v>
      </c>
      <c r="I11" s="27" t="s">
        <v>1</v>
      </c>
      <c r="J11" s="27">
        <v>4.3431213000000003E-2</v>
      </c>
      <c r="K11" s="27">
        <f t="shared" si="0"/>
        <v>0.37463289200000005</v>
      </c>
      <c r="L11" s="27">
        <f t="shared" si="1"/>
        <v>0.62536710699999998</v>
      </c>
    </row>
    <row r="12" spans="1:12" x14ac:dyDescent="0.35">
      <c r="A12" s="5">
        <v>43344</v>
      </c>
      <c r="B12" s="27">
        <v>0.28116962699999998</v>
      </c>
      <c r="C12" s="27">
        <v>0.19144251900000001</v>
      </c>
      <c r="D12" s="27">
        <v>0.117897875</v>
      </c>
      <c r="E12" s="27">
        <v>0.129834903</v>
      </c>
      <c r="F12" s="27">
        <v>0.104903094</v>
      </c>
      <c r="G12" s="27">
        <v>9.3439356000000001E-2</v>
      </c>
      <c r="H12" s="27">
        <v>3.6477194999999997E-2</v>
      </c>
      <c r="I12" s="27" t="s">
        <v>1</v>
      </c>
      <c r="J12" s="27">
        <v>4.4835432000000001E-2</v>
      </c>
      <c r="K12" s="27">
        <f t="shared" si="0"/>
        <v>0.37460898300000001</v>
      </c>
      <c r="L12" s="27">
        <f t="shared" si="1"/>
        <v>0.62539101799999997</v>
      </c>
    </row>
    <row r="13" spans="1:12" x14ac:dyDescent="0.35">
      <c r="A13" s="5">
        <v>43374</v>
      </c>
      <c r="B13" s="27">
        <v>0.269349901</v>
      </c>
      <c r="C13" s="27">
        <v>0.19169560099999999</v>
      </c>
      <c r="D13" s="27">
        <v>0.13101378899999999</v>
      </c>
      <c r="E13" s="27">
        <v>0.127586594</v>
      </c>
      <c r="F13" s="27">
        <v>0.10373879900000001</v>
      </c>
      <c r="G13" s="27">
        <v>9.1683327999999994E-2</v>
      </c>
      <c r="H13" s="27">
        <v>3.8893667999999999E-2</v>
      </c>
      <c r="I13" s="27" t="s">
        <v>1</v>
      </c>
      <c r="J13" s="27">
        <v>4.6038320000000001E-2</v>
      </c>
      <c r="K13" s="27">
        <f t="shared" si="0"/>
        <v>0.36103322900000001</v>
      </c>
      <c r="L13" s="27">
        <f t="shared" si="1"/>
        <v>0.63896677099999999</v>
      </c>
    </row>
    <row r="14" spans="1:12" x14ac:dyDescent="0.35">
      <c r="A14" s="5">
        <v>43405</v>
      </c>
      <c r="B14" s="27">
        <v>0.27509201799999999</v>
      </c>
      <c r="C14" s="27">
        <v>0.19639184600000001</v>
      </c>
      <c r="D14" s="27">
        <v>0.127936297</v>
      </c>
      <c r="E14" s="27">
        <v>0.12194530200000001</v>
      </c>
      <c r="F14" s="27">
        <v>0.10205550100000001</v>
      </c>
      <c r="G14" s="27">
        <v>9.3035563000000002E-2</v>
      </c>
      <c r="H14" s="27">
        <v>3.8513338000000001E-2</v>
      </c>
      <c r="I14" s="27" t="s">
        <v>1</v>
      </c>
      <c r="J14" s="27">
        <v>4.5030135999999998E-2</v>
      </c>
      <c r="K14" s="27">
        <f t="shared" si="0"/>
        <v>0.36812758099999998</v>
      </c>
      <c r="L14" s="27">
        <f t="shared" si="1"/>
        <v>0.6318724200000001</v>
      </c>
    </row>
    <row r="15" spans="1:12" ht="15" thickBot="1" x14ac:dyDescent="0.4">
      <c r="A15" s="12">
        <v>43435</v>
      </c>
      <c r="B15" s="28">
        <v>0.26925055799999997</v>
      </c>
      <c r="C15" s="28">
        <v>0.20408137300000001</v>
      </c>
      <c r="D15" s="28">
        <v>0.12962142199999999</v>
      </c>
      <c r="E15" s="28">
        <v>0.11754745599999999</v>
      </c>
      <c r="F15" s="28">
        <v>0.103359374</v>
      </c>
      <c r="G15" s="28">
        <v>9.3540799999999993E-2</v>
      </c>
      <c r="H15" s="28">
        <v>3.6974765999999999E-2</v>
      </c>
      <c r="I15" s="28" t="s">
        <v>1</v>
      </c>
      <c r="J15" s="28">
        <v>4.5624250999999998E-2</v>
      </c>
      <c r="K15" s="28">
        <f t="shared" si="0"/>
        <v>0.36279135799999995</v>
      </c>
      <c r="L15" s="28">
        <f t="shared" si="1"/>
        <v>0.63720864200000005</v>
      </c>
    </row>
    <row r="16" spans="1:12" x14ac:dyDescent="0.35">
      <c r="A16" s="3">
        <v>43466</v>
      </c>
      <c r="B16" s="26">
        <v>0.27595602600000002</v>
      </c>
      <c r="C16" s="26">
        <v>0.19620011100000001</v>
      </c>
      <c r="D16" s="26">
        <v>0.131153029</v>
      </c>
      <c r="E16" s="26">
        <v>0.12033102599999999</v>
      </c>
      <c r="F16" s="26">
        <v>0.105124999</v>
      </c>
      <c r="G16" s="26">
        <v>9.0832518000000001E-2</v>
      </c>
      <c r="H16" s="26">
        <v>3.3955873999999997E-2</v>
      </c>
      <c r="I16" s="26" t="s">
        <v>1</v>
      </c>
      <c r="J16" s="26">
        <v>4.6446414999999998E-2</v>
      </c>
      <c r="K16" s="26">
        <f t="shared" si="0"/>
        <v>0.36678854400000005</v>
      </c>
      <c r="L16" s="26">
        <f t="shared" si="1"/>
        <v>0.63321145400000001</v>
      </c>
    </row>
    <row r="17" spans="1:12" x14ac:dyDescent="0.35">
      <c r="A17" s="5">
        <v>43497</v>
      </c>
      <c r="B17" s="27">
        <v>0.27715584199999999</v>
      </c>
      <c r="C17" s="27">
        <v>0.19624629099999999</v>
      </c>
      <c r="D17" s="27">
        <v>0.13064436600000001</v>
      </c>
      <c r="E17" s="27">
        <v>0.120833646</v>
      </c>
      <c r="F17" s="27">
        <v>0.10426228999999999</v>
      </c>
      <c r="G17" s="27">
        <v>9.2198860999999993E-2</v>
      </c>
      <c r="H17" s="27">
        <v>3.2365708E-2</v>
      </c>
      <c r="I17" s="27" t="s">
        <v>1</v>
      </c>
      <c r="J17" s="27">
        <v>4.6292996000000003E-2</v>
      </c>
      <c r="K17" s="27">
        <f t="shared" si="0"/>
        <v>0.36935470299999995</v>
      </c>
      <c r="L17" s="27">
        <f t="shared" si="1"/>
        <v>0.63064529700000005</v>
      </c>
    </row>
    <row r="18" spans="1:12" x14ac:dyDescent="0.35">
      <c r="A18" s="5">
        <v>43525</v>
      </c>
      <c r="B18" s="27">
        <v>0.27720261699999998</v>
      </c>
      <c r="C18" s="27">
        <v>0.19726460900000001</v>
      </c>
      <c r="D18" s="27">
        <v>0.13172008199999999</v>
      </c>
      <c r="E18" s="27">
        <v>0.120523726</v>
      </c>
      <c r="F18" s="27">
        <v>0.103633401</v>
      </c>
      <c r="G18" s="27">
        <v>9.1862708000000001E-2</v>
      </c>
      <c r="H18" s="27">
        <v>3.2285587999999997E-2</v>
      </c>
      <c r="I18" s="27" t="s">
        <v>1</v>
      </c>
      <c r="J18" s="27">
        <v>4.5507271000000002E-2</v>
      </c>
      <c r="K18" s="27">
        <f t="shared" si="0"/>
        <v>0.369065325</v>
      </c>
      <c r="L18" s="27">
        <f t="shared" si="1"/>
        <v>0.63093467699999994</v>
      </c>
    </row>
    <row r="19" spans="1:12" x14ac:dyDescent="0.35">
      <c r="A19" s="5">
        <v>43556</v>
      </c>
      <c r="B19" s="27">
        <v>0.28217754499999997</v>
      </c>
      <c r="C19" s="27">
        <v>0.20125816599999999</v>
      </c>
      <c r="D19" s="27">
        <v>0.12056942499999999</v>
      </c>
      <c r="E19" s="27">
        <v>0.121772459</v>
      </c>
      <c r="F19" s="27">
        <v>0.104936049</v>
      </c>
      <c r="G19" s="27">
        <v>9.2666979999999996E-2</v>
      </c>
      <c r="H19" s="27">
        <v>3.1415704000000003E-2</v>
      </c>
      <c r="I19" s="27" t="s">
        <v>1</v>
      </c>
      <c r="J19" s="27">
        <v>4.5203673E-2</v>
      </c>
      <c r="K19" s="27">
        <f t="shared" si="0"/>
        <v>0.37484452499999998</v>
      </c>
      <c r="L19" s="27">
        <f t="shared" si="1"/>
        <v>0.62515547599999999</v>
      </c>
    </row>
    <row r="20" spans="1:12" x14ac:dyDescent="0.35">
      <c r="A20" s="5">
        <v>43586</v>
      </c>
      <c r="B20" s="27">
        <v>0.28689532099999998</v>
      </c>
      <c r="C20" s="27">
        <v>0.21007647099999999</v>
      </c>
      <c r="D20" s="27">
        <v>0.10520275699999999</v>
      </c>
      <c r="E20" s="27">
        <v>0.122498724</v>
      </c>
      <c r="F20" s="27">
        <v>0.10616365799999999</v>
      </c>
      <c r="G20" s="27">
        <v>9.4681169999999995E-2</v>
      </c>
      <c r="H20" s="27">
        <v>2.9894222000000002E-2</v>
      </c>
      <c r="I20" s="27" t="s">
        <v>1</v>
      </c>
      <c r="J20" s="27">
        <v>4.4587676E-2</v>
      </c>
      <c r="K20" s="27">
        <f t="shared" si="0"/>
        <v>0.38157649099999996</v>
      </c>
      <c r="L20" s="27">
        <f t="shared" si="1"/>
        <v>0.61842350800000001</v>
      </c>
    </row>
    <row r="21" spans="1:12" x14ac:dyDescent="0.35">
      <c r="A21" s="5">
        <v>43617</v>
      </c>
      <c r="B21" s="27">
        <v>0.28852173399999997</v>
      </c>
      <c r="C21" s="27">
        <v>0.20753392900000001</v>
      </c>
      <c r="D21" s="27">
        <v>0.106754235</v>
      </c>
      <c r="E21" s="27">
        <v>0.122503141</v>
      </c>
      <c r="F21" s="27">
        <v>0.10243519</v>
      </c>
      <c r="G21" s="27">
        <v>9.3557211000000001E-2</v>
      </c>
      <c r="H21" s="27">
        <v>3.3507492999999999E-2</v>
      </c>
      <c r="I21" s="27" t="s">
        <v>1</v>
      </c>
      <c r="J21" s="27">
        <v>4.5187064999999998E-2</v>
      </c>
      <c r="K21" s="27">
        <f t="shared" si="0"/>
        <v>0.38207894499999995</v>
      </c>
      <c r="L21" s="27">
        <f t="shared" si="1"/>
        <v>0.617921053</v>
      </c>
    </row>
    <row r="22" spans="1:12" x14ac:dyDescent="0.35">
      <c r="A22" s="5">
        <v>43647</v>
      </c>
      <c r="B22" s="27">
        <v>0.28901666100000001</v>
      </c>
      <c r="C22" s="27">
        <v>0.20392505</v>
      </c>
      <c r="D22" s="27">
        <v>0.107924126</v>
      </c>
      <c r="E22" s="27">
        <v>0.12286174900000001</v>
      </c>
      <c r="F22" s="27">
        <v>0.10315329199999999</v>
      </c>
      <c r="G22" s="27">
        <v>9.4449014999999997E-2</v>
      </c>
      <c r="H22" s="27">
        <v>3.2044866999999998E-2</v>
      </c>
      <c r="I22" s="27" t="s">
        <v>1</v>
      </c>
      <c r="J22" s="27">
        <v>4.6625239999999998E-2</v>
      </c>
      <c r="K22" s="27">
        <f t="shared" si="0"/>
        <v>0.38346567600000003</v>
      </c>
      <c r="L22" s="27">
        <f t="shared" si="1"/>
        <v>0.61653432399999997</v>
      </c>
    </row>
    <row r="23" spans="1:12" x14ac:dyDescent="0.35">
      <c r="A23" s="5">
        <v>43678</v>
      </c>
      <c r="B23" s="27">
        <v>0.29252123499999999</v>
      </c>
      <c r="C23" s="27">
        <v>0.198220279</v>
      </c>
      <c r="D23" s="27">
        <v>0.108244384</v>
      </c>
      <c r="E23" s="27">
        <v>0.122819346</v>
      </c>
      <c r="F23" s="27">
        <v>0.104691862</v>
      </c>
      <c r="G23" s="27">
        <v>9.3671665000000001E-2</v>
      </c>
      <c r="H23" s="27">
        <v>3.3214478999999998E-2</v>
      </c>
      <c r="I23" s="27" t="s">
        <v>1</v>
      </c>
      <c r="J23" s="27">
        <v>4.6616749999999998E-2</v>
      </c>
      <c r="K23" s="27">
        <f t="shared" si="0"/>
        <v>0.38619290000000001</v>
      </c>
      <c r="L23" s="27">
        <f t="shared" si="1"/>
        <v>0.61380709999999994</v>
      </c>
    </row>
    <row r="24" spans="1:12" x14ac:dyDescent="0.35">
      <c r="A24" s="5">
        <v>43709</v>
      </c>
      <c r="B24" s="27">
        <v>0.28241986699999999</v>
      </c>
      <c r="C24" s="27">
        <v>0.19996392399999999</v>
      </c>
      <c r="D24" s="27">
        <v>0.110872639</v>
      </c>
      <c r="E24" s="27">
        <v>0.124127006</v>
      </c>
      <c r="F24" s="27">
        <v>0.107479904</v>
      </c>
      <c r="G24" s="27">
        <v>9.4275094000000004E-2</v>
      </c>
      <c r="H24" s="27">
        <v>3.3359609999999998E-2</v>
      </c>
      <c r="I24" s="27" t="s">
        <v>1</v>
      </c>
      <c r="J24" s="27">
        <v>4.7501955999999998E-2</v>
      </c>
      <c r="K24" s="27">
        <f t="shared" ref="K24:K30" si="2">G24+B24</f>
        <v>0.37669496099999999</v>
      </c>
      <c r="L24" s="27">
        <f t="shared" ref="L24:L30" si="3">SUM(C24:F24)+H24+J24</f>
        <v>0.62330503899999989</v>
      </c>
    </row>
    <row r="25" spans="1:12" x14ac:dyDescent="0.35">
      <c r="A25" s="5">
        <v>43739</v>
      </c>
      <c r="B25" s="27">
        <v>0.284231281</v>
      </c>
      <c r="C25" s="27">
        <v>0.20156112200000001</v>
      </c>
      <c r="D25" s="27">
        <v>0.11039947899999999</v>
      </c>
      <c r="E25" s="27">
        <v>0.121957367</v>
      </c>
      <c r="F25" s="27">
        <v>0.109193871</v>
      </c>
      <c r="G25" s="27">
        <v>9.3058947000000003E-2</v>
      </c>
      <c r="H25" s="27">
        <v>3.2325034000000002E-2</v>
      </c>
      <c r="I25" s="27" t="s">
        <v>1</v>
      </c>
      <c r="J25" s="27">
        <v>4.7272898000000001E-2</v>
      </c>
      <c r="K25" s="27">
        <f t="shared" si="2"/>
        <v>0.37729022800000001</v>
      </c>
      <c r="L25" s="27">
        <f t="shared" si="3"/>
        <v>0.62270977100000002</v>
      </c>
    </row>
    <row r="26" spans="1:12" x14ac:dyDescent="0.35">
      <c r="A26" s="5">
        <v>43770</v>
      </c>
      <c r="B26" s="27">
        <v>0.28072206</v>
      </c>
      <c r="C26" s="27">
        <v>0.20384649899999999</v>
      </c>
      <c r="D26" s="27">
        <v>0.104198096</v>
      </c>
      <c r="E26" s="27">
        <v>0.12759437600000001</v>
      </c>
      <c r="F26" s="27">
        <v>0.109682167</v>
      </c>
      <c r="G26" s="27">
        <v>9.4464416999999995E-2</v>
      </c>
      <c r="H26" s="27">
        <v>3.1168169999999999E-2</v>
      </c>
      <c r="I26" s="27" t="s">
        <v>1</v>
      </c>
      <c r="J26" s="27">
        <v>4.8324213999999997E-2</v>
      </c>
      <c r="K26" s="27">
        <f t="shared" si="2"/>
        <v>0.37518647699999996</v>
      </c>
      <c r="L26" s="27">
        <f t="shared" si="3"/>
        <v>0.62481352200000007</v>
      </c>
    </row>
    <row r="27" spans="1:12" ht="15" thickBot="1" x14ac:dyDescent="0.4">
      <c r="A27" s="12">
        <v>43800</v>
      </c>
      <c r="B27" s="28">
        <v>0.27800000000000002</v>
      </c>
      <c r="C27" s="28">
        <v>0.20399999999999999</v>
      </c>
      <c r="D27" s="28">
        <v>0.107</v>
      </c>
      <c r="E27" s="28">
        <v>0.123</v>
      </c>
      <c r="F27" s="28">
        <v>0.113</v>
      </c>
      <c r="G27" s="28">
        <v>9.8000000000000004E-2</v>
      </c>
      <c r="H27" s="28">
        <v>0.03</v>
      </c>
      <c r="I27" s="28" t="s">
        <v>1</v>
      </c>
      <c r="J27" s="28">
        <v>4.7E-2</v>
      </c>
      <c r="K27" s="28">
        <f t="shared" si="2"/>
        <v>0.376</v>
      </c>
      <c r="L27" s="28">
        <f t="shared" si="3"/>
        <v>0.62400000000000011</v>
      </c>
    </row>
    <row r="28" spans="1:12" x14ac:dyDescent="0.35">
      <c r="A28" s="3">
        <v>43831</v>
      </c>
      <c r="B28" s="26">
        <v>0.28023746999999999</v>
      </c>
      <c r="C28" s="26">
        <v>0.205235794</v>
      </c>
      <c r="D28" s="26">
        <v>0.107233209</v>
      </c>
      <c r="E28" s="26">
        <v>0.12314816200000001</v>
      </c>
      <c r="F28" s="26">
        <v>0.11071096499999999</v>
      </c>
      <c r="G28" s="26">
        <v>9.9227224000000003E-2</v>
      </c>
      <c r="H28" s="26">
        <v>2.8120221000000001E-2</v>
      </c>
      <c r="I28" s="26" t="s">
        <v>1</v>
      </c>
      <c r="J28" s="26">
        <v>4.6086954999999999E-2</v>
      </c>
      <c r="K28" s="26">
        <f t="shared" si="2"/>
        <v>0.37946469399999999</v>
      </c>
      <c r="L28" s="26">
        <f t="shared" si="3"/>
        <v>0.62053530600000006</v>
      </c>
    </row>
    <row r="29" spans="1:12" x14ac:dyDescent="0.35">
      <c r="A29" s="5">
        <v>43862</v>
      </c>
      <c r="B29" s="27">
        <v>0.27845894700000001</v>
      </c>
      <c r="C29" s="27">
        <v>0.20466413</v>
      </c>
      <c r="D29" s="27">
        <v>0.106850919</v>
      </c>
      <c r="E29" s="27">
        <v>0.1270965</v>
      </c>
      <c r="F29" s="27">
        <v>0.11062111500000001</v>
      </c>
      <c r="G29" s="27">
        <v>9.9363471999999994E-2</v>
      </c>
      <c r="H29" s="27">
        <v>2.6763344000000001E-2</v>
      </c>
      <c r="I29" s="27" t="s">
        <v>1</v>
      </c>
      <c r="J29" s="27">
        <v>4.6181571999999997E-2</v>
      </c>
      <c r="K29" s="27">
        <f t="shared" si="2"/>
        <v>0.37782241900000002</v>
      </c>
      <c r="L29" s="27">
        <f t="shared" si="3"/>
        <v>0.62217758000000001</v>
      </c>
    </row>
    <row r="30" spans="1:12" x14ac:dyDescent="0.35">
      <c r="A30" s="5">
        <v>43891</v>
      </c>
      <c r="B30" s="27">
        <v>0.27454339236116421</v>
      </c>
      <c r="C30" s="27">
        <v>0.21451975136003323</v>
      </c>
      <c r="D30" s="27">
        <v>0.10374630142657698</v>
      </c>
      <c r="E30" s="27">
        <v>0.1288854675905052</v>
      </c>
      <c r="F30" s="27">
        <v>0.10861486685406391</v>
      </c>
      <c r="G30" s="27">
        <v>0.10041754586673211</v>
      </c>
      <c r="H30" s="27">
        <v>2.5208547902365919E-2</v>
      </c>
      <c r="I30" s="27" t="s">
        <v>1</v>
      </c>
      <c r="J30" s="27">
        <v>4.406412663855843E-2</v>
      </c>
      <c r="K30" s="27">
        <f t="shared" si="2"/>
        <v>0.37496093822789633</v>
      </c>
      <c r="L30" s="27">
        <f t="shared" si="3"/>
        <v>0.62503906177210367</v>
      </c>
    </row>
    <row r="31" spans="1:12" x14ac:dyDescent="0.35">
      <c r="A31" s="5">
        <v>43922</v>
      </c>
      <c r="B31" s="27">
        <v>0.27584446099999999</v>
      </c>
      <c r="C31" s="27">
        <v>0.217851498</v>
      </c>
      <c r="D31" s="27">
        <v>0.101661392</v>
      </c>
      <c r="E31" s="27">
        <v>0.13179569099999999</v>
      </c>
      <c r="F31" s="27">
        <v>0.10664354299999999</v>
      </c>
      <c r="G31" s="27">
        <v>9.9710903000000004E-2</v>
      </c>
      <c r="H31" s="27">
        <v>2.3521911999999999E-2</v>
      </c>
      <c r="I31" s="27" t="s">
        <v>1</v>
      </c>
      <c r="J31" s="27">
        <v>4.2970598999999998E-2</v>
      </c>
      <c r="K31" s="27">
        <f t="shared" ref="K31:K38" si="4">G31+B31</f>
        <v>0.375555364</v>
      </c>
      <c r="L31" s="27">
        <f t="shared" ref="L31:L36" si="5">SUM(C31:F31)+H31+J31</f>
        <v>0.62444463499999991</v>
      </c>
    </row>
    <row r="32" spans="1:12" x14ac:dyDescent="0.35">
      <c r="A32" s="5">
        <v>43952</v>
      </c>
      <c r="B32" s="27">
        <v>0.27586950063177512</v>
      </c>
      <c r="C32" s="27">
        <v>0.21646897185872138</v>
      </c>
      <c r="D32" s="27">
        <v>0.10299973497170874</v>
      </c>
      <c r="E32" s="27">
        <v>0.13387939736462506</v>
      </c>
      <c r="F32" s="27">
        <v>0.10548173047532133</v>
      </c>
      <c r="G32" s="27">
        <v>0.10111995486151167</v>
      </c>
      <c r="H32" s="27">
        <v>2.2692256572693685E-2</v>
      </c>
      <c r="I32" s="27" t="s">
        <v>1</v>
      </c>
      <c r="J32" s="27">
        <v>4.1488453263643012E-2</v>
      </c>
      <c r="K32" s="27">
        <f t="shared" si="4"/>
        <v>0.37698945549328677</v>
      </c>
      <c r="L32" s="27">
        <f t="shared" si="5"/>
        <v>0.62301054450671323</v>
      </c>
    </row>
    <row r="33" spans="1:12" x14ac:dyDescent="0.35">
      <c r="A33" s="5">
        <v>43983</v>
      </c>
      <c r="B33" s="27">
        <v>0.27682606582838709</v>
      </c>
      <c r="C33" s="27">
        <v>0.21670907251476373</v>
      </c>
      <c r="D33" s="27">
        <v>0.10474791066347094</v>
      </c>
      <c r="E33" s="27">
        <v>0.13401965263157797</v>
      </c>
      <c r="F33" s="27">
        <v>0.10589125367410154</v>
      </c>
      <c r="G33" s="27">
        <v>9.8773467121944777E-2</v>
      </c>
      <c r="H33" s="27">
        <v>2.1791779766665804E-2</v>
      </c>
      <c r="I33" s="27" t="s">
        <v>1</v>
      </c>
      <c r="J33" s="27">
        <v>4.1240797799088132E-2</v>
      </c>
      <c r="K33" s="27">
        <f t="shared" si="4"/>
        <v>0.37559953295033188</v>
      </c>
      <c r="L33" s="27">
        <f t="shared" si="5"/>
        <v>0.62440046704966823</v>
      </c>
    </row>
    <row r="34" spans="1:12" x14ac:dyDescent="0.35">
      <c r="A34" s="5">
        <v>44013</v>
      </c>
      <c r="B34" s="27">
        <v>0.27899164507238378</v>
      </c>
      <c r="C34" s="27">
        <v>0.22022522625022936</v>
      </c>
      <c r="D34" s="27">
        <v>0.1047307019948073</v>
      </c>
      <c r="E34" s="27">
        <v>0.13226795629347388</v>
      </c>
      <c r="F34" s="27">
        <v>0.10453216134574835</v>
      </c>
      <c r="G34" s="27">
        <v>9.6350293568345888E-2</v>
      </c>
      <c r="H34" s="27">
        <v>2.0606904908184721E-2</v>
      </c>
      <c r="I34" s="27" t="s">
        <v>1</v>
      </c>
      <c r="J34" s="27">
        <v>4.229511056682677E-2</v>
      </c>
      <c r="K34" s="27">
        <f t="shared" si="4"/>
        <v>0.37534193864072968</v>
      </c>
      <c r="L34" s="27">
        <f t="shared" si="5"/>
        <v>0.62465806135927038</v>
      </c>
    </row>
    <row r="35" spans="1:12" x14ac:dyDescent="0.35">
      <c r="A35" s="5">
        <v>44044</v>
      </c>
      <c r="B35" s="27">
        <v>0.27485153699169768</v>
      </c>
      <c r="C35" s="27">
        <v>0.22182051128536312</v>
      </c>
      <c r="D35" s="27">
        <v>0.11011507812999452</v>
      </c>
      <c r="E35" s="27">
        <v>0.12955845908987917</v>
      </c>
      <c r="F35" s="27">
        <v>0.10919552583629631</v>
      </c>
      <c r="G35" s="27">
        <v>9.1233195756041843E-2</v>
      </c>
      <c r="H35" s="27">
        <v>1.843497628288493E-2</v>
      </c>
      <c r="I35" s="27" t="s">
        <v>1</v>
      </c>
      <c r="J35" s="27">
        <v>4.4790716627842432E-2</v>
      </c>
      <c r="K35" s="27">
        <f t="shared" si="4"/>
        <v>0.36608473274773951</v>
      </c>
      <c r="L35" s="27">
        <f t="shared" si="5"/>
        <v>0.63391526725226044</v>
      </c>
    </row>
    <row r="36" spans="1:12" x14ac:dyDescent="0.35">
      <c r="A36" s="5">
        <v>44075</v>
      </c>
      <c r="B36" s="27">
        <v>0.27552761040895041</v>
      </c>
      <c r="C36" s="27">
        <v>0.22393421152220541</v>
      </c>
      <c r="D36" s="27">
        <v>0.11100497273229555</v>
      </c>
      <c r="E36" s="27">
        <v>0.12895661791552943</v>
      </c>
      <c r="F36" s="27">
        <v>0.10809406544417889</v>
      </c>
      <c r="G36" s="27">
        <v>9.0509462967796564E-2</v>
      </c>
      <c r="H36" s="27">
        <v>1.7765368782021274E-2</v>
      </c>
      <c r="I36" s="27" t="s">
        <v>1</v>
      </c>
      <c r="J36" s="27">
        <v>4.4207690227022506E-2</v>
      </c>
      <c r="K36" s="27">
        <f t="shared" si="4"/>
        <v>0.36603707337674696</v>
      </c>
      <c r="L36" s="27">
        <f t="shared" si="5"/>
        <v>0.63396292662325315</v>
      </c>
    </row>
    <row r="37" spans="1:12" x14ac:dyDescent="0.35">
      <c r="A37" s="5">
        <v>44105</v>
      </c>
      <c r="B37" s="27">
        <v>0.27803099231824685</v>
      </c>
      <c r="C37" s="27">
        <v>0.2238593940974222</v>
      </c>
      <c r="D37" s="27">
        <v>0.11162256487352737</v>
      </c>
      <c r="E37" s="27">
        <v>0.12928977716021167</v>
      </c>
      <c r="F37" s="27">
        <v>0.1088525404693836</v>
      </c>
      <c r="G37" s="27">
        <v>8.809215321090616E-2</v>
      </c>
      <c r="H37" s="27">
        <v>1.6094360676234896E-2</v>
      </c>
      <c r="I37" s="27" t="s">
        <v>1</v>
      </c>
      <c r="J37" s="27">
        <v>4.4158217194067283E-2</v>
      </c>
      <c r="K37" s="27">
        <f t="shared" si="4"/>
        <v>0.36612314552915304</v>
      </c>
      <c r="L37" s="27">
        <f t="shared" ref="L37:L42" si="6">SUM(C37:F37)+H37+J37</f>
        <v>0.63387685447084707</v>
      </c>
    </row>
    <row r="38" spans="1:12" x14ac:dyDescent="0.35">
      <c r="A38" s="5">
        <v>44136</v>
      </c>
      <c r="B38" s="27">
        <v>0.277619271</v>
      </c>
      <c r="C38" s="27">
        <v>0.228233766</v>
      </c>
      <c r="D38" s="27">
        <v>0.11161331300000001</v>
      </c>
      <c r="E38" s="27">
        <v>0.12871190299999999</v>
      </c>
      <c r="F38" s="27">
        <v>0.110106197</v>
      </c>
      <c r="G38" s="27">
        <v>8.2742843999999996E-2</v>
      </c>
      <c r="H38" s="27">
        <v>1.5307632999999999E-2</v>
      </c>
      <c r="I38" s="27" t="s">
        <v>1</v>
      </c>
      <c r="J38" s="27">
        <v>4.5665073E-2</v>
      </c>
      <c r="K38" s="27">
        <f t="shared" si="4"/>
        <v>0.36036211499999998</v>
      </c>
      <c r="L38" s="27">
        <f t="shared" si="6"/>
        <v>0.63963788500000007</v>
      </c>
    </row>
    <row r="39" spans="1:12" ht="15" thickBot="1" x14ac:dyDescent="0.4">
      <c r="A39" s="12">
        <v>44166</v>
      </c>
      <c r="B39" s="28">
        <v>0.2734998807103875</v>
      </c>
      <c r="C39" s="28">
        <v>0.23581863856896934</v>
      </c>
      <c r="D39" s="28">
        <v>0.11097146983132643</v>
      </c>
      <c r="E39" s="28">
        <v>0.12697170834437801</v>
      </c>
      <c r="F39" s="28">
        <v>0.10900900095005173</v>
      </c>
      <c r="G39" s="28">
        <v>8.3506422433745481E-2</v>
      </c>
      <c r="H39" s="28">
        <v>1.4797229886991989E-2</v>
      </c>
      <c r="I39" s="28" t="s">
        <v>1</v>
      </c>
      <c r="J39" s="28">
        <v>4.5425649274149521E-2</v>
      </c>
      <c r="K39" s="28">
        <f t="shared" ref="K39:K44" si="7">G39+B39</f>
        <v>0.35700630314413295</v>
      </c>
      <c r="L39" s="28">
        <f t="shared" si="6"/>
        <v>0.64299369685586694</v>
      </c>
    </row>
    <row r="40" spans="1:12" x14ac:dyDescent="0.35">
      <c r="A40" s="3">
        <v>44197</v>
      </c>
      <c r="B40" s="26">
        <v>0.281811704</v>
      </c>
      <c r="C40" s="26">
        <v>0.22717080100000001</v>
      </c>
      <c r="D40" s="26">
        <v>0.11029451999999999</v>
      </c>
      <c r="E40" s="26">
        <v>0.128755181</v>
      </c>
      <c r="F40" s="26">
        <v>0.108514754</v>
      </c>
      <c r="G40" s="26">
        <v>8.3893212999999994E-2</v>
      </c>
      <c r="H40" s="26">
        <v>1.3832639000000001E-2</v>
      </c>
      <c r="I40" s="26" t="s">
        <v>1</v>
      </c>
      <c r="J40" s="26">
        <v>4.5727188000000002E-2</v>
      </c>
      <c r="K40" s="26">
        <f t="shared" si="7"/>
        <v>0.36570491699999996</v>
      </c>
      <c r="L40" s="26">
        <f t="shared" si="6"/>
        <v>0.63429508299999993</v>
      </c>
    </row>
    <row r="41" spans="1:12" x14ac:dyDescent="0.35">
      <c r="A41" s="5">
        <v>44228</v>
      </c>
      <c r="B41" s="27">
        <v>0.28914661189034641</v>
      </c>
      <c r="C41" s="27">
        <v>0.22166578089716121</v>
      </c>
      <c r="D41" s="27">
        <v>0.10347891491993171</v>
      </c>
      <c r="E41" s="27">
        <v>0.13178772147008427</v>
      </c>
      <c r="F41" s="27">
        <v>0.10936266829480921</v>
      </c>
      <c r="G41" s="27">
        <v>8.4849814754574718E-2</v>
      </c>
      <c r="H41" s="27">
        <v>1.3159566675458634E-2</v>
      </c>
      <c r="I41" s="27" t="s">
        <v>1</v>
      </c>
      <c r="J41" s="27">
        <v>4.6548921097633811E-2</v>
      </c>
      <c r="K41" s="27">
        <f t="shared" si="7"/>
        <v>0.37399642664492111</v>
      </c>
      <c r="L41" s="27">
        <f t="shared" si="6"/>
        <v>0.62600357335507884</v>
      </c>
    </row>
    <row r="42" spans="1:12" x14ac:dyDescent="0.35">
      <c r="A42" s="5">
        <v>44256</v>
      </c>
      <c r="B42" s="27">
        <v>0.28658207271039771</v>
      </c>
      <c r="C42" s="27">
        <v>0.2261862924722807</v>
      </c>
      <c r="D42" s="27">
        <v>0.10177050356272943</v>
      </c>
      <c r="E42" s="27">
        <v>0.12760682557051123</v>
      </c>
      <c r="F42" s="27">
        <v>0.10895571551614226</v>
      </c>
      <c r="G42" s="27">
        <v>8.943098496694285E-2</v>
      </c>
      <c r="H42" s="27">
        <v>1.3173251433894619E-2</v>
      </c>
      <c r="I42" s="27" t="s">
        <v>1</v>
      </c>
      <c r="J42" s="27">
        <v>4.6294353767101205E-2</v>
      </c>
      <c r="K42" s="27">
        <f t="shared" si="7"/>
        <v>0.37601305767734056</v>
      </c>
      <c r="L42" s="27">
        <f t="shared" si="6"/>
        <v>0.6239869423226595</v>
      </c>
    </row>
    <row r="43" spans="1:12" x14ac:dyDescent="0.35">
      <c r="A43" s="5">
        <v>44287</v>
      </c>
      <c r="B43" s="27">
        <v>0.28791215569247625</v>
      </c>
      <c r="C43" s="27">
        <v>0.22665095969660062</v>
      </c>
      <c r="D43" s="27">
        <v>0.1003126868020134</v>
      </c>
      <c r="E43" s="27">
        <v>0.12936276525583154</v>
      </c>
      <c r="F43" s="27">
        <v>0.10351699887744394</v>
      </c>
      <c r="G43" s="27">
        <v>9.6354757355126552E-2</v>
      </c>
      <c r="H43" s="27">
        <v>1.2939472363664271E-2</v>
      </c>
      <c r="I43" s="27" t="s">
        <v>1</v>
      </c>
      <c r="J43" s="27">
        <v>4.2950203956843437E-2</v>
      </c>
      <c r="K43" s="27">
        <f t="shared" si="7"/>
        <v>0.3842669130476028</v>
      </c>
      <c r="L43" s="27">
        <f t="shared" ref="L43:L48" si="8">SUM(C43:F43)+H43+J43</f>
        <v>0.61573308695239715</v>
      </c>
    </row>
    <row r="44" spans="1:12" x14ac:dyDescent="0.35">
      <c r="A44" s="5">
        <v>44317</v>
      </c>
      <c r="B44" s="27">
        <v>0.29704219937752385</v>
      </c>
      <c r="C44" s="27">
        <v>0.22342191519423379</v>
      </c>
      <c r="D44" s="27">
        <v>9.3861625655928066E-2</v>
      </c>
      <c r="E44" s="27">
        <v>0.13036623135981146</v>
      </c>
      <c r="F44" s="27">
        <v>0.1025567872865145</v>
      </c>
      <c r="G44" s="27">
        <v>9.7423088191905233E-2</v>
      </c>
      <c r="H44" s="27">
        <v>1.2581373676465795E-2</v>
      </c>
      <c r="I44" s="27" t="s">
        <v>1</v>
      </c>
      <c r="J44" s="27">
        <v>4.2746779257617287E-2</v>
      </c>
      <c r="K44" s="27">
        <f t="shared" si="7"/>
        <v>0.39446528756942911</v>
      </c>
      <c r="L44" s="27">
        <f t="shared" si="8"/>
        <v>0.60553471243057089</v>
      </c>
    </row>
    <row r="45" spans="1:12" x14ac:dyDescent="0.35">
      <c r="A45" s="5">
        <v>44348</v>
      </c>
      <c r="B45" s="27">
        <v>0.28632195136913874</v>
      </c>
      <c r="C45" s="27">
        <v>0.23562457605931023</v>
      </c>
      <c r="D45" s="27">
        <v>9.3148343150839294E-2</v>
      </c>
      <c r="E45" s="27">
        <v>0.13119648125349473</v>
      </c>
      <c r="F45" s="27">
        <v>0.10250935997966507</v>
      </c>
      <c r="G45" s="27">
        <v>9.7902980048482774E-2</v>
      </c>
      <c r="H45" s="27">
        <v>1.1877647840543697E-2</v>
      </c>
      <c r="I45" s="27" t="s">
        <v>1</v>
      </c>
      <c r="J45" s="27">
        <v>4.1418660298525485E-2</v>
      </c>
      <c r="K45" s="27">
        <f>G45+B45</f>
        <v>0.38422493141762148</v>
      </c>
      <c r="L45" s="27">
        <f t="shared" si="8"/>
        <v>0.6157750685823784</v>
      </c>
    </row>
    <row r="46" spans="1:12" x14ac:dyDescent="0.35">
      <c r="A46" s="5">
        <v>44378</v>
      </c>
      <c r="B46" s="27">
        <v>0.28999957339280957</v>
      </c>
      <c r="C46" s="27">
        <v>0.23585747618854816</v>
      </c>
      <c r="D46" s="27">
        <v>8.9051572821193969E-2</v>
      </c>
      <c r="E46" s="27">
        <v>0.13092729291256486</v>
      </c>
      <c r="F46" s="27">
        <v>0.10208126573083337</v>
      </c>
      <c r="G46" s="27">
        <v>0.10006595323848942</v>
      </c>
      <c r="H46" s="27">
        <v>1.031367826039147E-2</v>
      </c>
      <c r="I46" s="27" t="s">
        <v>1</v>
      </c>
      <c r="J46" s="27">
        <v>4.1703187455169204E-2</v>
      </c>
      <c r="K46" s="27">
        <f>G46+B46</f>
        <v>0.39006552663129901</v>
      </c>
      <c r="L46" s="27">
        <f t="shared" si="8"/>
        <v>0.6099344733687011</v>
      </c>
    </row>
    <row r="47" spans="1:12" x14ac:dyDescent="0.35">
      <c r="A47" s="5">
        <v>44409</v>
      </c>
      <c r="B47" s="27">
        <v>0.28837987165240753</v>
      </c>
      <c r="C47" s="27">
        <v>0.23292203528752012</v>
      </c>
      <c r="D47" s="27">
        <v>8.8797471572164305E-2</v>
      </c>
      <c r="E47" s="27">
        <v>0.13180241545863441</v>
      </c>
      <c r="F47" s="27">
        <v>0.10219898778976284</v>
      </c>
      <c r="G47" s="27">
        <v>0.10391304097234376</v>
      </c>
      <c r="H47" s="27">
        <v>9.7862400180031076E-3</v>
      </c>
      <c r="I47" s="27" t="s">
        <v>1</v>
      </c>
      <c r="J47" s="27">
        <v>4.2199937249163939E-2</v>
      </c>
      <c r="K47" s="27">
        <f>G47+B47</f>
        <v>0.3922929126247513</v>
      </c>
      <c r="L47" s="27">
        <f t="shared" si="8"/>
        <v>0.6077070873752487</v>
      </c>
    </row>
    <row r="48" spans="1:12" x14ac:dyDescent="0.35">
      <c r="A48" s="5">
        <v>44440</v>
      </c>
      <c r="B48" s="27">
        <v>0.28738350699999998</v>
      </c>
      <c r="C48" s="27">
        <v>0.23508058600000001</v>
      </c>
      <c r="D48" s="27">
        <v>8.8038900000000003E-2</v>
      </c>
      <c r="E48" s="27">
        <v>0.130099409</v>
      </c>
      <c r="F48" s="27">
        <v>0.10235862</v>
      </c>
      <c r="G48" s="27">
        <v>0.10640957199999999</v>
      </c>
      <c r="H48" s="27">
        <v>9.3536639999999994E-3</v>
      </c>
      <c r="I48" s="27" t="s">
        <v>1</v>
      </c>
      <c r="J48" s="27">
        <v>4.1275741999999997E-2</v>
      </c>
      <c r="K48" s="27">
        <f>G48+B48</f>
        <v>0.39379307899999999</v>
      </c>
      <c r="L48" s="27">
        <f t="shared" si="8"/>
        <v>0.60620692099999995</v>
      </c>
    </row>
    <row r="49" spans="1:12" x14ac:dyDescent="0.35">
      <c r="A49" s="5">
        <v>44470</v>
      </c>
      <c r="B49" s="27">
        <v>0.28727460059489129</v>
      </c>
      <c r="C49" s="27">
        <v>0.23310011061657335</v>
      </c>
      <c r="D49" s="27">
        <v>8.4419571130794568E-2</v>
      </c>
      <c r="E49" s="27">
        <v>0.12779286953152871</v>
      </c>
      <c r="F49" s="27">
        <v>0.10305559922545961</v>
      </c>
      <c r="G49" s="27">
        <v>0.1082453907891322</v>
      </c>
      <c r="H49" s="27">
        <v>1.3119613238388065E-2</v>
      </c>
      <c r="I49" s="27" t="s">
        <v>1</v>
      </c>
      <c r="J49" s="27">
        <v>4.2992244873232208E-2</v>
      </c>
      <c r="K49" s="27">
        <f>G49+B49</f>
        <v>0.39551999138402349</v>
      </c>
      <c r="L49" s="27">
        <f>SUM(C49:F49)+H49+J49</f>
        <v>0.60448000861597639</v>
      </c>
    </row>
    <row r="50" spans="1:12" x14ac:dyDescent="0.35">
      <c r="A50" s="5">
        <v>44501</v>
      </c>
      <c r="B50" s="27">
        <v>0.29057362647067014</v>
      </c>
      <c r="C50" s="27">
        <v>0.23155033011076867</v>
      </c>
      <c r="D50" s="27">
        <v>8.0342540851542993E-2</v>
      </c>
      <c r="E50" s="27">
        <v>0.12545862447511816</v>
      </c>
      <c r="F50" s="27">
        <v>0.1029587222265749</v>
      </c>
      <c r="G50" s="27">
        <v>0.10782308037752156</v>
      </c>
      <c r="H50" s="27">
        <v>1.8543408731673188E-2</v>
      </c>
      <c r="I50" s="27" t="s">
        <v>1</v>
      </c>
      <c r="J50" s="27">
        <v>4.2749666756130386E-2</v>
      </c>
      <c r="K50" s="27">
        <f t="shared" ref="K50:K51" si="9">G50+B50</f>
        <v>0.39839670684819173</v>
      </c>
      <c r="L50" s="27">
        <f t="shared" ref="L50:L51" si="10">SUM(C50:F50)+H50+J50</f>
        <v>0.60160329315180816</v>
      </c>
    </row>
    <row r="51" spans="1:12" ht="15" thickBot="1" x14ac:dyDescent="0.4">
      <c r="A51" s="12">
        <v>44531</v>
      </c>
      <c r="B51" s="28">
        <v>0.27684544462540883</v>
      </c>
      <c r="C51" s="28">
        <v>0.23910062316401035</v>
      </c>
      <c r="D51" s="28">
        <v>8.0198432285979213E-2</v>
      </c>
      <c r="E51" s="28">
        <v>0.12585597366048468</v>
      </c>
      <c r="F51" s="28">
        <v>0.10420431261378808</v>
      </c>
      <c r="G51" s="28">
        <v>0.11345263879674748</v>
      </c>
      <c r="H51" s="28">
        <v>1.8088331942754374E-2</v>
      </c>
      <c r="I51" s="28" t="s">
        <v>1</v>
      </c>
      <c r="J51" s="28">
        <v>4.2254242910826953E-2</v>
      </c>
      <c r="K51" s="28">
        <f t="shared" si="9"/>
        <v>0.39029808342215633</v>
      </c>
      <c r="L51" s="28">
        <f t="shared" si="10"/>
        <v>0.60970191657784356</v>
      </c>
    </row>
    <row r="52" spans="1:12" x14ac:dyDescent="0.35">
      <c r="A52" s="3">
        <v>44562</v>
      </c>
      <c r="B52" s="26">
        <v>0.28375617799844505</v>
      </c>
      <c r="C52" s="26">
        <v>0.23731350331686848</v>
      </c>
      <c r="D52" s="26">
        <v>7.6214559770740486E-2</v>
      </c>
      <c r="E52" s="26">
        <v>0.12436143100730715</v>
      </c>
      <c r="F52" s="26">
        <v>0.10150663404024397</v>
      </c>
      <c r="G52" s="26">
        <v>0.11503167894403192</v>
      </c>
      <c r="H52" s="26">
        <v>2.0547986075688366E-2</v>
      </c>
      <c r="I52" s="26" t="s">
        <v>1</v>
      </c>
      <c r="J52" s="26">
        <v>4.1268028846674555E-2</v>
      </c>
      <c r="K52" s="26">
        <f t="shared" ref="K52" si="11">G52+B52</f>
        <v>0.39878785694247698</v>
      </c>
      <c r="L52" s="26">
        <f t="shared" ref="L52" si="12">SUM(C52:F52)+H52+J52</f>
        <v>0.60121214305752302</v>
      </c>
    </row>
    <row r="53" spans="1:12" x14ac:dyDescent="0.35">
      <c r="A53" s="5">
        <v>44593</v>
      </c>
      <c r="B53" s="27">
        <v>0.28632426361452895</v>
      </c>
      <c r="C53" s="27">
        <v>0.2318765560347269</v>
      </c>
      <c r="D53" s="27">
        <v>7.4260772273605724E-2</v>
      </c>
      <c r="E53" s="27">
        <v>0.12541662774054035</v>
      </c>
      <c r="F53" s="27">
        <v>0.10142871312468198</v>
      </c>
      <c r="G53" s="27">
        <v>0.11909418225442617</v>
      </c>
      <c r="H53" s="27">
        <v>1.9712321896387542E-2</v>
      </c>
      <c r="I53" s="27" t="s">
        <v>1</v>
      </c>
      <c r="J53" s="27">
        <v>4.1886563061102382E-2</v>
      </c>
      <c r="K53" s="27">
        <f t="shared" ref="K53" si="13">G53+B53</f>
        <v>0.40541844586895515</v>
      </c>
      <c r="L53" s="27">
        <f t="shared" ref="L53" si="14">SUM(C53:F53)+H53+J53</f>
        <v>0.59458155413104485</v>
      </c>
    </row>
    <row r="54" spans="1:12" x14ac:dyDescent="0.35">
      <c r="A54" s="5">
        <v>44621</v>
      </c>
      <c r="B54" s="27">
        <v>0.28168483960809421</v>
      </c>
      <c r="C54" s="27">
        <v>0.23208034449767206</v>
      </c>
      <c r="D54" s="27">
        <v>7.4040163038249923E-2</v>
      </c>
      <c r="E54" s="27">
        <v>0.12615865533645243</v>
      </c>
      <c r="F54" s="27">
        <v>0.10270980597798419</v>
      </c>
      <c r="G54" s="27">
        <v>0.12235458697978747</v>
      </c>
      <c r="H54" s="27">
        <v>1.8932710930337906E-2</v>
      </c>
      <c r="I54" s="27" t="s">
        <v>1</v>
      </c>
      <c r="J54" s="27">
        <v>4.2038893631421811E-2</v>
      </c>
      <c r="K54" s="27">
        <f t="shared" ref="K54" si="15">G54+B54</f>
        <v>0.40403942658788167</v>
      </c>
      <c r="L54" s="27">
        <f t="shared" ref="L54" si="16">SUM(C54:F54)+H54+J54</f>
        <v>0.59596057341211828</v>
      </c>
    </row>
    <row r="55" spans="1:12" x14ac:dyDescent="0.35">
      <c r="A55" s="5">
        <v>44652</v>
      </c>
      <c r="B55" s="27">
        <v>0.28138611459280388</v>
      </c>
      <c r="C55" s="27">
        <v>0.22928028326461841</v>
      </c>
      <c r="D55" s="27">
        <v>7.2696397291147116E-2</v>
      </c>
      <c r="E55" s="27">
        <v>0.1248624736330918</v>
      </c>
      <c r="F55" s="27">
        <v>0.10428075851530701</v>
      </c>
      <c r="G55" s="27">
        <v>0.12391813374131387</v>
      </c>
      <c r="H55" s="27">
        <v>2.0934524455438752E-2</v>
      </c>
      <c r="I55" s="27" t="s">
        <v>1</v>
      </c>
      <c r="J55" s="27">
        <v>4.2641314506279171E-2</v>
      </c>
      <c r="K55" s="27">
        <f t="shared" ref="K55" si="17">G55+B55</f>
        <v>0.40530424833411777</v>
      </c>
      <c r="L55" s="27">
        <f t="shared" ref="L55" si="18">SUM(C55:F55)+H55+J55</f>
        <v>0.59469575166588229</v>
      </c>
    </row>
    <row r="56" spans="1:12" x14ac:dyDescent="0.35">
      <c r="A56" s="5">
        <v>44682</v>
      </c>
      <c r="B56" s="27">
        <v>0.28179926939661726</v>
      </c>
      <c r="C56" s="27">
        <v>0.22741160823137488</v>
      </c>
      <c r="D56" s="27">
        <v>7.0851946393067147E-2</v>
      </c>
      <c r="E56" s="27">
        <v>0.12502162353219259</v>
      </c>
      <c r="F56" s="27">
        <v>0.1059583979007845</v>
      </c>
      <c r="G56" s="27">
        <v>0.12491020176964461</v>
      </c>
      <c r="H56" s="27">
        <v>2.2380051068766452E-2</v>
      </c>
      <c r="I56" s="27" t="s">
        <v>1</v>
      </c>
      <c r="J56" s="27">
        <v>4.1666901707552544E-2</v>
      </c>
      <c r="K56" s="27">
        <f t="shared" ref="K56" si="19">G56+B56</f>
        <v>0.40670947116626188</v>
      </c>
      <c r="L56" s="27">
        <f t="shared" ref="L56" si="20">SUM(C56:F56)+H56+J56</f>
        <v>0.59329052883373812</v>
      </c>
    </row>
    <row r="57" spans="1:12" x14ac:dyDescent="0.35">
      <c r="A57" s="5">
        <v>44713</v>
      </c>
      <c r="B57" s="27">
        <v>0.27815872406380404</v>
      </c>
      <c r="C57" s="27">
        <v>0.22593477914011739</v>
      </c>
      <c r="D57" s="27">
        <v>6.9856911576556574E-2</v>
      </c>
      <c r="E57" s="27">
        <v>0.12481942444319093</v>
      </c>
      <c r="F57" s="27">
        <v>0.10549229343629428</v>
      </c>
      <c r="G57" s="27">
        <v>0.13223912597416362</v>
      </c>
      <c r="H57" s="27">
        <v>2.1812985667712229E-2</v>
      </c>
      <c r="I57" s="27" t="s">
        <v>1</v>
      </c>
      <c r="J57" s="27">
        <v>4.1685755698160951E-2</v>
      </c>
      <c r="K57" s="27">
        <f t="shared" ref="K57" si="21">G57+B57</f>
        <v>0.41039785003796769</v>
      </c>
      <c r="L57" s="27">
        <f t="shared" ref="L57" si="22">SUM(C57:F57)+H57+J57</f>
        <v>0.58960214996203242</v>
      </c>
    </row>
    <row r="58" spans="1:12" x14ac:dyDescent="0.35">
      <c r="A58" s="5">
        <v>44743</v>
      </c>
      <c r="B58" s="27">
        <v>0.28565006640576712</v>
      </c>
      <c r="C58" s="27">
        <v>0.22152734812178101</v>
      </c>
      <c r="D58" s="27">
        <v>6.8220284899327313E-2</v>
      </c>
      <c r="E58" s="27">
        <v>0.12432926067513991</v>
      </c>
      <c r="F58" s="27">
        <v>0.10134807367792312</v>
      </c>
      <c r="G58" s="27">
        <v>0.13732239541385557</v>
      </c>
      <c r="H58" s="27">
        <v>2.084045514172354E-2</v>
      </c>
      <c r="I58" s="27" t="s">
        <v>1</v>
      </c>
      <c r="J58" s="27">
        <v>4.0762115664482387E-2</v>
      </c>
      <c r="K58" s="27">
        <f t="shared" ref="K58" si="23">G58+B58</f>
        <v>0.42297246181962267</v>
      </c>
      <c r="L58" s="27">
        <f t="shared" ref="L58" si="24">SUM(C58:F58)+H58+J58</f>
        <v>0.57702753818037722</v>
      </c>
    </row>
    <row r="59" spans="1:12" x14ac:dyDescent="0.35">
      <c r="A59" s="5">
        <v>44774</v>
      </c>
      <c r="B59" s="27">
        <v>0.28821377159245576</v>
      </c>
      <c r="C59" s="27">
        <v>0.22126410306560168</v>
      </c>
      <c r="D59" s="27">
        <v>6.7228363434576513E-2</v>
      </c>
      <c r="E59" s="27">
        <v>0.1246888442808731</v>
      </c>
      <c r="F59" s="27">
        <v>0.10093487136844838</v>
      </c>
      <c r="G59" s="27">
        <v>0.13827725462614823</v>
      </c>
      <c r="H59" s="27">
        <v>2.0153438222699306E-2</v>
      </c>
      <c r="I59" s="27" t="s">
        <v>1</v>
      </c>
      <c r="J59" s="27">
        <v>3.9239353409197049E-2</v>
      </c>
      <c r="K59" s="27">
        <f t="shared" ref="K59" si="25">G59+B59</f>
        <v>0.42649102621860402</v>
      </c>
      <c r="L59" s="27">
        <f t="shared" ref="L59" si="26">SUM(C59:F59)+H59+J59</f>
        <v>0.57350897378139598</v>
      </c>
    </row>
    <row r="60" spans="1:12" x14ac:dyDescent="0.35">
      <c r="A60" s="5">
        <v>44805</v>
      </c>
      <c r="B60" s="27">
        <v>0.29454212191788504</v>
      </c>
      <c r="C60" s="27">
        <v>0.21863306160538085</v>
      </c>
      <c r="D60" s="27">
        <v>6.5333177327024025E-2</v>
      </c>
      <c r="E60" s="27">
        <v>0.12375584436753975</v>
      </c>
      <c r="F60" s="27">
        <v>0.10119107554537209</v>
      </c>
      <c r="G60" s="27">
        <v>0.13896488050004199</v>
      </c>
      <c r="H60" s="27">
        <v>1.9470093526716602E-2</v>
      </c>
      <c r="I60" s="27" t="s">
        <v>1</v>
      </c>
      <c r="J60" s="27">
        <v>3.8109745210039701E-2</v>
      </c>
      <c r="K60" s="27">
        <f t="shared" ref="K60" si="27">G60+B60</f>
        <v>0.43350700241792706</v>
      </c>
      <c r="L60" s="27">
        <f t="shared" ref="L60" si="28">SUM(C60:F60)+H60+J60</f>
        <v>0.56649299758207305</v>
      </c>
    </row>
    <row r="61" spans="1:12" x14ac:dyDescent="0.35">
      <c r="A61" s="5">
        <v>44835</v>
      </c>
      <c r="B61" s="27">
        <v>0.28793295211581982</v>
      </c>
      <c r="C61" s="27">
        <v>0.22040492312439425</v>
      </c>
      <c r="D61" s="27">
        <v>6.333189942817373E-2</v>
      </c>
      <c r="E61" s="27">
        <v>0.11927313658229909</v>
      </c>
      <c r="F61" s="27">
        <v>0.10139346453293922</v>
      </c>
      <c r="G61" s="27">
        <v>0.14877232961938186</v>
      </c>
      <c r="H61" s="27">
        <v>2.1290131268675464E-2</v>
      </c>
      <c r="I61" s="27" t="s">
        <v>1</v>
      </c>
      <c r="J61" s="27">
        <v>3.7601163328316603E-2</v>
      </c>
      <c r="K61" s="27">
        <f t="shared" ref="K61" si="29">G61+B61</f>
        <v>0.43670528173520168</v>
      </c>
      <c r="L61" s="27">
        <f t="shared" ref="L61" si="30">SUM(C61:F61)+H61+J61</f>
        <v>0.56329471826479849</v>
      </c>
    </row>
    <row r="62" spans="1:12" x14ac:dyDescent="0.35">
      <c r="A62" s="5">
        <v>44866</v>
      </c>
      <c r="B62" s="27">
        <v>0.28869913227781846</v>
      </c>
      <c r="C62" s="27">
        <v>0.21880345503334167</v>
      </c>
      <c r="D62" s="27">
        <v>6.1626473842616658E-2</v>
      </c>
      <c r="E62" s="27">
        <v>0.11848180027968291</v>
      </c>
      <c r="F62" s="27">
        <v>0.10552124084907133</v>
      </c>
      <c r="G62" s="27">
        <v>0.1541031056275903</v>
      </c>
      <c r="H62" s="27">
        <v>2.0458610883422566E-2</v>
      </c>
      <c r="I62" s="27" t="s">
        <v>1</v>
      </c>
      <c r="J62" s="27">
        <v>3.2306181206456112E-2</v>
      </c>
      <c r="K62" s="27">
        <f t="shared" ref="K62" si="31">G62+B62</f>
        <v>0.44280223790540874</v>
      </c>
      <c r="L62" s="27">
        <f t="shared" ref="L62" si="32">SUM(C62:F62)+H62+J62</f>
        <v>0.55719776209459126</v>
      </c>
    </row>
    <row r="63" spans="1:12" ht="15" thickBot="1" x14ac:dyDescent="0.4">
      <c r="A63" s="12">
        <v>44896</v>
      </c>
      <c r="B63" s="28">
        <v>0.28703939281117063</v>
      </c>
      <c r="C63" s="28">
        <v>0.22254488005478371</v>
      </c>
      <c r="D63" s="28">
        <v>6.1442661850748946E-2</v>
      </c>
      <c r="E63" s="28">
        <v>0.11472084211183724</v>
      </c>
      <c r="F63" s="28">
        <v>0.10610287327059893</v>
      </c>
      <c r="G63" s="28">
        <v>0.15628089570003531</v>
      </c>
      <c r="H63" s="28">
        <v>2.0135341177493389E-2</v>
      </c>
      <c r="I63" s="28" t="s">
        <v>1</v>
      </c>
      <c r="J63" s="28">
        <v>3.1733113023331844E-2</v>
      </c>
      <c r="K63" s="28">
        <f t="shared" ref="K63:K64" si="33">G63+B63</f>
        <v>0.44332028851120597</v>
      </c>
      <c r="L63" s="28">
        <f t="shared" ref="L63:L64" si="34">SUM(C63:F63)+H63+J63</f>
        <v>0.55667971148879403</v>
      </c>
    </row>
    <row r="64" spans="1:12" x14ac:dyDescent="0.35">
      <c r="A64" s="3">
        <v>44927</v>
      </c>
      <c r="B64" s="26">
        <v>0.29609865782635436</v>
      </c>
      <c r="C64" s="26">
        <v>0.21500227143425604</v>
      </c>
      <c r="D64" s="26">
        <v>5.9310842053419618E-2</v>
      </c>
      <c r="E64" s="26">
        <v>0.11331369198167614</v>
      </c>
      <c r="F64" s="26">
        <v>0.10516768009994291</v>
      </c>
      <c r="G64" s="26">
        <v>0.16060819489552663</v>
      </c>
      <c r="H64" s="26">
        <v>1.9666778048510962E-2</v>
      </c>
      <c r="I64" s="26" t="s">
        <v>1</v>
      </c>
      <c r="J64" s="26">
        <v>3.0831883660313336E-2</v>
      </c>
      <c r="K64" s="27">
        <f t="shared" si="33"/>
        <v>0.456706852721881</v>
      </c>
      <c r="L64" s="27">
        <f t="shared" si="34"/>
        <v>0.54329314727811895</v>
      </c>
    </row>
    <row r="65" spans="1:12" x14ac:dyDescent="0.35">
      <c r="A65" s="5">
        <v>44958</v>
      </c>
      <c r="B65" s="27">
        <v>0.31634658135983484</v>
      </c>
      <c r="C65" s="27">
        <v>0.21756901185957586</v>
      </c>
      <c r="D65" s="27">
        <v>5.750730079058964E-2</v>
      </c>
      <c r="E65" s="27">
        <v>0.11238324680553574</v>
      </c>
      <c r="F65" s="27">
        <v>0.10342307119219087</v>
      </c>
      <c r="G65" s="27">
        <v>0.14276955079888096</v>
      </c>
      <c r="H65" s="27">
        <v>1.942991855949976E-2</v>
      </c>
      <c r="I65" s="27" t="s">
        <v>1</v>
      </c>
      <c r="J65" s="27">
        <v>3.0571318633892331E-2</v>
      </c>
      <c r="K65" s="27">
        <f t="shared" ref="K65" si="35">G65+B65</f>
        <v>0.45911613215871583</v>
      </c>
      <c r="L65" s="27">
        <f t="shared" ref="L65" si="36">SUM(C65:F65)+H65+J65</f>
        <v>0.54088386784128417</v>
      </c>
    </row>
    <row r="66" spans="1:12" x14ac:dyDescent="0.35">
      <c r="A66" s="5">
        <v>44986</v>
      </c>
      <c r="B66" s="27">
        <v>0.3102958569114101</v>
      </c>
      <c r="C66" s="27">
        <v>0.22021087942309198</v>
      </c>
      <c r="D66" s="27">
        <v>5.4379286496919046E-2</v>
      </c>
      <c r="E66" s="27">
        <v>0.11294077290220886</v>
      </c>
      <c r="F66" s="27">
        <v>0.10220543593064309</v>
      </c>
      <c r="G66" s="27">
        <v>0.15123897436100173</v>
      </c>
      <c r="H66" s="27">
        <v>1.8605835756764187E-2</v>
      </c>
      <c r="I66" s="27" t="s">
        <v>1</v>
      </c>
      <c r="J66" s="27">
        <v>3.0122958217961047E-2</v>
      </c>
      <c r="K66" s="27">
        <f t="shared" ref="K66" si="37">G66+B66</f>
        <v>0.46153483127241179</v>
      </c>
      <c r="L66" s="27">
        <f t="shared" ref="L66" si="38">SUM(C66:F66)+H66+J66</f>
        <v>0.53846516872758821</v>
      </c>
    </row>
    <row r="67" spans="1:12" x14ac:dyDescent="0.35">
      <c r="A67" s="5">
        <v>45017</v>
      </c>
      <c r="B67" s="27">
        <v>0.31605431498134157</v>
      </c>
      <c r="C67" s="27">
        <v>0.21582069802748116</v>
      </c>
      <c r="D67" s="27">
        <v>5.2809498599404925E-2</v>
      </c>
      <c r="E67" s="27">
        <v>0.11272209154308309</v>
      </c>
      <c r="F67" s="27">
        <v>0.10405647154550701</v>
      </c>
      <c r="G67" s="27">
        <v>0.15061802730685919</v>
      </c>
      <c r="H67" s="27">
        <v>1.8071259239322221E-2</v>
      </c>
      <c r="I67" s="27" t="s">
        <v>1</v>
      </c>
      <c r="J67" s="27">
        <v>2.984763875700085E-2</v>
      </c>
      <c r="K67" s="27">
        <f t="shared" ref="K67" si="39">G67+B67</f>
        <v>0.46667234228820076</v>
      </c>
      <c r="L67" s="27">
        <f t="shared" ref="L67" si="40">SUM(C67:F67)+H67+J67</f>
        <v>0.53332765771179924</v>
      </c>
    </row>
    <row r="68" spans="1:12" x14ac:dyDescent="0.35">
      <c r="A68" s="5">
        <v>45047</v>
      </c>
      <c r="B68" s="27">
        <v>0.31939611887785146</v>
      </c>
      <c r="C68" s="27">
        <v>0.21452790924278434</v>
      </c>
      <c r="D68" s="27">
        <v>5.1423920412784839E-2</v>
      </c>
      <c r="E68" s="27">
        <v>0.11312848391183113</v>
      </c>
      <c r="F68" s="27">
        <v>0.10323434952373806</v>
      </c>
      <c r="G68" s="27">
        <v>0.15048797182678403</v>
      </c>
      <c r="H68" s="27">
        <v>1.7473580988006367E-2</v>
      </c>
      <c r="I68" s="27" t="s">
        <v>1</v>
      </c>
      <c r="J68" s="27">
        <v>3.0327665216219792E-2</v>
      </c>
      <c r="K68" s="27">
        <f t="shared" ref="K68:K69" si="41">G68+B68</f>
        <v>0.46988409070463549</v>
      </c>
      <c r="L68" s="27">
        <f t="shared" ref="L68:L69" si="42">SUM(C68:F68)+H68+J68</f>
        <v>0.53011590929536456</v>
      </c>
    </row>
    <row r="69" spans="1:12" x14ac:dyDescent="0.35">
      <c r="A69" s="5">
        <v>45078</v>
      </c>
      <c r="B69" s="27">
        <v>0.31133104970931735</v>
      </c>
      <c r="C69" s="27">
        <v>0.22068103461378449</v>
      </c>
      <c r="D69" s="27">
        <v>4.7719428073276497E-2</v>
      </c>
      <c r="E69" s="27">
        <v>0.11438594885491232</v>
      </c>
      <c r="F69" s="27">
        <v>0.10579480317401745</v>
      </c>
      <c r="G69" s="27">
        <v>0.1522087584345829</v>
      </c>
      <c r="H69" s="27">
        <v>1.7276977089635975E-2</v>
      </c>
      <c r="I69" s="27" t="s">
        <v>1</v>
      </c>
      <c r="J69" s="27">
        <v>3.060200005047305E-2</v>
      </c>
      <c r="K69" s="27">
        <f t="shared" si="41"/>
        <v>0.46353980814390028</v>
      </c>
      <c r="L69" s="27">
        <f t="shared" si="42"/>
        <v>0.53646019185609983</v>
      </c>
    </row>
    <row r="70" spans="1:12" x14ac:dyDescent="0.35">
      <c r="A70" s="5">
        <v>45108</v>
      </c>
      <c r="B70" s="27">
        <v>0.29535239510683858</v>
      </c>
      <c r="C70" s="27">
        <v>0.23942967693605882</v>
      </c>
      <c r="D70" s="27">
        <v>4.8695065005908117E-2</v>
      </c>
      <c r="E70" s="27">
        <v>0.11101700449140785</v>
      </c>
      <c r="F70" s="27">
        <v>0.10488956248225055</v>
      </c>
      <c r="G70" s="27">
        <v>0.15287427216408608</v>
      </c>
      <c r="H70" s="27">
        <v>1.6718203118378742E-2</v>
      </c>
      <c r="I70" s="27" t="s">
        <v>1</v>
      </c>
      <c r="J70" s="27">
        <v>3.1023820695071268E-2</v>
      </c>
      <c r="K70" s="27">
        <f t="shared" ref="K70" si="43">G70+B70</f>
        <v>0.44822666727092464</v>
      </c>
      <c r="L70" s="27">
        <f t="shared" ref="L70" si="44">SUM(C70:F70)+H70+J70</f>
        <v>0.55177333272907536</v>
      </c>
    </row>
    <row r="71" spans="1:12" x14ac:dyDescent="0.35">
      <c r="A71" s="5">
        <v>45139</v>
      </c>
      <c r="B71" s="27">
        <v>0.29291965862605768</v>
      </c>
      <c r="C71" s="27">
        <v>0.24473685262701986</v>
      </c>
      <c r="D71" s="27">
        <v>4.7285111251329427E-2</v>
      </c>
      <c r="E71" s="27">
        <v>0.11018843648956574</v>
      </c>
      <c r="F71" s="27">
        <v>0.10401559026795645</v>
      </c>
      <c r="G71" s="27">
        <v>0.15299365633012227</v>
      </c>
      <c r="H71" s="27">
        <v>1.625804837308634E-2</v>
      </c>
      <c r="I71" s="27" t="s">
        <v>1</v>
      </c>
      <c r="J71" s="27">
        <v>3.1602646034862292E-2</v>
      </c>
      <c r="K71" s="27">
        <f t="shared" ref="K71" si="45">G71+B71</f>
        <v>0.44591331495617992</v>
      </c>
      <c r="L71" s="27">
        <f t="shared" ref="L71" si="46">SUM(C71:F71)+H71+J71</f>
        <v>0.55408668504382008</v>
      </c>
    </row>
    <row r="72" spans="1:12" x14ac:dyDescent="0.35">
      <c r="A72" s="5">
        <v>45170</v>
      </c>
      <c r="B72" s="27">
        <v>0.28978413762736105</v>
      </c>
      <c r="C72" s="27">
        <v>0.2382574127191045</v>
      </c>
      <c r="D72" s="27">
        <v>4.6879257768830396E-2</v>
      </c>
      <c r="E72" s="27">
        <v>0.11050670085142694</v>
      </c>
      <c r="F72" s="27">
        <v>0.10553342455046527</v>
      </c>
      <c r="G72" s="27">
        <v>0.16169096036890709</v>
      </c>
      <c r="H72" s="27">
        <v>1.5704142160518894E-2</v>
      </c>
      <c r="I72" s="27" t="s">
        <v>1</v>
      </c>
      <c r="J72" s="27">
        <v>3.1643963953385881E-2</v>
      </c>
      <c r="K72" s="27">
        <f t="shared" ref="K72" si="47">G72+B72</f>
        <v>0.45147509799626817</v>
      </c>
      <c r="L72" s="27">
        <f t="shared" ref="L72" si="48">SUM(C72:F72)+H72+J72</f>
        <v>0.54852490200373183</v>
      </c>
    </row>
    <row r="73" spans="1:12" x14ac:dyDescent="0.35">
      <c r="A73" s="5">
        <v>45200</v>
      </c>
      <c r="B73" s="27">
        <v>0.29187879821896134</v>
      </c>
      <c r="C73" s="27">
        <v>0.23529555334779342</v>
      </c>
      <c r="D73" s="27">
        <v>4.6340326404054631E-2</v>
      </c>
      <c r="E73" s="27">
        <v>0.11140533588954601</v>
      </c>
      <c r="F73" s="27">
        <v>0.10574197623560122</v>
      </c>
      <c r="G73" s="27">
        <v>0.16258581396540533</v>
      </c>
      <c r="H73" s="27">
        <v>1.5170597899067752E-2</v>
      </c>
      <c r="I73" s="27" t="s">
        <v>1</v>
      </c>
      <c r="J73" s="27">
        <v>3.1581598039570287E-2</v>
      </c>
      <c r="K73" s="27">
        <f t="shared" ref="K73" si="49">G73+B73</f>
        <v>0.45446461218436668</v>
      </c>
      <c r="L73" s="27">
        <f t="shared" ref="L73" si="50">SUM(C73:F73)+H73+J73</f>
        <v>0.54553538781563327</v>
      </c>
    </row>
    <row r="74" spans="1:12" x14ac:dyDescent="0.35">
      <c r="A74" s="5">
        <v>45231</v>
      </c>
      <c r="B74" s="27">
        <v>0.28970158012323971</v>
      </c>
      <c r="C74" s="27">
        <v>0.23375360196253175</v>
      </c>
      <c r="D74" s="27">
        <v>4.575193563915575E-2</v>
      </c>
      <c r="E74" s="27">
        <v>0.11137008730740293</v>
      </c>
      <c r="F74" s="27">
        <v>0.10825365665084224</v>
      </c>
      <c r="G74" s="27">
        <v>0.16458088468624657</v>
      </c>
      <c r="H74" s="27">
        <v>1.4698551259054326E-2</v>
      </c>
      <c r="I74" s="27" t="s">
        <v>1</v>
      </c>
      <c r="J74" s="27">
        <v>3.1889702371526753E-2</v>
      </c>
      <c r="K74" s="27">
        <f t="shared" ref="K74" si="51">G74+B74</f>
        <v>0.45428246480948631</v>
      </c>
      <c r="L74" s="27">
        <f t="shared" ref="L74" si="52">SUM(C74:F74)+H74+J74</f>
        <v>0.5457175351905138</v>
      </c>
    </row>
    <row r="75" spans="1:12" ht="15" thickBot="1" x14ac:dyDescent="0.4">
      <c r="A75" s="12">
        <v>45261</v>
      </c>
      <c r="B75" s="28">
        <v>0.27920835254663845</v>
      </c>
      <c r="C75" s="28">
        <v>0.24036922873274369</v>
      </c>
      <c r="D75" s="28">
        <v>4.5460151000428044E-2</v>
      </c>
      <c r="E75" s="28">
        <v>0.11071481451531436</v>
      </c>
      <c r="F75" s="28">
        <v>0.10923456101870707</v>
      </c>
      <c r="G75" s="28">
        <v>0.16854944507230335</v>
      </c>
      <c r="H75" s="28">
        <v>1.4225665503374551E-2</v>
      </c>
      <c r="I75" s="28" t="s">
        <v>1</v>
      </c>
      <c r="J75" s="28">
        <v>3.2237781610490492E-2</v>
      </c>
      <c r="K75" s="28">
        <f t="shared" ref="K75" si="53">G75+B75</f>
        <v>0.4477577976189418</v>
      </c>
      <c r="L75" s="28">
        <f t="shared" ref="L75" si="54">SUM(C75:F75)+H75+J75</f>
        <v>0.55224220238105826</v>
      </c>
    </row>
    <row r="76" spans="1:12" x14ac:dyDescent="0.35">
      <c r="A76" s="3">
        <v>45292</v>
      </c>
      <c r="B76" s="26">
        <v>0.29372548216631628</v>
      </c>
      <c r="C76" s="26">
        <v>0.23087487721677805</v>
      </c>
      <c r="D76" s="26">
        <v>4.482227559292197E-2</v>
      </c>
      <c r="E76" s="26">
        <v>0.1095111956391287</v>
      </c>
      <c r="F76" s="26">
        <v>0.10742348092820572</v>
      </c>
      <c r="G76" s="26">
        <v>0.1675679206970262</v>
      </c>
      <c r="H76" s="26">
        <v>1.3959887055248647E-2</v>
      </c>
      <c r="I76" s="26" t="s">
        <v>1</v>
      </c>
      <c r="J76" s="26">
        <v>3.2114880704374432E-2</v>
      </c>
      <c r="K76" s="27">
        <f t="shared" ref="K76" si="55">G76+B76</f>
        <v>0.46129340286334247</v>
      </c>
      <c r="L76" s="27">
        <f t="shared" ref="L76" si="56">SUM(C76:F76)+H76+J76</f>
        <v>0.53870659713665747</v>
      </c>
    </row>
    <row r="77" spans="1:12" x14ac:dyDescent="0.35">
      <c r="A77" s="5">
        <v>45323</v>
      </c>
      <c r="B77" s="27">
        <v>0.2927419139136514</v>
      </c>
      <c r="C77" s="27">
        <v>0.22669852180743147</v>
      </c>
      <c r="D77" s="27">
        <v>4.4677532250416402E-2</v>
      </c>
      <c r="E77" s="27">
        <v>0.10985035983499922</v>
      </c>
      <c r="F77" s="27">
        <v>0.10846903159461405</v>
      </c>
      <c r="G77" s="27">
        <v>0.17171196179534703</v>
      </c>
      <c r="H77" s="27">
        <v>1.3684681112513324E-2</v>
      </c>
      <c r="I77" s="27" t="s">
        <v>1</v>
      </c>
      <c r="J77" s="27">
        <v>3.2165997691027098E-2</v>
      </c>
      <c r="K77" s="27">
        <f t="shared" ref="K77" si="57">G77+B77</f>
        <v>0.46445387570899843</v>
      </c>
      <c r="L77" s="27">
        <f t="shared" ref="L77" si="58">SUM(C77:F77)+H77+J77</f>
        <v>0.53554612429100157</v>
      </c>
    </row>
    <row r="78" spans="1:12" x14ac:dyDescent="0.35">
      <c r="A78" s="5">
        <v>45352</v>
      </c>
      <c r="B78" s="27">
        <v>0.29338257374510968</v>
      </c>
      <c r="C78" s="27">
        <v>0.22985909378128228</v>
      </c>
      <c r="D78" s="27">
        <v>4.4245526616555904E-2</v>
      </c>
      <c r="E78" s="27">
        <v>0.10496147751708609</v>
      </c>
      <c r="F78" s="27">
        <v>0.11157119227823158</v>
      </c>
      <c r="G78" s="27">
        <v>0.17067200908819907</v>
      </c>
      <c r="H78" s="27">
        <v>1.3343734197580892E-2</v>
      </c>
      <c r="I78" s="27" t="s">
        <v>1</v>
      </c>
      <c r="J78" s="27">
        <v>3.1964392775954503E-2</v>
      </c>
      <c r="K78" s="27">
        <f t="shared" ref="K78" si="59">G78+B78</f>
        <v>0.46405458283330875</v>
      </c>
      <c r="L78" s="27">
        <f t="shared" ref="L78" si="60">SUM(C78:F78)+H78+J78</f>
        <v>0.53594541716669131</v>
      </c>
    </row>
    <row r="79" spans="1:12" x14ac:dyDescent="0.35">
      <c r="A79" s="5">
        <v>45383</v>
      </c>
      <c r="B79" s="27">
        <v>0.29621596310887793</v>
      </c>
      <c r="C79" s="27">
        <v>0.22237681880977347</v>
      </c>
      <c r="D79" s="27">
        <v>4.3382903914020748E-2</v>
      </c>
      <c r="E79" s="27">
        <v>0.10474929613235122</v>
      </c>
      <c r="F79" s="27">
        <v>0.11466507593780426</v>
      </c>
      <c r="G79" s="27">
        <v>0.17315132952132561</v>
      </c>
      <c r="H79" s="27">
        <v>1.3470504541591684E-2</v>
      </c>
      <c r="I79" s="27" t="s">
        <v>1</v>
      </c>
      <c r="J79" s="27">
        <v>3.1988108034255051E-2</v>
      </c>
      <c r="K79" s="27">
        <f t="shared" ref="K79" si="61">G79+B79</f>
        <v>0.46936729263020355</v>
      </c>
      <c r="L79" s="27">
        <f t="shared" ref="L79" si="62">SUM(C79:F79)+H79+J79</f>
        <v>0.5306327073697964</v>
      </c>
    </row>
    <row r="80" spans="1:12" x14ac:dyDescent="0.35">
      <c r="A80" s="5">
        <v>45413</v>
      </c>
      <c r="B80" s="27">
        <v>0.29068072738044426</v>
      </c>
      <c r="C80" s="27">
        <v>0.22126085595756412</v>
      </c>
      <c r="D80" s="27">
        <v>4.3901653005884146E-2</v>
      </c>
      <c r="E80" s="27">
        <v>0.10448371082906838</v>
      </c>
      <c r="F80" s="27">
        <v>0.11858181406283316</v>
      </c>
      <c r="G80" s="27">
        <v>0.17539163150173612</v>
      </c>
      <c r="H80" s="27">
        <v>1.3291870860140245E-2</v>
      </c>
      <c r="I80" s="27" t="s">
        <v>1</v>
      </c>
      <c r="J80" s="27">
        <v>3.24077364023296E-2</v>
      </c>
      <c r="K80" s="27">
        <f t="shared" ref="K80" si="63">G80+B80</f>
        <v>0.46607235888218035</v>
      </c>
      <c r="L80" s="27">
        <f t="shared" ref="L80" si="64">SUM(C80:F80)+H80+J80</f>
        <v>0.53392764111781976</v>
      </c>
    </row>
    <row r="81" spans="1:12" x14ac:dyDescent="0.35">
      <c r="A81" s="5">
        <v>45444</v>
      </c>
      <c r="B81" s="27">
        <v>0.29157688626978151</v>
      </c>
      <c r="C81" s="27">
        <v>0.21849536530271679</v>
      </c>
      <c r="D81" s="27">
        <v>4.5956170353792361E-2</v>
      </c>
      <c r="E81" s="27">
        <v>0.1037038358259301</v>
      </c>
      <c r="F81" s="27">
        <v>0.11807577027541138</v>
      </c>
      <c r="G81" s="27">
        <v>0.17691515227419971</v>
      </c>
      <c r="H81" s="27">
        <v>1.2632753413673046E-2</v>
      </c>
      <c r="I81" s="27" t="s">
        <v>1</v>
      </c>
      <c r="J81" s="27">
        <v>3.264406628449508E-2</v>
      </c>
      <c r="K81" s="27">
        <f t="shared" ref="K81" si="65">G81+B81</f>
        <v>0.46849203854398125</v>
      </c>
      <c r="L81" s="27">
        <f t="shared" ref="L81" si="66">SUM(C81:F81)+H81+J81</f>
        <v>0.53150796145601875</v>
      </c>
    </row>
    <row r="82" spans="1:12" x14ac:dyDescent="0.35">
      <c r="A82" s="5">
        <v>45474</v>
      </c>
      <c r="B82" s="27">
        <v>0.28440224577924422</v>
      </c>
      <c r="C82" s="27">
        <v>0.21850433806858088</v>
      </c>
      <c r="D82" s="27">
        <v>4.597096111263245E-2</v>
      </c>
      <c r="E82" s="27">
        <v>0.10506028098492604</v>
      </c>
      <c r="F82" s="27">
        <v>0.12090089766213073</v>
      </c>
      <c r="G82" s="27">
        <v>0.17810869166236235</v>
      </c>
      <c r="H82" s="27">
        <v>1.2303305534852621E-2</v>
      </c>
      <c r="I82" s="27" t="s">
        <v>1</v>
      </c>
      <c r="J82" s="27">
        <v>3.4749279195270689E-2</v>
      </c>
      <c r="K82" s="27">
        <f t="shared" ref="K82" si="67">G82+B82</f>
        <v>0.46251093744160654</v>
      </c>
      <c r="L82" s="27">
        <f t="shared" ref="L82" si="68">SUM(C82:F82)+H82+J82</f>
        <v>0.53748906255839346</v>
      </c>
    </row>
    <row r="83" spans="1:12" x14ac:dyDescent="0.35">
      <c r="A83" s="5">
        <v>45505</v>
      </c>
      <c r="B83" s="27">
        <v>0.27982090288257544</v>
      </c>
      <c r="C83" s="27">
        <v>0.21702245125531269</v>
      </c>
      <c r="D83" s="27">
        <v>5.1671119050526577E-2</v>
      </c>
      <c r="E83" s="27">
        <v>0.10527433369221284</v>
      </c>
      <c r="F83" s="27">
        <v>0.10867029635380665</v>
      </c>
      <c r="G83" s="27">
        <v>0.17480996844773225</v>
      </c>
      <c r="H83" s="27">
        <v>1.5546862717199589E-2</v>
      </c>
      <c r="I83" s="27">
        <v>1.8702855052638773E-2</v>
      </c>
      <c r="J83" s="27">
        <v>2.8481210547995187E-2</v>
      </c>
      <c r="K83" s="27">
        <f t="shared" ref="K83:K88" si="69">G83+B83</f>
        <v>0.45463087133030766</v>
      </c>
      <c r="L83" s="27">
        <f t="shared" ref="L83:L88" si="70">SUM(C83:F83)+H83+J83+I83</f>
        <v>0.54536912866969234</v>
      </c>
    </row>
    <row r="84" spans="1:12" x14ac:dyDescent="0.35">
      <c r="A84" s="5">
        <v>45536</v>
      </c>
      <c r="B84" s="27">
        <v>0.28026247313808778</v>
      </c>
      <c r="C84" s="27">
        <v>0.21767810448079311</v>
      </c>
      <c r="D84" s="27">
        <v>5.0441139822633436E-2</v>
      </c>
      <c r="E84" s="27">
        <v>0.10440238956636562</v>
      </c>
      <c r="F84" s="27">
        <v>0.10829712518455202</v>
      </c>
      <c r="G84" s="27">
        <v>0.17510613754997306</v>
      </c>
      <c r="H84" s="27">
        <v>1.6301384705295126E-2</v>
      </c>
      <c r="I84" s="27">
        <v>1.8845868197553857E-2</v>
      </c>
      <c r="J84" s="27">
        <v>2.8665377354745978E-2</v>
      </c>
      <c r="K84" s="27">
        <f t="shared" si="69"/>
        <v>0.45536861068806084</v>
      </c>
      <c r="L84" s="27">
        <f t="shared" si="70"/>
        <v>0.54463138931193911</v>
      </c>
    </row>
    <row r="85" spans="1:12" x14ac:dyDescent="0.35">
      <c r="A85" s="5">
        <v>45566</v>
      </c>
      <c r="B85" s="27">
        <v>0.27856339829572352</v>
      </c>
      <c r="C85" s="27">
        <v>0.21675861407951252</v>
      </c>
      <c r="D85" s="27">
        <v>4.9224371682671519E-2</v>
      </c>
      <c r="E85" s="27">
        <v>0.10335387264294812</v>
      </c>
      <c r="F85" s="27">
        <v>0.10906754440977739</v>
      </c>
      <c r="G85" s="27">
        <v>0.17648634848337982</v>
      </c>
      <c r="H85" s="27">
        <v>1.8927640867274713E-2</v>
      </c>
      <c r="I85" s="27">
        <v>1.9078805176638684E-2</v>
      </c>
      <c r="J85" s="27">
        <v>2.8539404362073702E-2</v>
      </c>
      <c r="K85" s="27">
        <f t="shared" si="69"/>
        <v>0.45504974677910337</v>
      </c>
      <c r="L85" s="27">
        <f t="shared" si="70"/>
        <v>0.54495025322089674</v>
      </c>
    </row>
    <row r="86" spans="1:12" x14ac:dyDescent="0.35">
      <c r="A86" s="5">
        <v>45597</v>
      </c>
      <c r="B86" s="27">
        <v>0.28621082340128434</v>
      </c>
      <c r="C86" s="27">
        <v>0.20278908019846545</v>
      </c>
      <c r="D86" s="27">
        <v>4.921461836286499E-2</v>
      </c>
      <c r="E86" s="27">
        <v>0.10360188344089526</v>
      </c>
      <c r="F86" s="27">
        <v>0.11146269604762611</v>
      </c>
      <c r="G86" s="27">
        <v>0.17995904041449612</v>
      </c>
      <c r="H86" s="27">
        <v>1.8559592038303475E-2</v>
      </c>
      <c r="I86" s="27">
        <v>1.9249187408785631E-2</v>
      </c>
      <c r="J86" s="27">
        <v>2.8953078687278606E-2</v>
      </c>
      <c r="K86" s="27">
        <f t="shared" si="69"/>
        <v>0.46616986381578046</v>
      </c>
      <c r="L86" s="27">
        <f t="shared" si="70"/>
        <v>0.53383013618421959</v>
      </c>
    </row>
    <row r="87" spans="1:12" ht="15" thickBot="1" x14ac:dyDescent="0.4">
      <c r="A87" s="12">
        <v>45627</v>
      </c>
      <c r="B87" s="28">
        <v>0.27434075483139919</v>
      </c>
      <c r="C87" s="28">
        <v>0.22061850360695245</v>
      </c>
      <c r="D87" s="28">
        <v>4.8695596690245799E-2</v>
      </c>
      <c r="E87" s="28">
        <v>0.10078232341288058</v>
      </c>
      <c r="F87" s="28">
        <v>0.11029310555039051</v>
      </c>
      <c r="G87" s="28">
        <v>0.17987693279628483</v>
      </c>
      <c r="H87" s="28">
        <v>1.7939799676880697E-2</v>
      </c>
      <c r="I87" s="28">
        <v>1.9016941897558239E-2</v>
      </c>
      <c r="J87" s="28">
        <v>2.843604153740769E-2</v>
      </c>
      <c r="K87" s="28">
        <f t="shared" si="69"/>
        <v>0.454217687627684</v>
      </c>
      <c r="L87" s="28">
        <f t="shared" si="70"/>
        <v>0.54578231237231589</v>
      </c>
    </row>
    <row r="88" spans="1:12" x14ac:dyDescent="0.35">
      <c r="A88" s="3">
        <v>45658</v>
      </c>
      <c r="B88" s="26">
        <v>0.28898404019931961</v>
      </c>
      <c r="C88" s="26">
        <v>0.21034800951333055</v>
      </c>
      <c r="D88" s="26">
        <v>4.7373885180051194E-2</v>
      </c>
      <c r="E88" s="26">
        <v>9.8802824466302439E-2</v>
      </c>
      <c r="F88" s="26">
        <v>0.10948384508425398</v>
      </c>
      <c r="G88" s="26">
        <v>0.1810262608888569</v>
      </c>
      <c r="H88" s="26">
        <v>1.6705719191198776E-2</v>
      </c>
      <c r="I88" s="26">
        <v>1.9249239652203327E-2</v>
      </c>
      <c r="J88" s="26">
        <v>2.8026175824483222E-2</v>
      </c>
      <c r="K88" s="27">
        <f t="shared" si="69"/>
        <v>0.47001030108817654</v>
      </c>
      <c r="L88" s="27">
        <f t="shared" si="70"/>
        <v>0.52998969891182357</v>
      </c>
    </row>
    <row r="89" spans="1:12" x14ac:dyDescent="0.35">
      <c r="A89" s="5">
        <v>45689</v>
      </c>
      <c r="B89" s="27">
        <v>0.28075920937220672</v>
      </c>
      <c r="C89" s="27">
        <v>0.20367688356177957</v>
      </c>
      <c r="D89" s="27">
        <v>4.6664422850218781E-2</v>
      </c>
      <c r="E89" s="27">
        <v>9.7478952000617916E-2</v>
      </c>
      <c r="F89" s="27">
        <v>0.10959804008519515</v>
      </c>
      <c r="G89" s="27">
        <v>0.18777358568004152</v>
      </c>
      <c r="H89" s="27">
        <v>2.6784360314587589E-2</v>
      </c>
      <c r="I89" s="27">
        <v>1.9326864753706721E-2</v>
      </c>
      <c r="J89" s="27">
        <v>2.793768138164605E-2</v>
      </c>
      <c r="K89" s="27">
        <f t="shared" ref="K89" si="71">G89+B89</f>
        <v>0.46853279505224821</v>
      </c>
      <c r="L89" s="27">
        <f t="shared" ref="L89" si="72">SUM(C89:F89)+H89+J89+I89</f>
        <v>0.53146720494775179</v>
      </c>
    </row>
    <row r="90" spans="1:12" x14ac:dyDescent="0.35">
      <c r="A90" s="5">
        <v>45717</v>
      </c>
      <c r="B90" s="27">
        <v>0.28473801280035049</v>
      </c>
      <c r="C90" s="27">
        <v>0.20423161707529586</v>
      </c>
      <c r="D90" s="27">
        <v>4.6758764395891439E-2</v>
      </c>
      <c r="E90" s="27">
        <v>9.6768468786086997E-2</v>
      </c>
      <c r="F90" s="27">
        <v>0.11248781662789328</v>
      </c>
      <c r="G90" s="27">
        <v>0.19142075116368856</v>
      </c>
      <c r="H90" s="27">
        <v>1.5579750680382556E-2</v>
      </c>
      <c r="I90" s="27">
        <v>1.9924374396427042E-2</v>
      </c>
      <c r="J90" s="27">
        <v>2.8090444073983756E-2</v>
      </c>
      <c r="K90" s="27">
        <f t="shared" ref="K90" si="73">G90+B90</f>
        <v>0.47615876396403906</v>
      </c>
      <c r="L90" s="27">
        <f t="shared" ref="L90" si="74">SUM(C90:F90)+H90+J90+I90</f>
        <v>0.52384123603596089</v>
      </c>
    </row>
    <row r="91" spans="1:12" x14ac:dyDescent="0.35">
      <c r="A91" s="5">
        <v>45748</v>
      </c>
      <c r="B91" s="27">
        <v>0.28139064310351691</v>
      </c>
      <c r="C91" s="27">
        <v>0.20082218919934303</v>
      </c>
      <c r="D91" s="27">
        <v>4.5669554485937312E-2</v>
      </c>
      <c r="E91" s="27">
        <v>9.5508045905429814E-2</v>
      </c>
      <c r="F91" s="27">
        <v>0.11631279042108918</v>
      </c>
      <c r="G91" s="27">
        <v>0.19313150724026679</v>
      </c>
      <c r="H91" s="27">
        <v>1.9698764691713593E-2</v>
      </c>
      <c r="I91" s="27">
        <v>1.980009211052669E-2</v>
      </c>
      <c r="J91" s="27">
        <v>2.7666412842176691E-2</v>
      </c>
      <c r="K91" s="27">
        <f t="shared" ref="K91" si="75">G91+B91</f>
        <v>0.4745221503437837</v>
      </c>
      <c r="L91" s="27">
        <f t="shared" ref="L91" si="76">SUM(C91:F91)+H91+J91+I91</f>
        <v>0.52547784965621636</v>
      </c>
    </row>
    <row r="92" spans="1:12" x14ac:dyDescent="0.35">
      <c r="A92" s="5">
        <v>45778</v>
      </c>
      <c r="B92" s="27">
        <v>0.27849073140970138</v>
      </c>
      <c r="C92" s="27">
        <v>0.20168846544168803</v>
      </c>
      <c r="D92" s="27">
        <v>4.6102984849029034E-2</v>
      </c>
      <c r="E92" s="27">
        <v>9.4388684116203617E-2</v>
      </c>
      <c r="F92" s="27">
        <v>0.11944455942336936</v>
      </c>
      <c r="G92" s="27">
        <v>0.19380569024713798</v>
      </c>
      <c r="H92" s="27">
        <v>1.9044112622660838E-2</v>
      </c>
      <c r="I92" s="27">
        <v>1.9546980003022671E-2</v>
      </c>
      <c r="J92" s="27">
        <v>2.7487791887187085E-2</v>
      </c>
      <c r="K92" s="27">
        <f t="shared" ref="K92" si="77">G92+B92</f>
        <v>0.47229642165683938</v>
      </c>
      <c r="L92" s="27">
        <f t="shared" ref="L92" si="78">SUM(C92:F92)+H92+J92+I92</f>
        <v>0.52770357834316062</v>
      </c>
    </row>
    <row r="93" spans="1:12" x14ac:dyDescent="0.35">
      <c r="A93" s="5">
        <v>45809</v>
      </c>
      <c r="B93" s="27">
        <v>0.27494253020164355</v>
      </c>
      <c r="C93" s="27">
        <v>0.2066759060227005</v>
      </c>
      <c r="D93" s="27">
        <v>4.5333372056293883E-2</v>
      </c>
      <c r="E93" s="27">
        <v>9.2450932511774678E-2</v>
      </c>
      <c r="F93" s="27">
        <v>0.1181819531775386</v>
      </c>
      <c r="G93" s="27">
        <v>0.19425100308944207</v>
      </c>
      <c r="H93" s="27">
        <v>2.1579683442790688E-2</v>
      </c>
      <c r="I93" s="27">
        <v>1.9586329530027449E-2</v>
      </c>
      <c r="J93" s="27">
        <v>2.6998289967788577E-2</v>
      </c>
      <c r="K93" s="27">
        <f t="shared" ref="K93" si="79">G93+B93</f>
        <v>0.4691935332910856</v>
      </c>
      <c r="L93" s="27">
        <f t="shared" ref="L93" si="80">SUM(C93:F93)+H93+J93+I93</f>
        <v>0.5308064667089144</v>
      </c>
    </row>
    <row r="94" spans="1:12" x14ac:dyDescent="0.35">
      <c r="A94" s="5">
        <v>45839</v>
      </c>
      <c r="B94" s="27">
        <v>0.27255997920064695</v>
      </c>
      <c r="C94" s="27">
        <v>0.20598796947637926</v>
      </c>
      <c r="D94" s="27">
        <v>4.64576917799795E-2</v>
      </c>
      <c r="E94" s="27">
        <v>9.2478388094758363E-2</v>
      </c>
      <c r="F94" s="27">
        <v>0.11930314565426182</v>
      </c>
      <c r="G94" s="27">
        <v>0.19471260399728169</v>
      </c>
      <c r="H94" s="27">
        <v>2.1148790773191491E-2</v>
      </c>
      <c r="I94" s="27">
        <v>1.989027374508456E-2</v>
      </c>
      <c r="J94" s="27">
        <v>2.7461157278416387E-2</v>
      </c>
      <c r="K94" s="27">
        <f t="shared" ref="K94" si="81">G94+B94</f>
        <v>0.46727258319792864</v>
      </c>
      <c r="L94" s="27">
        <f t="shared" ref="L94" si="82">SUM(C94:F94)+H94+J94+I94</f>
        <v>0.53272741680207136</v>
      </c>
    </row>
    <row r="95" spans="1:12" x14ac:dyDescent="0.35">
      <c r="A95" s="5">
        <v>45870</v>
      </c>
      <c r="B95" s="27">
        <v>0.27268541573072952</v>
      </c>
      <c r="C95" s="27">
        <v>0.20824082600122551</v>
      </c>
      <c r="D95" s="27">
        <v>4.6265363996770503E-2</v>
      </c>
      <c r="E95" s="27">
        <v>9.1374255121790676E-2</v>
      </c>
      <c r="F95" s="27">
        <v>0.11845983883416585</v>
      </c>
      <c r="G95" s="27">
        <v>0.19506365284040619</v>
      </c>
      <c r="H95" s="27">
        <v>2.0461805651003986E-2</v>
      </c>
      <c r="I95" s="27">
        <v>1.9785298357436303E-2</v>
      </c>
      <c r="J95" s="27">
        <v>2.7663543466471464E-2</v>
      </c>
      <c r="K95" s="27">
        <f t="shared" ref="K95" si="83">G95+B95</f>
        <v>0.46774906857113574</v>
      </c>
      <c r="L95" s="27">
        <f t="shared" ref="L95" si="84">SUM(C95:F95)+H95+J95+I95</f>
        <v>0.53225093142886415</v>
      </c>
    </row>
    <row r="96" spans="1:12" x14ac:dyDescent="0.35">
      <c r="A96" s="5">
        <v>45901</v>
      </c>
      <c r="B96" s="27">
        <v>0.27018058556963587</v>
      </c>
      <c r="C96" s="27">
        <v>0.21326882623107743</v>
      </c>
      <c r="D96" s="27">
        <v>4.6413996375170914E-2</v>
      </c>
      <c r="E96" s="27">
        <v>9.1376873041517856E-2</v>
      </c>
      <c r="F96" s="27">
        <v>0.11472442932703308</v>
      </c>
      <c r="G96" s="27">
        <v>0.1991732102837232</v>
      </c>
      <c r="H96" s="27">
        <v>1.7262315720627027E-2</v>
      </c>
      <c r="I96" s="27">
        <v>1.9798175545010423E-2</v>
      </c>
      <c r="J96" s="27">
        <v>2.7801587906204184E-2</v>
      </c>
      <c r="K96" s="27">
        <f t="shared" ref="K96" si="85">G96+B96</f>
        <v>0.46935379585335907</v>
      </c>
      <c r="L96" s="27">
        <f t="shared" ref="L96" si="86">SUM(C96:F96)+H96+J96+I96</f>
        <v>0.53064620414664099</v>
      </c>
    </row>
    <row r="97" spans="1:12" x14ac:dyDescent="0.35">
      <c r="A97" s="5">
        <v>45931</v>
      </c>
      <c r="B97" s="27">
        <v>0.26629956154297729</v>
      </c>
      <c r="C97" s="27">
        <v>0.21672590898172386</v>
      </c>
      <c r="D97" s="27">
        <v>4.5084558548221403E-2</v>
      </c>
      <c r="E97" s="27">
        <v>9.0627650273627389E-2</v>
      </c>
      <c r="F97" s="27">
        <v>0.11774270529018774</v>
      </c>
      <c r="G97" s="27">
        <v>0.19955654278857904</v>
      </c>
      <c r="H97" s="27">
        <v>1.7036254026888079E-2</v>
      </c>
      <c r="I97" s="27">
        <v>1.9569746461463686E-2</v>
      </c>
      <c r="J97" s="27">
        <v>2.7357072086331511E-2</v>
      </c>
      <c r="K97" s="27">
        <f t="shared" ref="K97" si="87">G97+B97</f>
        <v>0.46585610433155633</v>
      </c>
      <c r="L97" s="27">
        <f t="shared" ref="L97" si="88">SUM(C97:F97)+H97+J97+I97</f>
        <v>0.53414389566844367</v>
      </c>
    </row>
    <row r="98" spans="1:12" x14ac:dyDescent="0.35">
      <c r="A98" s="5">
        <v>45962</v>
      </c>
      <c r="B98" s="27">
        <v>0.26923826415614249</v>
      </c>
      <c r="C98" s="27">
        <v>0.2190373337605514</v>
      </c>
      <c r="D98" s="27">
        <v>4.7055147317952219E-2</v>
      </c>
      <c r="E98" s="27">
        <v>8.656835799623698E-2</v>
      </c>
      <c r="F98" s="27">
        <v>0.1193160217637958</v>
      </c>
      <c r="G98" s="27">
        <v>0.1939426328163483</v>
      </c>
      <c r="H98" s="27">
        <v>1.8705072692700983E-2</v>
      </c>
      <c r="I98" s="27">
        <v>1.9793418003991113E-2</v>
      </c>
      <c r="J98" s="27">
        <v>2.6343751492280715E-2</v>
      </c>
      <c r="K98" s="27">
        <f t="shared" ref="K98" si="89">G98+B98</f>
        <v>0.46318089697249076</v>
      </c>
      <c r="L98" s="27">
        <f t="shared" ref="L98" si="90">SUM(C98:F98)+H98+J98+I98</f>
        <v>0.53681910302750924</v>
      </c>
    </row>
    <row r="99" spans="1:12" ht="15" thickBot="1" x14ac:dyDescent="0.4">
      <c r="A99" s="12">
        <v>45992</v>
      </c>
      <c r="B99" s="28">
        <v>0.26150721790202491</v>
      </c>
      <c r="C99" s="28">
        <v>0.22116323214466069</v>
      </c>
      <c r="D99" s="28">
        <v>4.9444995036808166E-2</v>
      </c>
      <c r="E99" s="28">
        <v>8.3759466753337675E-2</v>
      </c>
      <c r="F99" s="28">
        <v>0.11909767541537153</v>
      </c>
      <c r="G99" s="28">
        <v>0.19602888879072627</v>
      </c>
      <c r="H99" s="28">
        <v>2.306252148346772E-2</v>
      </c>
      <c r="I99" s="28">
        <v>1.9508818540722495E-2</v>
      </c>
      <c r="J99" s="28">
        <v>2.6427183932880537E-2</v>
      </c>
      <c r="K99" s="28">
        <f t="shared" ref="K99" si="91">G99+B99</f>
        <v>0.45753610669275119</v>
      </c>
      <c r="L99" s="28">
        <f t="shared" ref="L99" si="92">SUM(C99:F99)+H99+J99+I99</f>
        <v>0.54246389330724887</v>
      </c>
    </row>
    <row r="100" spans="1:12" x14ac:dyDescent="0.35">
      <c r="A100" s="3">
        <v>46023</v>
      </c>
      <c r="B100" s="26">
        <v>0.2629918070603417</v>
      </c>
      <c r="C100" s="26">
        <v>0.21982966042476673</v>
      </c>
      <c r="D100" s="26">
        <v>4.9932109712367827E-2</v>
      </c>
      <c r="E100" s="26">
        <v>8.270686626573602E-2</v>
      </c>
      <c r="F100" s="26">
        <v>0.11764457375051186</v>
      </c>
      <c r="G100" s="26">
        <v>0.19792040210882314</v>
      </c>
      <c r="H100" s="26">
        <v>2.3207361632293307E-2</v>
      </c>
      <c r="I100" s="26">
        <v>1.9606440640187586E-2</v>
      </c>
      <c r="J100" s="26">
        <v>2.6160778404971809E-2</v>
      </c>
      <c r="K100" s="27">
        <f>G100+B100</f>
        <v>0.46091220916916487</v>
      </c>
      <c r="L100" s="27">
        <f t="shared" ref="L100:L101" si="93">SUM(C100:F100)+H100+J100+I100</f>
        <v>0.53908779083083513</v>
      </c>
    </row>
    <row r="101" spans="1:12" x14ac:dyDescent="0.35">
      <c r="A101" s="5">
        <v>46054</v>
      </c>
      <c r="B101" s="27">
        <v>0.26792092440529497</v>
      </c>
      <c r="C101" s="27">
        <v>0.21377790672955782</v>
      </c>
      <c r="D101" s="27">
        <v>4.8702830136517057E-2</v>
      </c>
      <c r="E101" s="27">
        <v>8.1707829609299037E-2</v>
      </c>
      <c r="F101" s="27">
        <v>0.1162409681788044</v>
      </c>
      <c r="G101" s="27">
        <v>0.20331449757419462</v>
      </c>
      <c r="H101" s="27">
        <v>2.2865726821934825E-2</v>
      </c>
      <c r="I101" s="27">
        <v>1.9565420587048302E-2</v>
      </c>
      <c r="J101" s="27">
        <v>2.5903895957348985E-2</v>
      </c>
      <c r="K101" s="27">
        <f t="shared" ref="K101" si="94">G101+B101</f>
        <v>0.47123542197948959</v>
      </c>
      <c r="L101" s="27">
        <f t="shared" si="93"/>
        <v>0.52876457802051047</v>
      </c>
    </row>
    <row r="102" spans="1:12" x14ac:dyDescent="0.35">
      <c r="A102" s="5">
        <v>46082</v>
      </c>
      <c r="B102" s="27">
        <v>0.27298743571407397</v>
      </c>
      <c r="C102" s="27">
        <v>0.21074957163288155</v>
      </c>
      <c r="D102" s="27">
        <v>4.5621572211176874E-2</v>
      </c>
      <c r="E102" s="27">
        <v>8.0089758760315072E-2</v>
      </c>
      <c r="F102" s="27">
        <v>0.11577922613770408</v>
      </c>
      <c r="G102" s="27">
        <v>0.20264398877812018</v>
      </c>
      <c r="H102" s="27">
        <v>2.6701195669580582E-2</v>
      </c>
      <c r="I102" s="27">
        <v>1.9526219896320231E-2</v>
      </c>
      <c r="J102" s="27">
        <v>2.5901031199827482E-2</v>
      </c>
      <c r="K102" s="27">
        <f t="shared" ref="K102" si="95">G102+B102</f>
        <v>0.47563142449219414</v>
      </c>
      <c r="L102" s="27">
        <f t="shared" ref="L102" si="96">SUM(C102:F102)+H102+J102+I102</f>
        <v>0.5243685755078058</v>
      </c>
    </row>
    <row r="103" spans="1:12" x14ac:dyDescent="0.35">
      <c r="A103" s="5">
        <v>46113</v>
      </c>
      <c r="B103" s="27">
        <v>0.27458169748666988</v>
      </c>
      <c r="C103" s="27">
        <v>0.20958336110201783</v>
      </c>
      <c r="D103" s="27">
        <v>4.6124701882613264E-2</v>
      </c>
      <c r="E103" s="27">
        <v>8.6863368469430921E-2</v>
      </c>
      <c r="F103" s="27">
        <v>0.11632109648873948</v>
      </c>
      <c r="G103" s="27">
        <v>0.19811636160075238</v>
      </c>
      <c r="H103" s="27">
        <v>2.3026364347539876E-2</v>
      </c>
      <c r="I103" s="27">
        <v>1.963302680218566E-2</v>
      </c>
      <c r="J103" s="27">
        <v>2.5750021820050685E-2</v>
      </c>
      <c r="K103" s="27">
        <f t="shared" ref="K103" si="97">G103+B103</f>
        <v>0.47269805908742224</v>
      </c>
      <c r="L103" s="27">
        <f t="shared" ref="L103" si="98">SUM(C103:F103)+H103+J103+I103</f>
        <v>0.52730194091257776</v>
      </c>
    </row>
    <row r="104" spans="1:12" x14ac:dyDescent="0.35">
      <c r="A104" s="5">
        <v>46143</v>
      </c>
      <c r="B104" s="27">
        <v>0.27389144481848221</v>
      </c>
      <c r="C104" s="27">
        <v>0.21297751656056668</v>
      </c>
      <c r="D104" s="27">
        <v>4.7389688659845573E-2</v>
      </c>
      <c r="E104" s="27">
        <v>8.7043639867415992E-2</v>
      </c>
      <c r="F104" s="27">
        <v>0.11701586177325565</v>
      </c>
      <c r="G104" s="27">
        <v>0.19480657739027832</v>
      </c>
      <c r="H104" s="27">
        <v>2.2857311643557938E-2</v>
      </c>
      <c r="I104" s="27">
        <v>1.9699574602315219E-2</v>
      </c>
      <c r="J104" s="27">
        <v>2.4318384684282435E-2</v>
      </c>
      <c r="K104" s="27">
        <f t="shared" ref="K104" si="99">G104+B104</f>
        <v>0.46869802220876056</v>
      </c>
      <c r="L104" s="27">
        <f t="shared" ref="L104" si="100">SUM(C104:F104)+H104+J104+I104</f>
        <v>0.53130197779123944</v>
      </c>
    </row>
    <row r="105" spans="1:12" x14ac:dyDescent="0.35">
      <c r="A105" s="5">
        <v>46174</v>
      </c>
      <c r="B105" s="27">
        <v>0.2725347779953402</v>
      </c>
      <c r="C105" s="27">
        <v>0.21311969201450995</v>
      </c>
      <c r="D105" s="27">
        <v>4.8412815480752894E-2</v>
      </c>
      <c r="E105" s="27">
        <v>8.5702160185786094E-2</v>
      </c>
      <c r="F105" s="27">
        <v>0.11728548363516098</v>
      </c>
      <c r="G105" s="27">
        <v>0.19601804670600725</v>
      </c>
      <c r="H105" s="27">
        <v>2.3092108930930687E-2</v>
      </c>
      <c r="I105" s="27">
        <v>1.9376461786479813E-2</v>
      </c>
      <c r="J105" s="27">
        <v>2.4458453265032154E-2</v>
      </c>
      <c r="K105" s="27">
        <f t="shared" ref="K105" si="101">G105+B105</f>
        <v>0.46855282470134746</v>
      </c>
      <c r="L105" s="27">
        <f t="shared" ref="L105" si="102">SUM(C105:F105)+H105+J105+I105</f>
        <v>0.53144717529865249</v>
      </c>
    </row>
    <row r="106" spans="1:12" x14ac:dyDescent="0.35">
      <c r="A106" s="5">
        <v>46204</v>
      </c>
      <c r="B106" s="27">
        <v>0.27246875616769045</v>
      </c>
      <c r="C106" s="27">
        <v>0.21053213170647125</v>
      </c>
      <c r="D106" s="27">
        <v>5.0261510984824016E-2</v>
      </c>
      <c r="E106" s="27">
        <v>8.5399652858654945E-2</v>
      </c>
      <c r="F106" s="27">
        <v>0.11592056854551391</v>
      </c>
      <c r="G106" s="27">
        <v>0.19946954902048014</v>
      </c>
      <c r="H106" s="27">
        <v>2.2122891854493277E-2</v>
      </c>
      <c r="I106" s="27">
        <v>1.9465521542543725E-2</v>
      </c>
      <c r="J106" s="27">
        <v>2.4359417319328319E-2</v>
      </c>
      <c r="K106" s="27">
        <f t="shared" ref="K106" si="103">G106+B106</f>
        <v>0.47193830518817059</v>
      </c>
      <c r="L106" s="27">
        <f t="shared" ref="L106" si="104">SUM(C106:F106)+H106+J106+I106</f>
        <v>0.52806169481182952</v>
      </c>
    </row>
    <row r="107" spans="1:12" x14ac:dyDescent="0.35">
      <c r="A107" s="5">
        <v>46235</v>
      </c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</row>
    <row r="108" spans="1:12" x14ac:dyDescent="0.35">
      <c r="A108" s="5">
        <v>46266</v>
      </c>
      <c r="B108" s="49"/>
      <c r="C108" s="49"/>
      <c r="D108" s="49"/>
      <c r="E108" s="49"/>
      <c r="F108" s="49"/>
      <c r="G108" s="49"/>
      <c r="H108" s="49"/>
      <c r="I108" s="49"/>
      <c r="J108" s="49"/>
      <c r="K108" s="27"/>
      <c r="L108" s="27"/>
    </row>
    <row r="109" spans="1:12" x14ac:dyDescent="0.35">
      <c r="A109" s="5">
        <v>46296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</row>
    <row r="110" spans="1:12" x14ac:dyDescent="0.35">
      <c r="A110" s="5">
        <v>46327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</row>
    <row r="111" spans="1:12" ht="15" thickBot="1" x14ac:dyDescent="0.4">
      <c r="A111" s="12">
        <v>46357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</row>
  </sheetData>
  <mergeCells count="1">
    <mergeCell ref="A2:L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8FEF-BB32-4CE2-BC4D-F047A3B0429A}">
  <sheetPr codeName="Planilha4"/>
  <dimension ref="A1:P99"/>
  <sheetViews>
    <sheetView zoomScale="90" zoomScaleNormal="90" workbookViewId="0">
      <pane xSplit="1" ySplit="3" topLeftCell="B4" activePane="bottomRight" state="frozen"/>
      <selection activeCell="H93" sqref="H93"/>
      <selection pane="topRight" activeCell="H93" sqref="H93"/>
      <selection pane="bottomLeft" activeCell="H93" sqref="H93"/>
      <selection pane="bottomRight" activeCell="J6" sqref="J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20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261953</v>
      </c>
      <c r="C4" s="29">
        <v>1426029</v>
      </c>
      <c r="D4" s="29">
        <v>849288805.96999943</v>
      </c>
      <c r="E4" s="33">
        <f t="shared" ref="E4:E33" si="0">C4/B4</f>
        <v>5.4438353445083658</v>
      </c>
      <c r="F4" s="45">
        <f>D4/B4</f>
        <v>3242.1419337438374</v>
      </c>
      <c r="G4" s="45">
        <f t="shared" ref="G4" si="1">F4/E4</f>
        <v>595.56208602349568</v>
      </c>
      <c r="H4" s="26">
        <v>0.4766430485328193</v>
      </c>
      <c r="I4" s="58">
        <f>(B4/('Consumidores Inadimplentes'!B40*1000000))</f>
        <v>4.2130622928263006E-3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266577</v>
      </c>
      <c r="C5" s="30">
        <v>1433855</v>
      </c>
      <c r="D5" s="30">
        <v>848688239.61000037</v>
      </c>
      <c r="E5" s="34">
        <f t="shared" si="0"/>
        <v>5.3787648596840691</v>
      </c>
      <c r="F5" s="43">
        <f t="shared" ref="F5:F47" si="2">D5/B5</f>
        <v>3183.6514013211959</v>
      </c>
      <c r="G5" s="43">
        <f t="shared" ref="G5:G47" si="3">F5/E5</f>
        <v>591.8926527508014</v>
      </c>
      <c r="H5" s="27">
        <v>0.48414790106886579</v>
      </c>
      <c r="I5" s="59">
        <f>(B5/('Consumidores Inadimplentes'!B41*1000000))</f>
        <v>4.2876717530786687E-3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264531</v>
      </c>
      <c r="C6" s="30">
        <v>1426617</v>
      </c>
      <c r="D6" s="30">
        <v>859612365.14999938</v>
      </c>
      <c r="E6" s="34">
        <f t="shared" si="0"/>
        <v>5.3930049786225434</v>
      </c>
      <c r="F6" s="43">
        <f t="shared" si="2"/>
        <v>3249.5713740544561</v>
      </c>
      <c r="G6" s="43">
        <f t="shared" si="3"/>
        <v>602.5530083757584</v>
      </c>
      <c r="H6" s="27">
        <v>0.47954060272864207</v>
      </c>
      <c r="I6" s="59">
        <f>(B6/('Consumidores Inadimplentes'!B42*1000000))</f>
        <v>4.2015670214909668E-3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269472</v>
      </c>
      <c r="C7" s="30">
        <v>1442902</v>
      </c>
      <c r="D7" s="30">
        <v>887243873.11000013</v>
      </c>
      <c r="E7" s="34">
        <f t="shared" si="0"/>
        <v>5.3545526065787907</v>
      </c>
      <c r="F7" s="43">
        <f t="shared" si="2"/>
        <v>3292.5271386637578</v>
      </c>
      <c r="G7" s="43">
        <f t="shared" si="3"/>
        <v>614.90237944780745</v>
      </c>
      <c r="H7" s="27">
        <v>0.48746880274680093</v>
      </c>
      <c r="I7" s="59">
        <f>(B7/('Consumidores Inadimplentes'!B43*1000000))</f>
        <v>4.2634329178562009E-3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272325</v>
      </c>
      <c r="C8" s="30">
        <v>1564438</v>
      </c>
      <c r="D8" s="30">
        <v>908163030.8999989</v>
      </c>
      <c r="E8" s="34">
        <f t="shared" si="0"/>
        <v>5.7447461672633802</v>
      </c>
      <c r="F8" s="43">
        <f t="shared" si="2"/>
        <v>3334.8500170751818</v>
      </c>
      <c r="G8" s="43">
        <f t="shared" si="3"/>
        <v>580.50432864709171</v>
      </c>
      <c r="H8" s="27">
        <v>0.48945789640470155</v>
      </c>
      <c r="I8" s="59">
        <f>(B8/('Consumidores Inadimplentes'!B44*1000000))</f>
        <v>4.29706725337473E-3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270990</v>
      </c>
      <c r="C9" s="30">
        <v>1549495</v>
      </c>
      <c r="D9" s="30">
        <v>906170792.74999845</v>
      </c>
      <c r="E9" s="34">
        <f t="shared" si="0"/>
        <v>5.7179047197313553</v>
      </c>
      <c r="F9" s="43">
        <f t="shared" si="2"/>
        <v>3343.927055426394</v>
      </c>
      <c r="G9" s="43">
        <f t="shared" si="3"/>
        <v>584.81685500759829</v>
      </c>
      <c r="H9" s="27">
        <v>0.48801346159723435</v>
      </c>
      <c r="I9" s="59">
        <f>(B9/('Consumidores Inadimplentes'!B45*1000000))</f>
        <v>4.270882878125261E-3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271512</v>
      </c>
      <c r="C10" s="30">
        <v>1543625</v>
      </c>
      <c r="D10" s="30">
        <v>906572057.43999934</v>
      </c>
      <c r="E10" s="34">
        <f t="shared" si="0"/>
        <v>5.6852919944606501</v>
      </c>
      <c r="F10" s="43">
        <f t="shared" si="2"/>
        <v>3338.976021096671</v>
      </c>
      <c r="G10" s="43">
        <f t="shared" si="3"/>
        <v>587.3007093303097</v>
      </c>
      <c r="H10" s="27">
        <v>0.48802386610854626</v>
      </c>
      <c r="I10" s="59">
        <f>(B10/('Consumidores Inadimplentes'!B46*1000000))</f>
        <v>4.2782475711027499E-3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280278</v>
      </c>
      <c r="C11" s="30">
        <v>1539642</v>
      </c>
      <c r="D11" s="30">
        <v>914862457.07999897</v>
      </c>
      <c r="E11" s="34">
        <f t="shared" si="0"/>
        <v>5.4932673987969087</v>
      </c>
      <c r="F11" s="43">
        <f t="shared" si="2"/>
        <v>3264.1251082139838</v>
      </c>
      <c r="G11" s="43">
        <f t="shared" si="3"/>
        <v>594.20466386341695</v>
      </c>
      <c r="H11" s="27">
        <v>0.5023461388182916</v>
      </c>
      <c r="I11" s="59">
        <f>(B11/('Consumidores Inadimplentes'!B47*1000000))</f>
        <v>4.4188413563303703E-3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274824</v>
      </c>
      <c r="C12" s="30">
        <v>1351233</v>
      </c>
      <c r="D12" s="30">
        <v>889235507.55999851</v>
      </c>
      <c r="E12" s="34">
        <f t="shared" si="0"/>
        <v>4.9167212470526591</v>
      </c>
      <c r="F12" s="43">
        <f t="shared" si="2"/>
        <v>3235.6544827234829</v>
      </c>
      <c r="G12" s="43">
        <f t="shared" si="3"/>
        <v>658.09191128398913</v>
      </c>
      <c r="H12" s="27">
        <v>0.49183742863790109</v>
      </c>
      <c r="I12" s="59">
        <f>(B12/('Consumidores Inadimplentes'!B48*1000000))</f>
        <v>4.3480263274367397E-3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279325</v>
      </c>
      <c r="C13" s="30">
        <v>1254619</v>
      </c>
      <c r="D13" s="30">
        <v>897661128.24999893</v>
      </c>
      <c r="E13" s="34">
        <f t="shared" si="0"/>
        <v>4.491610131567171</v>
      </c>
      <c r="F13" s="43">
        <f t="shared" si="2"/>
        <v>3213.6798648527661</v>
      </c>
      <c r="G13" s="43">
        <f t="shared" si="3"/>
        <v>715.48504227179637</v>
      </c>
      <c r="H13" s="27">
        <v>0.4991485034926546</v>
      </c>
      <c r="I13" s="59">
        <f>(B13/('Consumidores Inadimplentes'!B49*1000000))</f>
        <v>4.3746097384537008E-3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268771</v>
      </c>
      <c r="C14" s="30">
        <v>1408000</v>
      </c>
      <c r="D14" s="30">
        <v>922557121.08999944</v>
      </c>
      <c r="E14" s="34">
        <f t="shared" si="0"/>
        <v>5.2386604209531535</v>
      </c>
      <c r="F14" s="43">
        <f t="shared" si="2"/>
        <v>3432.5024689791662</v>
      </c>
      <c r="G14" s="43">
        <f t="shared" si="3"/>
        <v>655.22522804687458</v>
      </c>
      <c r="H14" s="27">
        <v>0.47957397530855383</v>
      </c>
      <c r="I14" s="59">
        <f>(B14/('Consumidores Inadimplentes'!B50*1000000))</f>
        <v>4.2100082191736188E-3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264469</v>
      </c>
      <c r="C15" s="31">
        <v>1706203</v>
      </c>
      <c r="D15" s="31">
        <v>953153641.24000025</v>
      </c>
      <c r="E15" s="35">
        <f t="shared" si="0"/>
        <v>6.4514290899878626</v>
      </c>
      <c r="F15" s="43">
        <f t="shared" si="2"/>
        <v>3604.0278491619065</v>
      </c>
      <c r="G15" s="43">
        <f t="shared" si="3"/>
        <v>558.64023286795316</v>
      </c>
      <c r="H15" s="27">
        <v>0.47119578386236977</v>
      </c>
      <c r="I15" s="62">
        <f>(B15/('Consumidores Inadimplentes'!B51*1000000))</f>
        <v>4.1775406685445639E-3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266731</v>
      </c>
      <c r="C16" s="29">
        <v>1690004</v>
      </c>
      <c r="D16" s="29">
        <v>956482796.4999994</v>
      </c>
      <c r="E16" s="33">
        <f t="shared" si="0"/>
        <v>6.3359864432705608</v>
      </c>
      <c r="F16" s="45">
        <f t="shared" si="2"/>
        <v>3585.9453775526631</v>
      </c>
      <c r="G16" s="45">
        <f t="shared" si="3"/>
        <v>565.96481221346187</v>
      </c>
      <c r="H16" s="26">
        <v>0.47451828737842661</v>
      </c>
      <c r="I16" s="58">
        <f>(B16/('Consumidores Inadimplentes'!B52*1000000))</f>
        <v>4.1818929246268087E-3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272276</v>
      </c>
      <c r="C17" s="30">
        <v>1749234</v>
      </c>
      <c r="D17" s="30">
        <v>945233359.04000068</v>
      </c>
      <c r="E17" s="34">
        <f t="shared" si="0"/>
        <v>6.4244883867839988</v>
      </c>
      <c r="F17" s="43">
        <f t="shared" si="2"/>
        <v>3471.5999905977783</v>
      </c>
      <c r="G17" s="43">
        <f t="shared" si="3"/>
        <v>540.36987563699347</v>
      </c>
      <c r="H17" s="27">
        <v>0.48366187225440405</v>
      </c>
      <c r="I17" s="59">
        <f>(B17/('Consumidores Inadimplentes'!B53*1000000))</f>
        <v>4.2616575333471228E-3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269679</v>
      </c>
      <c r="C18" s="30">
        <v>1726150</v>
      </c>
      <c r="D18" s="30">
        <v>967159888.16000068</v>
      </c>
      <c r="E18" s="34">
        <f t="shared" si="0"/>
        <v>6.4007579381412718</v>
      </c>
      <c r="F18" s="43">
        <f t="shared" si="2"/>
        <v>3586.3374165582068</v>
      </c>
      <c r="G18" s="43">
        <f t="shared" si="3"/>
        <v>560.29886635576315</v>
      </c>
      <c r="H18" s="27">
        <v>0.47833575150855112</v>
      </c>
      <c r="I18" s="59">
        <f>(B18/('Consumidores Inadimplentes'!B54*1000000))</f>
        <v>4.1609010093632192E-3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283489</v>
      </c>
      <c r="C19" s="30">
        <v>1754445</v>
      </c>
      <c r="D19" s="30">
        <v>979761256.25000143</v>
      </c>
      <c r="E19" s="34">
        <f t="shared" si="0"/>
        <v>6.1887586467199789</v>
      </c>
      <c r="F19" s="43">
        <f t="shared" si="2"/>
        <v>3456.0820922504981</v>
      </c>
      <c r="G19" s="43">
        <f t="shared" si="3"/>
        <v>558.44512438406525</v>
      </c>
      <c r="H19" s="27">
        <v>0.50208279462865679</v>
      </c>
      <c r="I19" s="59">
        <f>(B19/('Consumidores Inadimplentes'!B55*1000000))</f>
        <v>4.3012436675195038E-3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287263</v>
      </c>
      <c r="C20" s="30">
        <v>1758248</v>
      </c>
      <c r="D20" s="30">
        <v>976997192.37000096</v>
      </c>
      <c r="E20" s="34">
        <f t="shared" si="0"/>
        <v>6.1206907955427603</v>
      </c>
      <c r="F20" s="43">
        <f t="shared" si="2"/>
        <v>3401.0547559901588</v>
      </c>
      <c r="G20" s="43">
        <f t="shared" si="3"/>
        <v>555.66518054904714</v>
      </c>
      <c r="H20" s="27">
        <v>0.5080092949556827</v>
      </c>
      <c r="I20" s="59">
        <f>(B20/('Consumidores Inadimplentes'!B56*1000000))</f>
        <v>4.4037167496298558E-3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278729</v>
      </c>
      <c r="C21" s="30">
        <v>1720426</v>
      </c>
      <c r="D21" s="30">
        <v>955843898.44000053</v>
      </c>
      <c r="E21" s="34">
        <f t="shared" si="0"/>
        <v>6.1723968442465624</v>
      </c>
      <c r="F21" s="43">
        <f t="shared" si="2"/>
        <v>3429.2947574167042</v>
      </c>
      <c r="G21" s="43">
        <f t="shared" si="3"/>
        <v>555.58559242885224</v>
      </c>
      <c r="H21" s="27">
        <v>0.49145032407309452</v>
      </c>
      <c r="I21" s="59">
        <f>(B21/('Consumidores Inadimplentes'!B57*1000000))</f>
        <v>4.3550936035987482E-3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277312</v>
      </c>
      <c r="C22" s="30">
        <v>1692770</v>
      </c>
      <c r="D22" s="30">
        <v>975499143.04999959</v>
      </c>
      <c r="E22" s="34">
        <f t="shared" si="0"/>
        <v>6.1042075351950151</v>
      </c>
      <c r="F22" s="43">
        <f t="shared" si="2"/>
        <v>3517.6953866042568</v>
      </c>
      <c r="G22" s="43">
        <f t="shared" si="3"/>
        <v>576.27388425480103</v>
      </c>
      <c r="H22" s="27">
        <v>0.48829068678203419</v>
      </c>
      <c r="I22" s="59">
        <f>(B22/('Consumidores Inadimplentes'!B58*1000000))</f>
        <v>4.3669030660490153E-3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270882</v>
      </c>
      <c r="C23" s="30">
        <v>1626864</v>
      </c>
      <c r="D23" s="30">
        <v>971648844.94999826</v>
      </c>
      <c r="E23" s="34">
        <f t="shared" si="0"/>
        <v>6.0058032648902477</v>
      </c>
      <c r="F23" s="43">
        <f t="shared" si="2"/>
        <v>3586.981951366271</v>
      </c>
      <c r="G23" s="43">
        <f t="shared" si="3"/>
        <v>597.25265599951695</v>
      </c>
      <c r="H23" s="27">
        <v>0.47632294344586018</v>
      </c>
      <c r="I23" s="59">
        <f>(B23/('Consumidores Inadimplentes'!B59*1000000))</f>
        <v>4.2962751515528896E-3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273381</v>
      </c>
      <c r="C24" s="30">
        <v>1605086</v>
      </c>
      <c r="D24" s="30">
        <v>970953634.32999921</v>
      </c>
      <c r="E24" s="34">
        <f t="shared" si="0"/>
        <v>5.8712419663400164</v>
      </c>
      <c r="F24" s="43">
        <f t="shared" si="2"/>
        <v>3551.6500207768618</v>
      </c>
      <c r="G24" s="43">
        <f t="shared" si="3"/>
        <v>604.92312208193164</v>
      </c>
      <c r="H24" s="27">
        <v>0.48006637809171765</v>
      </c>
      <c r="I24" s="59">
        <f>(B24/('Consumidores Inadimplentes'!B60*1000000))</f>
        <v>4.3557466679727376E-3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269737</v>
      </c>
      <c r="C25" s="30">
        <v>1567346</v>
      </c>
      <c r="D25" s="30">
        <v>956669082.04999983</v>
      </c>
      <c r="E25" s="34">
        <f t="shared" si="0"/>
        <v>5.810645184012575</v>
      </c>
      <c r="F25" s="43">
        <f t="shared" si="2"/>
        <v>3546.6735451569484</v>
      </c>
      <c r="G25" s="43">
        <f t="shared" si="3"/>
        <v>610.37517054307079</v>
      </c>
      <c r="H25" s="27">
        <v>0.47302612773285496</v>
      </c>
      <c r="I25" s="59">
        <f>(B25/('Consumidores Inadimplentes'!B61*1000000))</f>
        <v>4.3310521330307715E-3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267775</v>
      </c>
      <c r="C26" s="30">
        <v>1542555</v>
      </c>
      <c r="D26" s="30">
        <v>943056437.419999</v>
      </c>
      <c r="E26" s="34">
        <f t="shared" si="0"/>
        <v>5.7606385958360562</v>
      </c>
      <c r="F26" s="43">
        <f t="shared" si="2"/>
        <v>3521.8240590794471</v>
      </c>
      <c r="G26" s="43">
        <f t="shared" si="3"/>
        <v>611.36000818123114</v>
      </c>
      <c r="H26" s="27">
        <v>0.46894975569604735</v>
      </c>
      <c r="I26" s="59">
        <f>(B26/('Consumidores Inadimplentes'!B62*1000000))</f>
        <v>4.3225283656894353E-3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262837</v>
      </c>
      <c r="C27" s="31">
        <v>1504839</v>
      </c>
      <c r="D27" s="31">
        <v>931206714.53999865</v>
      </c>
      <c r="E27" s="35">
        <f t="shared" si="0"/>
        <v>5.7253697158314854</v>
      </c>
      <c r="F27" s="46">
        <f t="shared" si="2"/>
        <v>3542.9057345046499</v>
      </c>
      <c r="G27" s="46">
        <f t="shared" si="3"/>
        <v>618.80820110323998</v>
      </c>
      <c r="H27" s="28">
        <v>0.45967882976788438</v>
      </c>
      <c r="I27" s="62">
        <f>(B27/('Consumidores Inadimplentes'!B63*1000000))</f>
        <v>4.2834339040792218E-3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266421</v>
      </c>
      <c r="C28" s="29">
        <v>1489961</v>
      </c>
      <c r="D28" s="29">
        <v>937860202.50999939</v>
      </c>
      <c r="E28" s="33">
        <f t="shared" si="0"/>
        <v>5.5925058460106376</v>
      </c>
      <c r="F28" s="45">
        <f t="shared" si="2"/>
        <v>3520.2187609460193</v>
      </c>
      <c r="G28" s="45">
        <f t="shared" si="3"/>
        <v>629.45285313508168</v>
      </c>
      <c r="H28" s="26">
        <v>0.46531623815187606</v>
      </c>
      <c r="I28" s="58">
        <f>(B28/('Consumidores Inadimplentes'!B64*1000000))</f>
        <v>4.3201526255774161E-3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270048</v>
      </c>
      <c r="C29" s="30">
        <v>1483289</v>
      </c>
      <c r="D29" s="30">
        <v>948588506.10999858</v>
      </c>
      <c r="E29" s="34">
        <f t="shared" si="0"/>
        <v>5.4926864853655646</v>
      </c>
      <c r="F29" s="43">
        <f t="shared" si="2"/>
        <v>3512.666289363367</v>
      </c>
      <c r="G29" s="43">
        <f t="shared" si="3"/>
        <v>639.51698294128698</v>
      </c>
      <c r="H29" s="27">
        <v>0.47101258426574344</v>
      </c>
      <c r="I29" s="59">
        <f>(B29/('Consumidores Inadimplentes'!B65*1000000))</f>
        <v>4.3870994699197648E-3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276109</v>
      </c>
      <c r="C30" s="30">
        <v>1475181</v>
      </c>
      <c r="D30" s="30">
        <v>966261717.19999993</v>
      </c>
      <c r="E30" s="34">
        <f t="shared" si="0"/>
        <v>5.3427486970725333</v>
      </c>
      <c r="F30" s="43">
        <f t="shared" si="2"/>
        <v>3499.5661756769969</v>
      </c>
      <c r="G30" s="43">
        <f t="shared" si="3"/>
        <v>655.01231184512267</v>
      </c>
      <c r="H30" s="27">
        <v>0.48093229195697007</v>
      </c>
      <c r="I30" s="59">
        <f>(B30/('Consumidores Inadimplentes'!B66*1000000))</f>
        <v>4.4136951938152482E-3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274719</v>
      </c>
      <c r="C31" s="30">
        <v>1457161</v>
      </c>
      <c r="D31" s="30">
        <v>971649298.75000095</v>
      </c>
      <c r="E31" s="34">
        <f t="shared" si="0"/>
        <v>5.3041871876353657</v>
      </c>
      <c r="F31" s="43">
        <f t="shared" si="2"/>
        <v>3536.884229885814</v>
      </c>
      <c r="G31" s="43">
        <f t="shared" si="3"/>
        <v>666.80984376469098</v>
      </c>
      <c r="H31" s="27">
        <v>0.47786359129572614</v>
      </c>
      <c r="I31" s="59">
        <f>(B31/('Consumidores Inadimplentes'!B67*1000000))</f>
        <v>4.3618949365061893E-3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274859</v>
      </c>
      <c r="C32" s="30">
        <v>1450749</v>
      </c>
      <c r="D32" s="30">
        <v>979756760.10000122</v>
      </c>
      <c r="E32" s="34">
        <f t="shared" si="0"/>
        <v>5.2781571642187446</v>
      </c>
      <c r="F32" s="43">
        <f t="shared" si="2"/>
        <v>3564.5795120407233</v>
      </c>
      <c r="G32" s="43">
        <f t="shared" si="3"/>
        <v>675.34546644526461</v>
      </c>
      <c r="H32" s="27">
        <v>0.47746013768328677</v>
      </c>
      <c r="I32" s="59">
        <f>(B32/('Consumidores Inadimplentes'!B68*1000000))</f>
        <v>4.3936101400913908E-3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271398</v>
      </c>
      <c r="C33" s="30">
        <v>1420307</v>
      </c>
      <c r="D33" s="30">
        <v>964066381.14000142</v>
      </c>
      <c r="E33" s="34">
        <f t="shared" si="0"/>
        <v>5.2332994347784432</v>
      </c>
      <c r="F33" s="43">
        <f t="shared" si="2"/>
        <v>3552.2236020162322</v>
      </c>
      <c r="G33" s="43">
        <f t="shared" si="3"/>
        <v>678.77323785632359</v>
      </c>
      <c r="H33" s="27">
        <v>0.47081008033668198</v>
      </c>
      <c r="I33" s="59">
        <f>(B33/('Consumidores Inadimplentes'!B69*1000000))</f>
        <v>4.3417127834404256E-3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270083</v>
      </c>
      <c r="C34" s="30">
        <v>1392204</v>
      </c>
      <c r="D34" s="30">
        <v>955758840.97000027</v>
      </c>
      <c r="E34" s="34">
        <f>C34/B34</f>
        <v>5.1547265099987785</v>
      </c>
      <c r="F34" s="43">
        <f t="shared" si="2"/>
        <v>3538.7597181977403</v>
      </c>
      <c r="G34" s="43">
        <f t="shared" si="3"/>
        <v>686.50775387084093</v>
      </c>
      <c r="H34" s="27">
        <v>0.46853049803364405</v>
      </c>
      <c r="I34" s="59">
        <f>(B34/('Consumidores Inadimplentes'!B70*1000000))</f>
        <v>4.3405136258118327E-3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268486</v>
      </c>
      <c r="C35" s="30">
        <v>1363821</v>
      </c>
      <c r="D35" s="30">
        <v>962710212.59000027</v>
      </c>
      <c r="E35" s="34">
        <f>C35/B35</f>
        <v>5.0796726831194174</v>
      </c>
      <c r="F35" s="43">
        <f t="shared" si="2"/>
        <v>3585.6998599182089</v>
      </c>
      <c r="G35" s="43">
        <f t="shared" si="3"/>
        <v>705.89191146785413</v>
      </c>
      <c r="H35" s="27">
        <v>0.46514601322226995</v>
      </c>
      <c r="I35" s="59">
        <f>(B35/('Consumidores Inadimplentes'!B71*1000000))</f>
        <v>4.313114374737294E-3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272580</v>
      </c>
      <c r="C36" s="30">
        <v>1350397</v>
      </c>
      <c r="D36" s="30">
        <v>961095674.33999944</v>
      </c>
      <c r="E36" s="34">
        <f>C36/B36</f>
        <v>4.9541308973512361</v>
      </c>
      <c r="F36" s="43">
        <f t="shared" si="2"/>
        <v>3525.921470173892</v>
      </c>
      <c r="G36" s="43">
        <f t="shared" si="3"/>
        <v>711.71342526679155</v>
      </c>
      <c r="H36" s="27">
        <v>0.47161617384985383</v>
      </c>
      <c r="I36" s="59">
        <f>(B36/('Consumidores Inadimplentes'!B72*1000000))</f>
        <v>4.3815916568116483E-3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272892</v>
      </c>
      <c r="C37" s="30">
        <v>1346795</v>
      </c>
      <c r="D37" s="30">
        <v>978195196.28999949</v>
      </c>
      <c r="E37" s="34">
        <f>C37/B37</f>
        <v>4.9352674318045233</v>
      </c>
      <c r="F37" s="43">
        <f t="shared" si="2"/>
        <v>3584.5506511367116</v>
      </c>
      <c r="G37" s="43">
        <f t="shared" si="3"/>
        <v>726.31335599701481</v>
      </c>
      <c r="H37" s="27">
        <v>0.47153350508783842</v>
      </c>
      <c r="I37" s="59">
        <f>(B37/('Consumidores Inadimplentes'!B73*1000000))</f>
        <v>4.3039478736730764E-3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276330</v>
      </c>
      <c r="C38" s="30">
        <v>1348428</v>
      </c>
      <c r="D38" s="30">
        <v>995189502.84999943</v>
      </c>
      <c r="E38" s="34">
        <f t="shared" ref="E38:E47" si="4">C38/B38</f>
        <v>4.8797741830420147</v>
      </c>
      <c r="F38" s="43">
        <f t="shared" si="2"/>
        <v>3601.4529832084804</v>
      </c>
      <c r="G38" s="43">
        <f t="shared" si="3"/>
        <v>738.03681238449474</v>
      </c>
      <c r="H38" s="27">
        <v>0.47684457382868245</v>
      </c>
      <c r="I38" s="59">
        <f>(B38/('Consumidores Inadimplentes'!B74*1000000))</f>
        <v>4.299539736239504E-3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267289</v>
      </c>
      <c r="C39" s="31">
        <v>1388261</v>
      </c>
      <c r="D39" s="31">
        <v>976039885.70999908</v>
      </c>
      <c r="E39" s="35">
        <f t="shared" si="4"/>
        <v>5.1938575848613295</v>
      </c>
      <c r="F39" s="46">
        <f t="shared" si="2"/>
        <v>3651.6275855347549</v>
      </c>
      <c r="G39" s="46">
        <f t="shared" si="3"/>
        <v>703.06656004166302</v>
      </c>
      <c r="H39" s="28">
        <v>0.46063502348938928</v>
      </c>
      <c r="I39" s="62">
        <f>(B39/('Consumidores Inadimplentes'!B75*1000000))</f>
        <v>4.1782934459496197E-3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274713</v>
      </c>
      <c r="C40" s="29">
        <v>1403435</v>
      </c>
      <c r="D40" s="29">
        <v>1016899246.1499991</v>
      </c>
      <c r="E40" s="33">
        <f t="shared" si="4"/>
        <v>5.1087316581304849</v>
      </c>
      <c r="F40" s="45">
        <f t="shared" si="2"/>
        <v>3701.6786469879444</v>
      </c>
      <c r="G40" s="45">
        <f t="shared" si="3"/>
        <v>724.57879855497345</v>
      </c>
      <c r="H40" s="26">
        <v>0.47280509717259755</v>
      </c>
      <c r="I40" s="58">
        <f>(B40/('Consumidores Inadimplentes'!B76*1000000))</f>
        <v>4.2382573505446268E-3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271582</v>
      </c>
      <c r="C41" s="30">
        <v>1401165</v>
      </c>
      <c r="D41" s="30">
        <v>1016697823.3199996</v>
      </c>
      <c r="E41" s="34">
        <f t="shared" si="4"/>
        <v>5.1592704965719376</v>
      </c>
      <c r="F41" s="43">
        <f t="shared" si="2"/>
        <v>3743.612696423178</v>
      </c>
      <c r="G41" s="43">
        <f t="shared" si="3"/>
        <v>725.60892066244844</v>
      </c>
      <c r="H41" s="27">
        <v>0.4668001615689375</v>
      </c>
      <c r="I41" s="59">
        <f>(B41/('Consumidores Inadimplentes'!B77*1000000))</f>
        <v>4.167340170454282E-3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269661</v>
      </c>
      <c r="C42" s="30">
        <v>1370631</v>
      </c>
      <c r="D42" s="30">
        <v>1024711884.9699976</v>
      </c>
      <c r="E42" s="34">
        <f t="shared" si="4"/>
        <v>5.0827928398989846</v>
      </c>
      <c r="F42" s="43">
        <f t="shared" si="2"/>
        <v>3800.0003150993198</v>
      </c>
      <c r="G42" s="43">
        <f t="shared" si="3"/>
        <v>747.62053752614497</v>
      </c>
      <c r="H42" s="27">
        <v>0.46288727571095317</v>
      </c>
      <c r="I42" s="59">
        <f>(B42/('Consumidores Inadimplentes'!B78*1000000))</f>
        <v>4.1048052164047531E-3</v>
      </c>
    </row>
    <row r="43" spans="1:16" x14ac:dyDescent="0.35">
      <c r="A43" s="5">
        <v>44652</v>
      </c>
      <c r="B43" s="30">
        <v>273160</v>
      </c>
      <c r="C43" s="30">
        <v>1364516</v>
      </c>
      <c r="D43" s="30">
        <v>1034540378.9999976</v>
      </c>
      <c r="E43" s="34">
        <f t="shared" si="4"/>
        <v>4.9952994581930001</v>
      </c>
      <c r="F43" s="43">
        <f t="shared" si="2"/>
        <v>3787.305531556588</v>
      </c>
      <c r="G43" s="43">
        <f t="shared" si="3"/>
        <v>758.17387190769296</v>
      </c>
      <c r="H43" s="27">
        <v>0.46827535605795673</v>
      </c>
      <c r="I43" s="59">
        <f>(B43/('Consumidores Inadimplentes'!B79*1000000))</f>
        <v>4.1304849781507377E-3</v>
      </c>
    </row>
    <row r="44" spans="1:16" x14ac:dyDescent="0.35">
      <c r="A44" s="5">
        <v>44682</v>
      </c>
      <c r="B44" s="30">
        <v>268368</v>
      </c>
      <c r="C44" s="30">
        <v>1382594</v>
      </c>
      <c r="D44" s="30">
        <v>1053231071.58</v>
      </c>
      <c r="E44" s="34">
        <f t="shared" si="4"/>
        <v>5.1518586418649015</v>
      </c>
      <c r="F44" s="43">
        <f t="shared" si="2"/>
        <v>3924.5777126184944</v>
      </c>
      <c r="G44" s="43">
        <f t="shared" si="3"/>
        <v>761.77899772456715</v>
      </c>
      <c r="H44" s="27">
        <v>0.45945399947269483</v>
      </c>
      <c r="I44" s="59">
        <f>(B44/('Consumidores Inadimplentes'!B80*1000000))</f>
        <v>4.0307710063130541E-3</v>
      </c>
    </row>
    <row r="45" spans="1:16" x14ac:dyDescent="0.35">
      <c r="A45" s="5">
        <v>44713</v>
      </c>
      <c r="B45" s="30">
        <v>270663</v>
      </c>
      <c r="C45" s="30">
        <v>1391139</v>
      </c>
      <c r="D45" s="30">
        <v>1062125657.05</v>
      </c>
      <c r="E45" s="34">
        <f t="shared" si="4"/>
        <v>5.1397457354717861</v>
      </c>
      <c r="F45" s="43">
        <f t="shared" si="2"/>
        <v>3924.1627302217148</v>
      </c>
      <c r="G45" s="43">
        <f t="shared" si="3"/>
        <v>763.4935524415605</v>
      </c>
      <c r="H45" s="27">
        <v>0.46277225996070942</v>
      </c>
      <c r="I45" s="59">
        <f>(B45/('Consumidores Inadimplentes'!B81*1000000))</f>
        <v>4.0507119085434638E-3</v>
      </c>
    </row>
    <row r="46" spans="1:16" x14ac:dyDescent="0.35">
      <c r="A46" s="5">
        <v>44743</v>
      </c>
      <c r="B46" s="30">
        <v>273086</v>
      </c>
      <c r="C46" s="30">
        <v>1405332</v>
      </c>
      <c r="D46" s="30">
        <v>1091015149.0999999</v>
      </c>
      <c r="E46" s="34">
        <f t="shared" si="4"/>
        <v>5.1461151432149581</v>
      </c>
      <c r="F46" s="43">
        <f t="shared" si="2"/>
        <v>3995.1339471814736</v>
      </c>
      <c r="G46" s="43">
        <f t="shared" si="3"/>
        <v>776.33978953016072</v>
      </c>
      <c r="H46" s="27">
        <v>0.46629955006872764</v>
      </c>
      <c r="I46" s="59">
        <f>(B46/('Consumidores Inadimplentes'!B82*1000000))</f>
        <v>4.0378050785771866E-3</v>
      </c>
    </row>
    <row r="47" spans="1:16" x14ac:dyDescent="0.35">
      <c r="A47" s="5">
        <v>44774</v>
      </c>
      <c r="B47" s="30">
        <v>267755</v>
      </c>
      <c r="C47" s="30">
        <v>1364009</v>
      </c>
      <c r="D47" s="30">
        <v>1084181143.46</v>
      </c>
      <c r="E47" s="34">
        <f t="shared" si="4"/>
        <v>5.0942428712815824</v>
      </c>
      <c r="F47" s="43">
        <f t="shared" si="2"/>
        <v>4049.1536795204574</v>
      </c>
      <c r="G47" s="43">
        <f t="shared" si="3"/>
        <v>794.84896614318529</v>
      </c>
      <c r="H47" s="27">
        <v>0.45658398004198275</v>
      </c>
      <c r="I47" s="59">
        <f>(B47/('Consumidores Inadimplentes'!B83*1000000))</f>
        <v>3.9389497868821547E-3</v>
      </c>
    </row>
    <row r="48" spans="1:16" x14ac:dyDescent="0.35">
      <c r="A48" s="5">
        <v>44805</v>
      </c>
      <c r="B48" s="30">
        <v>273285</v>
      </c>
      <c r="C48" s="30">
        <v>1353595</v>
      </c>
      <c r="D48" s="30">
        <v>1099306494.3199999</v>
      </c>
      <c r="E48" s="34">
        <f t="shared" ref="E48:E49" si="5">C48/B48</f>
        <v>4.9530526739484424</v>
      </c>
      <c r="F48" s="43">
        <f t="shared" ref="F48:F49" si="6">D48/B48</f>
        <v>4022.5643351080371</v>
      </c>
      <c r="G48" s="43">
        <f t="shared" ref="G48:G49" si="7">F48/E48</f>
        <v>812.13841239070757</v>
      </c>
      <c r="H48" s="27">
        <v>0.46538855180094651</v>
      </c>
      <c r="I48" s="59">
        <f>(B48/('Consumidores Inadimplentes'!B84*1000000))</f>
        <v>3.9960929430813271E-3</v>
      </c>
    </row>
    <row r="49" spans="1:16" x14ac:dyDescent="0.35">
      <c r="A49" s="5">
        <v>44835</v>
      </c>
      <c r="B49" s="30">
        <v>271770</v>
      </c>
      <c r="C49" s="30">
        <v>1383480</v>
      </c>
      <c r="D49" s="30">
        <v>1099589919.3199999</v>
      </c>
      <c r="E49" s="34">
        <f t="shared" si="5"/>
        <v>5.0906281046473119</v>
      </c>
      <c r="F49" s="43">
        <f t="shared" si="6"/>
        <v>4046.0312739448796</v>
      </c>
      <c r="G49" s="43">
        <f t="shared" si="7"/>
        <v>794.80001107352473</v>
      </c>
      <c r="H49" s="27">
        <v>0.46218758928449954</v>
      </c>
      <c r="I49" s="59">
        <f>(B49/('Consumidores Inadimplentes'!B85*1000000))</f>
        <v>3.9354651486084467E-3</v>
      </c>
    </row>
    <row r="50" spans="1:16" x14ac:dyDescent="0.35">
      <c r="A50" s="5">
        <v>44866</v>
      </c>
      <c r="B50" s="30">
        <v>271934</v>
      </c>
      <c r="C50" s="30">
        <v>1379283</v>
      </c>
      <c r="D50" s="30">
        <v>1129019000.9999988</v>
      </c>
      <c r="E50" s="34">
        <f t="shared" ref="E50" si="8">C50/B50</f>
        <v>5.0721241183522476</v>
      </c>
      <c r="F50" s="43">
        <f t="shared" ref="F50" si="9">D50/B50</f>
        <v>4151.8125758456054</v>
      </c>
      <c r="G50" s="43">
        <f t="shared" ref="G50" si="10">F50/E50</f>
        <v>818.55500357794506</v>
      </c>
      <c r="H50" s="27">
        <v>0.46184599811820015</v>
      </c>
      <c r="I50" s="59">
        <f>(B50/('Consumidores Inadimplentes'!B86*1000000))</f>
        <v>3.8939639091718106E-3</v>
      </c>
    </row>
    <row r="51" spans="1:16" ht="15" thickBot="1" x14ac:dyDescent="0.4">
      <c r="A51" s="12">
        <v>44896</v>
      </c>
      <c r="B51" s="31">
        <v>270458</v>
      </c>
      <c r="C51" s="31">
        <v>1361999</v>
      </c>
      <c r="D51" s="31">
        <v>1129242636.1000004</v>
      </c>
      <c r="E51" s="35">
        <f t="shared" ref="E51:E52" si="11">C51/B51</f>
        <v>5.0358983649956741</v>
      </c>
      <c r="F51" s="46">
        <f t="shared" ref="F51:F52" si="12">D51/B51</f>
        <v>4175.2975918626935</v>
      </c>
      <c r="G51" s="46">
        <f t="shared" ref="G51:G52" si="13">F51/E51</f>
        <v>829.10680264816665</v>
      </c>
      <c r="H51" s="28">
        <v>0.45872294089611576</v>
      </c>
      <c r="I51" s="62">
        <f>(B51/('Consumidores Inadimplentes'!B87*1000000))</f>
        <v>3.8954438208782007E-3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275535</v>
      </c>
      <c r="C52" s="29">
        <v>1362068</v>
      </c>
      <c r="D52" s="29">
        <v>1172707232.0399997</v>
      </c>
      <c r="E52" s="33">
        <f t="shared" si="11"/>
        <v>4.9433574681982329</v>
      </c>
      <c r="F52" s="45">
        <f t="shared" si="12"/>
        <v>4256.1098664053561</v>
      </c>
      <c r="G52" s="45">
        <f t="shared" si="13"/>
        <v>860.97554016392701</v>
      </c>
      <c r="H52" s="26">
        <v>0.46670709253854714</v>
      </c>
      <c r="I52" s="58">
        <f>(B52/('Consumidores Inadimplentes'!B88*1000000))</f>
        <v>3.9309929723772468E-3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278962</v>
      </c>
      <c r="C53" s="30">
        <v>1356294</v>
      </c>
      <c r="D53" s="30">
        <v>1174795192.190001</v>
      </c>
      <c r="E53" s="34">
        <f t="shared" ref="E53" si="14">C53/B53</f>
        <v>4.8619310156938935</v>
      </c>
      <c r="F53" s="43">
        <f t="shared" ref="F53" si="15">D53/B53</f>
        <v>4211.3090391881369</v>
      </c>
      <c r="G53" s="43">
        <f t="shared" ref="G53" si="16">F53/E53</f>
        <v>866.1803356720601</v>
      </c>
      <c r="H53" s="27">
        <v>0.47187799192792645</v>
      </c>
      <c r="I53" s="59">
        <f>(B53/('Consumidores Inadimplentes'!B89*1000000))</f>
        <v>3.9553961107403153E-3</v>
      </c>
    </row>
    <row r="54" spans="1:16" x14ac:dyDescent="0.35">
      <c r="A54" s="5">
        <v>44986</v>
      </c>
      <c r="B54" s="30">
        <v>277697</v>
      </c>
      <c r="C54" s="30">
        <v>1332398</v>
      </c>
      <c r="D54" s="30">
        <v>1181134529.0100017</v>
      </c>
      <c r="E54" s="34">
        <f t="shared" ref="E54" si="17">C54/B54</f>
        <v>4.7980280665617565</v>
      </c>
      <c r="F54" s="43">
        <f t="shared" ref="F54" si="18">D54/B54</f>
        <v>4253.3211702323097</v>
      </c>
      <c r="G54" s="43">
        <f t="shared" ref="G54" si="19">F54/E54</f>
        <v>886.47275739681504</v>
      </c>
      <c r="H54" s="27">
        <v>0.46910812746634956</v>
      </c>
      <c r="I54" s="59">
        <f>(B54/('Consumidores Inadimplentes'!B90*1000000))</f>
        <v>3.9274108761209242E-3</v>
      </c>
    </row>
    <row r="55" spans="1:16" x14ac:dyDescent="0.35">
      <c r="A55" s="5">
        <v>45017</v>
      </c>
      <c r="B55" s="30">
        <v>280785</v>
      </c>
      <c r="C55" s="30">
        <v>1333793</v>
      </c>
      <c r="D55" s="30">
        <v>1226173717.2100019</v>
      </c>
      <c r="E55" s="34">
        <f t="shared" ref="E55" si="20">C55/B55</f>
        <v>4.7502288227647487</v>
      </c>
      <c r="F55" s="43">
        <f t="shared" ref="F55" si="21">D55/B55</f>
        <v>4366.9487943088197</v>
      </c>
      <c r="G55" s="43">
        <f t="shared" ref="G55" si="22">F55/E55</f>
        <v>919.31335462849336</v>
      </c>
      <c r="H55" s="27">
        <v>0.4736884724586386</v>
      </c>
      <c r="I55" s="59">
        <f>(B55/('Consumidores Inadimplentes'!B91*1000000))</f>
        <v>3.9303844692471302E-3</v>
      </c>
    </row>
    <row r="56" spans="1:16" x14ac:dyDescent="0.35">
      <c r="A56" s="5">
        <v>45047</v>
      </c>
      <c r="B56" s="30">
        <v>279751</v>
      </c>
      <c r="C56" s="30">
        <v>1314344</v>
      </c>
      <c r="D56" s="30">
        <v>1228412638.5399988</v>
      </c>
      <c r="E56" s="34">
        <f t="shared" ref="E56" si="23">C56/B56</f>
        <v>4.6982638131767178</v>
      </c>
      <c r="F56" s="43">
        <f t="shared" ref="F56" si="24">D56/B56</f>
        <v>4391.0929309993489</v>
      </c>
      <c r="G56" s="43">
        <f t="shared" ref="G56" si="25">F56/E56</f>
        <v>934.62034181310139</v>
      </c>
      <c r="H56" s="27">
        <v>0.47131119231618085</v>
      </c>
      <c r="I56" s="59">
        <f>(B56/('Consumidores Inadimplentes'!B92*1000000))</f>
        <v>3.8906410966442363E-3</v>
      </c>
    </row>
    <row r="57" spans="1:16" x14ac:dyDescent="0.35">
      <c r="A57" s="5">
        <v>45078</v>
      </c>
      <c r="B57" s="30">
        <v>278000</v>
      </c>
      <c r="C57" s="30">
        <v>1291257</v>
      </c>
      <c r="D57" s="30">
        <v>1220023114.5900054</v>
      </c>
      <c r="E57" s="34">
        <f t="shared" ref="E57:E58" si="26">C57/B57</f>
        <v>4.6448093525179859</v>
      </c>
      <c r="F57" s="43">
        <f t="shared" ref="F57:F58" si="27">D57/B57</f>
        <v>4388.5723546403069</v>
      </c>
      <c r="G57" s="43">
        <f t="shared" ref="G57:G58" si="28">F57/E57</f>
        <v>944.83368887061624</v>
      </c>
      <c r="H57" s="27">
        <v>0.46773314309942188</v>
      </c>
      <c r="I57" s="59">
        <f>(B57/('Consumidores Inadimplentes'!B93*1000000))</f>
        <v>3.8906403145854201E-3</v>
      </c>
    </row>
    <row r="58" spans="1:16" x14ac:dyDescent="0.35">
      <c r="A58" s="5">
        <v>45108</v>
      </c>
      <c r="B58" s="30">
        <v>272343</v>
      </c>
      <c r="C58" s="30">
        <v>1261463</v>
      </c>
      <c r="D58" s="30">
        <v>1244514714.9700017</v>
      </c>
      <c r="E58" s="34">
        <f t="shared" si="26"/>
        <v>4.6318906672835363</v>
      </c>
      <c r="F58" s="43">
        <f t="shared" si="27"/>
        <v>4569.6592714701746</v>
      </c>
      <c r="G58" s="43">
        <f t="shared" si="28"/>
        <v>986.564580150192</v>
      </c>
      <c r="H58" s="27">
        <v>0.45760165873313247</v>
      </c>
      <c r="I58" s="59">
        <f>(B58/('Consumidores Inadimplentes'!B94*1000000))</f>
        <v>3.8133109015930614E-3</v>
      </c>
    </row>
    <row r="59" spans="1:16" x14ac:dyDescent="0.35">
      <c r="A59" s="5">
        <v>45139</v>
      </c>
      <c r="B59" s="30">
        <v>275707</v>
      </c>
      <c r="C59" s="30">
        <v>1255568</v>
      </c>
      <c r="D59" s="30">
        <v>1249926964.150003</v>
      </c>
      <c r="E59" s="34">
        <f t="shared" ref="E59:E60" si="29">C59/B59</f>
        <v>4.553993913828811</v>
      </c>
      <c r="F59" s="43">
        <f t="shared" ref="F59:F60" si="30">D59/B59</f>
        <v>4533.5336576510681</v>
      </c>
      <c r="G59" s="43">
        <f t="shared" ref="G59:G60" si="31">F59/E59</f>
        <v>995.50718411906246</v>
      </c>
      <c r="H59" s="27">
        <v>0.46264919932005549</v>
      </c>
      <c r="I59" s="59">
        <f>(B59/('Consumidores Inadimplentes'!B95*1000000))</f>
        <v>3.8431918295899802E-3</v>
      </c>
    </row>
    <row r="60" spans="1:16" x14ac:dyDescent="0.35">
      <c r="A60" s="5">
        <v>45170</v>
      </c>
      <c r="B60" s="30">
        <v>279060</v>
      </c>
      <c r="C60" s="30">
        <v>1309331</v>
      </c>
      <c r="D60" s="30">
        <v>1275051583.5799999</v>
      </c>
      <c r="E60" s="34">
        <f t="shared" si="29"/>
        <v>4.6919336343438687</v>
      </c>
      <c r="F60" s="43">
        <f t="shared" si="30"/>
        <v>4569.0947594782483</v>
      </c>
      <c r="G60" s="43">
        <f t="shared" si="31"/>
        <v>973.81913632228975</v>
      </c>
      <c r="H60" s="27">
        <v>0.4676643595716512</v>
      </c>
      <c r="I60" s="59">
        <f>(B60/('Consumidores Inadimplentes'!B96*1000000))</f>
        <v>3.8854309413660121E-3</v>
      </c>
    </row>
    <row r="61" spans="1:16" x14ac:dyDescent="0.35">
      <c r="A61" s="5">
        <v>45200</v>
      </c>
      <c r="B61" s="30">
        <v>279994</v>
      </c>
      <c r="C61" s="30">
        <v>1286340</v>
      </c>
      <c r="D61" s="30">
        <v>1325809106.1499991</v>
      </c>
      <c r="E61" s="34">
        <f t="shared" ref="E61" si="32">C61/B61</f>
        <v>4.5941698750687516</v>
      </c>
      <c r="F61" s="43">
        <f t="shared" ref="F61" si="33">D61/B61</f>
        <v>4735.1339891211928</v>
      </c>
      <c r="G61" s="43">
        <f t="shared" ref="G61" si="34">F61/E61</f>
        <v>1030.6832611517943</v>
      </c>
      <c r="H61" s="27">
        <v>0.46861704798406667</v>
      </c>
      <c r="I61" s="59">
        <f>(B61/('Consumidores Inadimplentes'!B97*1000000))</f>
        <v>3.8913720234987205E-3</v>
      </c>
    </row>
    <row r="62" spans="1:16" x14ac:dyDescent="0.35">
      <c r="A62" s="5">
        <v>45231</v>
      </c>
      <c r="B62" s="30">
        <v>278825</v>
      </c>
      <c r="C62" s="30">
        <v>1254178</v>
      </c>
      <c r="D62" s="30">
        <v>1313382463.3899984</v>
      </c>
      <c r="E62" s="34">
        <f t="shared" ref="E62" si="35">C62/B62</f>
        <v>4.4980830269882546</v>
      </c>
      <c r="F62" s="43">
        <f t="shared" ref="F62" si="36">D62/B62</f>
        <v>4710.418590119245</v>
      </c>
      <c r="G62" s="43">
        <f t="shared" ref="G62" si="37">F62/E62</f>
        <v>1047.2057900792379</v>
      </c>
      <c r="H62" s="27">
        <v>0.46605055894308944</v>
      </c>
      <c r="I62" s="59">
        <f>(B62/('Consumidores Inadimplentes'!B98*1000000))</f>
        <v>3.8828741610373754E-3</v>
      </c>
    </row>
    <row r="63" spans="1:16" ht="15" thickBot="1" x14ac:dyDescent="0.4">
      <c r="A63" s="12">
        <v>45261</v>
      </c>
      <c r="B63" s="31">
        <v>274672</v>
      </c>
      <c r="C63" s="31">
        <v>1228343</v>
      </c>
      <c r="D63" s="31">
        <v>1258903520</v>
      </c>
      <c r="E63" s="35">
        <f t="shared" ref="E63" si="38">C63/B63</f>
        <v>4.4720357371701525</v>
      </c>
      <c r="F63" s="46">
        <f t="shared" ref="F63" si="39">D63/B63</f>
        <v>4583.2976058717304</v>
      </c>
      <c r="G63" s="46">
        <f t="shared" ref="G63" si="40">F63/E63</f>
        <v>1024.8794677056815</v>
      </c>
      <c r="H63" s="28">
        <v>0.45850881805510346</v>
      </c>
      <c r="I63" s="62">
        <f>(B63/('Consumidores Inadimplentes'!B99*1000000))</f>
        <v>3.8630461045084542E-3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278204</v>
      </c>
      <c r="C64" s="29">
        <v>1223390</v>
      </c>
      <c r="D64" s="29">
        <v>1301051478.5200002</v>
      </c>
      <c r="E64" s="33">
        <f t="shared" ref="E64" si="41">C64/B64</f>
        <v>4.39745654268091</v>
      </c>
      <c r="F64" s="45">
        <f t="shared" ref="F64" si="42">D64/B64</f>
        <v>4676.6095330045582</v>
      </c>
      <c r="G64" s="45">
        <f t="shared" ref="G64" si="43">F64/E64</f>
        <v>1063.4805569115329</v>
      </c>
      <c r="H64" s="26">
        <v>0.46379778573917335</v>
      </c>
      <c r="I64" s="58">
        <f>(B64/('Consumidores Inadimplentes'!B100*1000000))</f>
        <v>3.8602013358824171E-3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276408</v>
      </c>
      <c r="C65" s="30">
        <v>1203053</v>
      </c>
      <c r="D65" s="30">
        <v>1288990699.7600007</v>
      </c>
      <c r="E65" s="34">
        <f t="shared" ref="E65" si="44">C65/B65</f>
        <v>4.3524536192874299</v>
      </c>
      <c r="F65" s="43">
        <f t="shared" ref="F65" si="45">D65/B65</f>
        <v>4663.3624922578247</v>
      </c>
      <c r="G65" s="43">
        <f t="shared" ref="G65" si="46">F65/E65</f>
        <v>1071.433012311179</v>
      </c>
      <c r="H65" s="27">
        <v>0.46020139055382403</v>
      </c>
      <c r="I65" s="59">
        <f>(B65/('Consumidores Inadimplentes'!B101*1000000))</f>
        <v>3.8369076596466568E-3</v>
      </c>
    </row>
    <row r="66" spans="1:16" x14ac:dyDescent="0.35">
      <c r="A66" s="5">
        <v>45352</v>
      </c>
      <c r="B66" s="30">
        <v>277321</v>
      </c>
      <c r="C66" s="30">
        <v>1199289</v>
      </c>
      <c r="D66" s="30">
        <v>1311809992.009999</v>
      </c>
      <c r="E66" s="34">
        <f t="shared" ref="E66" si="47">C66/B66</f>
        <v>4.324551692803646</v>
      </c>
      <c r="F66" s="43">
        <f t="shared" ref="F66" si="48">D66/B66</f>
        <v>4730.294467458285</v>
      </c>
      <c r="G66" s="43">
        <f t="shared" ref="G66" si="49">F66/E66</f>
        <v>1093.8230835186507</v>
      </c>
      <c r="H66" s="27">
        <v>0.46111803927437189</v>
      </c>
      <c r="I66" s="59">
        <f>(B66/('Consumidores Inadimplentes'!B102*1000000))</f>
        <v>3.8043992178813362E-3</v>
      </c>
    </row>
    <row r="67" spans="1:16" x14ac:dyDescent="0.35">
      <c r="A67" s="5">
        <v>45383</v>
      </c>
      <c r="B67" s="30">
        <v>279079</v>
      </c>
      <c r="C67" s="30">
        <v>1193001</v>
      </c>
      <c r="D67" s="30">
        <v>1343983108.6899974</v>
      </c>
      <c r="E67" s="34">
        <f t="shared" ref="E67" si="50">C67/B67</f>
        <v>4.2747788260671706</v>
      </c>
      <c r="F67" s="43">
        <f t="shared" ref="F67" si="51">D67/B67</f>
        <v>4815.7801507458371</v>
      </c>
      <c r="G67" s="43">
        <f t="shared" ref="G67" si="52">F67/E67</f>
        <v>1126.5565650741262</v>
      </c>
      <c r="H67" s="27">
        <v>0.46343472318859114</v>
      </c>
      <c r="I67" s="59">
        <f>(B67/('Consumidores Inadimplentes'!B103*1000000))</f>
        <v>3.8011416650313217E-3</v>
      </c>
    </row>
    <row r="68" spans="1:16" x14ac:dyDescent="0.35">
      <c r="A68" s="5">
        <v>45413</v>
      </c>
      <c r="B68" s="30">
        <v>276586</v>
      </c>
      <c r="C68" s="30">
        <v>1168790</v>
      </c>
      <c r="D68" s="30">
        <v>1344947290.3500042</v>
      </c>
      <c r="E68" s="34">
        <f t="shared" ref="E68" si="53">C68/B68</f>
        <v>4.2257742618932266</v>
      </c>
      <c r="F68" s="43">
        <f t="shared" ref="F68" si="54">D68/B68</f>
        <v>4862.6730577469725</v>
      </c>
      <c r="G68" s="43">
        <f t="shared" ref="G68" si="55">F68/E68</f>
        <v>1150.7176570213676</v>
      </c>
      <c r="H68" s="27">
        <v>0.45869466072953724</v>
      </c>
      <c r="I68" s="59">
        <f>(B68/('Consumidores Inadimplentes'!B104*1000000))</f>
        <v>3.8131199278784787E-3</v>
      </c>
    </row>
    <row r="69" spans="1:16" x14ac:dyDescent="0.35">
      <c r="A69" s="5">
        <v>45444</v>
      </c>
      <c r="B69" s="30">
        <v>279218</v>
      </c>
      <c r="C69" s="30">
        <v>1160959</v>
      </c>
      <c r="D69" s="30">
        <v>1357564677.97</v>
      </c>
      <c r="E69" s="34">
        <f t="shared" ref="E69" si="56">C69/B69</f>
        <v>4.1578945483457375</v>
      </c>
      <c r="F69" s="43">
        <f t="shared" ref="F69" si="57">D69/B69</f>
        <v>4862.0242175289559</v>
      </c>
      <c r="G69" s="43">
        <f t="shared" ref="G69" si="58">F69/E69</f>
        <v>1169.3476496327603</v>
      </c>
      <c r="H69" s="27">
        <v>0.46245449456253501</v>
      </c>
      <c r="I69" s="59">
        <f>(B69/('Consumidores Inadimplentes'!B105*1000000))</f>
        <v>3.8512226264274052E-3</v>
      </c>
    </row>
    <row r="70" spans="1:16" x14ac:dyDescent="0.35">
      <c r="A70" s="5">
        <v>45474</v>
      </c>
      <c r="B70" s="30">
        <v>278781</v>
      </c>
      <c r="C70" s="30">
        <v>1137349</v>
      </c>
      <c r="D70" s="30">
        <v>1326819132.3199999</v>
      </c>
      <c r="E70" s="34">
        <f t="shared" ref="E70" si="59">C70/B70</f>
        <v>4.0797220757512171</v>
      </c>
      <c r="F70" s="43">
        <f t="shared" ref="F70" si="60">D70/B70</f>
        <v>4759.3599718775667</v>
      </c>
      <c r="G70" s="43">
        <f t="shared" ref="G70" si="61">F70/E70</f>
        <v>1166.5892635593823</v>
      </c>
      <c r="H70" s="27">
        <v>0.46112888338995833</v>
      </c>
      <c r="I70" s="59">
        <f>(B70/('Consumidores Inadimplentes'!B106*1000000))</f>
        <v>3.8365688629988163E-3</v>
      </c>
    </row>
    <row r="71" spans="1:16" x14ac:dyDescent="0.35">
      <c r="A71" s="5">
        <v>45505</v>
      </c>
      <c r="B71" s="30">
        <v>275931</v>
      </c>
      <c r="C71" s="30">
        <v>1116796</v>
      </c>
      <c r="D71" s="30">
        <v>1322320396.1300001</v>
      </c>
      <c r="E71" s="34">
        <f t="shared" ref="E71" si="62">C71/B71</f>
        <v>4.0473741623811748</v>
      </c>
      <c r="F71" s="43">
        <f t="shared" ref="F71" si="63">D71/B71</f>
        <v>4792.2139815026221</v>
      </c>
      <c r="G71" s="43">
        <f t="shared" ref="G71" si="64">F71/E71</f>
        <v>1184.0303834630497</v>
      </c>
      <c r="H71" s="27">
        <v>0.45585900521890832</v>
      </c>
      <c r="I71" s="59">
        <f>(B71/('Consumidores Inadimplentes'!B107*1000000))</f>
        <v>3.807912336498279E-3</v>
      </c>
    </row>
    <row r="72" spans="1:16" x14ac:dyDescent="0.35">
      <c r="A72" s="5">
        <v>45536</v>
      </c>
      <c r="B72" s="30">
        <v>275687</v>
      </c>
      <c r="C72" s="30">
        <v>1111989</v>
      </c>
      <c r="D72" s="30">
        <v>1335090650.6999986</v>
      </c>
      <c r="E72" s="34">
        <f t="shared" ref="E72" si="65">C72/B72</f>
        <v>4.0335198975649922</v>
      </c>
      <c r="F72" s="43">
        <f t="shared" ref="F72" si="66">D72/B72</f>
        <v>4842.7769561132682</v>
      </c>
      <c r="G72" s="43">
        <f t="shared" ref="G72" si="67">F72/E72</f>
        <v>1200.6329655239383</v>
      </c>
      <c r="H72" s="27">
        <v>0.45490126840440437</v>
      </c>
      <c r="I72" s="59">
        <f>(B72/('Consumidores Inadimplentes'!B108*1000000))</f>
        <v>3.7951499248519375E-3</v>
      </c>
    </row>
    <row r="73" spans="1:16" x14ac:dyDescent="0.35">
      <c r="A73" s="5">
        <v>45566</v>
      </c>
      <c r="B73" s="30">
        <v>275081</v>
      </c>
      <c r="C73" s="30">
        <v>1098356</v>
      </c>
      <c r="D73" s="30">
        <v>1348613347.680001</v>
      </c>
      <c r="E73" s="34">
        <f t="shared" ref="E73" si="68">C73/B73</f>
        <v>3.9928457436173344</v>
      </c>
      <c r="F73" s="43">
        <f t="shared" ref="F73" si="69">D73/B73</f>
        <v>4902.604497148116</v>
      </c>
      <c r="G73" s="43">
        <f t="shared" ref="G73" si="70">F73/E73</f>
        <v>1227.8472077177171</v>
      </c>
      <c r="H73" s="27">
        <v>0.45334851741004917</v>
      </c>
      <c r="I73" s="59">
        <f>(B73/('Consumidores Inadimplentes'!B109*1000000))</f>
        <v>3.7628725873922889E-3</v>
      </c>
    </row>
    <row r="74" spans="1:16" x14ac:dyDescent="0.35">
      <c r="A74" s="5">
        <v>45597</v>
      </c>
      <c r="B74" s="30">
        <v>274411</v>
      </c>
      <c r="C74" s="30">
        <v>1056013</v>
      </c>
      <c r="D74" s="30">
        <v>1308842804.1399999</v>
      </c>
      <c r="E74" s="34">
        <f t="shared" ref="E74" si="71">C74/B74</f>
        <v>3.8482896093815482</v>
      </c>
      <c r="F74" s="43">
        <f t="shared" ref="F74" si="72">D74/B74</f>
        <v>4769.6440891217917</v>
      </c>
      <c r="G74" s="43">
        <f t="shared" ref="G74" si="73">F74/E74</f>
        <v>1239.4192156157169</v>
      </c>
      <c r="H74" s="27">
        <v>0.45169345334114658</v>
      </c>
      <c r="I74" s="59">
        <f>(B74/('Consumidores Inadimplentes'!B110*1000000))</f>
        <v>3.7188709169037239E-3</v>
      </c>
    </row>
    <row r="75" spans="1:16" ht="15" thickBot="1" x14ac:dyDescent="0.4">
      <c r="A75" s="12">
        <v>45627</v>
      </c>
      <c r="B75" s="31">
        <v>269121</v>
      </c>
      <c r="C75" s="31">
        <v>1023994</v>
      </c>
      <c r="D75" s="31">
        <v>1278151718.8299994</v>
      </c>
      <c r="E75" s="35">
        <f t="shared" ref="E75" si="74">C75/B75</f>
        <v>3.8049576212930245</v>
      </c>
      <c r="F75" s="46">
        <f t="shared" ref="F75" si="75">D75/B75</f>
        <v>4749.3570506575088</v>
      </c>
      <c r="G75" s="46">
        <f t="shared" ref="G75" si="76">F75/E75</f>
        <v>1248.2023516055751</v>
      </c>
      <c r="H75" s="28">
        <v>0.44244620283860275</v>
      </c>
      <c r="I75" s="62">
        <f>(B75/('Consumidores Inadimplentes'!B111*1000000))</f>
        <v>3.6608999544728953E-3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275634</v>
      </c>
      <c r="C76" s="29">
        <v>1037308</v>
      </c>
      <c r="D76" s="29">
        <v>1324623866.9500005</v>
      </c>
      <c r="E76" s="33">
        <f t="shared" ref="E76:E77" si="77">C76/B76</f>
        <v>3.7633528519703665</v>
      </c>
      <c r="F76" s="45">
        <f t="shared" ref="F76:F77" si="78">D76/B76</f>
        <v>4805.7346588229339</v>
      </c>
      <c r="G76" s="45">
        <f t="shared" ref="G76:G77" si="79">F76/E76</f>
        <v>1276.9822144917425</v>
      </c>
      <c r="H76" s="26">
        <v>0.45260247160089195</v>
      </c>
      <c r="I76" s="58">
        <f>(B76/('Consumidores Inadimplentes'!B112*1000000))</f>
        <v>3.6946814168679794E-3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272749</v>
      </c>
      <c r="C77" s="30">
        <v>1031514</v>
      </c>
      <c r="D77" s="30">
        <v>1371107354.6100006</v>
      </c>
      <c r="E77" s="34">
        <f t="shared" si="77"/>
        <v>3.7819167073023183</v>
      </c>
      <c r="F77" s="43">
        <f t="shared" si="78"/>
        <v>5026.9931497824027</v>
      </c>
      <c r="G77" s="43">
        <f t="shared" si="79"/>
        <v>1329.218366992596</v>
      </c>
      <c r="H77" s="27">
        <v>0.44732016925246826</v>
      </c>
      <c r="I77" s="59">
        <f>(B77/('Consumidores Inadimplentes'!B113*1000000))</f>
        <v>3.6364891094851489E-3</v>
      </c>
    </row>
    <row r="78" spans="1:16" x14ac:dyDescent="0.35">
      <c r="A78" s="5">
        <v>45717</v>
      </c>
      <c r="B78" s="30">
        <v>277650</v>
      </c>
      <c r="C78" s="30">
        <v>1030451</v>
      </c>
      <c r="D78" s="30">
        <v>1359086693.4799986</v>
      </c>
      <c r="E78" s="34">
        <f t="shared" ref="E78" si="80">C78/B78</f>
        <v>3.7113308121735997</v>
      </c>
      <c r="F78" s="43">
        <f t="shared" ref="F78" si="81">D78/B78</f>
        <v>4894.9637798667336</v>
      </c>
      <c r="G78" s="43">
        <f t="shared" ref="G78" si="82">F78/E78</f>
        <v>1318.9241346556009</v>
      </c>
      <c r="H78" s="27">
        <v>0.45480381927097069</v>
      </c>
      <c r="I78" s="59">
        <f>(B78/('Consumidores Inadimplentes'!B114*1000000))</f>
        <v>3.6644017236955049E-3</v>
      </c>
    </row>
    <row r="79" spans="1:16" x14ac:dyDescent="0.35">
      <c r="A79" s="5">
        <v>45748</v>
      </c>
      <c r="B79" s="30">
        <v>277853</v>
      </c>
      <c r="C79" s="30">
        <v>1040249</v>
      </c>
      <c r="D79" s="30">
        <v>1422434968</v>
      </c>
      <c r="E79" s="34">
        <f t="shared" ref="E79" si="83">C79/B79</f>
        <v>3.7438825566036718</v>
      </c>
      <c r="F79" s="43">
        <f t="shared" ref="F79" si="84">D79/B79</f>
        <v>5119.379556816014</v>
      </c>
      <c r="G79" s="43">
        <f t="shared" ref="G79" si="85">F79/E79</f>
        <v>1367.3985440024455</v>
      </c>
      <c r="H79" s="27">
        <v>0.45458234011259319</v>
      </c>
      <c r="I79" s="59">
        <f>(B79/('Consumidores Inadimplentes'!B115*1000000))</f>
        <v>3.6255000764563194E-3</v>
      </c>
    </row>
    <row r="80" spans="1:16" x14ac:dyDescent="0.35">
      <c r="A80" s="5">
        <v>45778</v>
      </c>
      <c r="B80" s="30">
        <v>283967</v>
      </c>
      <c r="C80" s="30">
        <v>1050513</v>
      </c>
      <c r="D80" s="30">
        <v>1461921833</v>
      </c>
      <c r="E80" s="34">
        <f t="shared" ref="E80" si="86">C80/B80</f>
        <v>3.6994192987213301</v>
      </c>
      <c r="F80" s="43">
        <f t="shared" ref="F80" si="87">D80/B80</f>
        <v>5148.2102955625123</v>
      </c>
      <c r="G80" s="43">
        <f t="shared" ref="G80" si="88">F80/E80</f>
        <v>1391.6265986237199</v>
      </c>
      <c r="H80" s="27">
        <v>0.46401959566777568</v>
      </c>
      <c r="I80" s="59">
        <f>(B80/('Consumidores Inadimplentes'!B116*1000000))</f>
        <v>3.6844245427798427E-3</v>
      </c>
    </row>
    <row r="81" spans="1:16" x14ac:dyDescent="0.35">
      <c r="A81" s="5">
        <v>45809</v>
      </c>
      <c r="B81" s="30">
        <v>287611</v>
      </c>
      <c r="C81" s="30">
        <v>1060467</v>
      </c>
      <c r="D81" s="30">
        <v>1505812644</v>
      </c>
      <c r="E81" s="34">
        <f t="shared" ref="E81" si="89">C81/B81</f>
        <v>3.687157306222641</v>
      </c>
      <c r="F81" s="43">
        <f t="shared" ref="F81" si="90">D81/B81</f>
        <v>5235.5878043607509</v>
      </c>
      <c r="G81" s="43">
        <f t="shared" ref="G81:G82" si="91">F81/E81</f>
        <v>1419.952383242477</v>
      </c>
      <c r="H81" s="27">
        <v>0.46940191083010457</v>
      </c>
      <c r="I81" s="59">
        <f>(B81/('Consumidores Inadimplentes'!B117*1000000))</f>
        <v>3.6932581829410126E-3</v>
      </c>
    </row>
    <row r="82" spans="1:16" x14ac:dyDescent="0.35">
      <c r="A82" s="5">
        <v>45839</v>
      </c>
      <c r="B82" s="30">
        <v>285359</v>
      </c>
      <c r="C82" s="30">
        <v>1050411</v>
      </c>
      <c r="D82" s="30">
        <v>1510983546</v>
      </c>
      <c r="E82" s="34">
        <f t="shared" ref="E82:E83" si="92">C82/B82</f>
        <v>3.6810158432010205</v>
      </c>
      <c r="F82" s="43">
        <f t="shared" ref="F82:F83" si="93">D82/B82</f>
        <v>5295.0267767969472</v>
      </c>
      <c r="G82" s="43">
        <f t="shared" si="91"/>
        <v>1438.4688907484785</v>
      </c>
      <c r="H82" s="27">
        <v>0.46515938154580944</v>
      </c>
      <c r="I82" s="59">
        <f>(B82/('Consumidores Inadimplentes'!B118*1000000))</f>
        <v>3.6509042179951596E-3</v>
      </c>
    </row>
    <row r="83" spans="1:16" x14ac:dyDescent="0.35">
      <c r="A83" s="5">
        <v>45870</v>
      </c>
      <c r="B83" s="30">
        <v>288183</v>
      </c>
      <c r="C83" s="30">
        <v>1057395</v>
      </c>
      <c r="D83" s="30">
        <v>1549867729</v>
      </c>
      <c r="E83" s="34">
        <f t="shared" si="92"/>
        <v>3.6691789592030064</v>
      </c>
      <c r="F83" s="43">
        <f t="shared" si="93"/>
        <v>5378.0678561886025</v>
      </c>
      <c r="G83" s="43">
        <f t="shared" ref="G83" si="94">F83/E83</f>
        <v>1465.7414958459233</v>
      </c>
      <c r="H83" s="27">
        <v>0.46920287790399495</v>
      </c>
      <c r="I83" s="59">
        <f>(B83/('Consumidores Inadimplentes'!B119*1000000))</f>
        <v>3.6548792478793887E-3</v>
      </c>
    </row>
    <row r="84" spans="1:16" x14ac:dyDescent="0.35">
      <c r="A84" s="5">
        <v>45901</v>
      </c>
      <c r="B84" s="30">
        <v>289737</v>
      </c>
      <c r="C84" s="30">
        <v>1054592</v>
      </c>
      <c r="D84" s="30">
        <v>1578510882</v>
      </c>
      <c r="E84" s="34">
        <f>IFERROR(C84/B84,"")</f>
        <v>3.639825082747457</v>
      </c>
      <c r="F84" s="43">
        <f>IFERROR(D84/B84,"")</f>
        <v>5448.081819028981</v>
      </c>
      <c r="G84" s="43">
        <f>IFERROR(F84/E84,"")</f>
        <v>1496.7977018600559</v>
      </c>
      <c r="H84" s="27">
        <v>0.47117070235636577</v>
      </c>
      <c r="I84" s="59">
        <f>(B84/('Consumidores Inadimplentes'!B120*1000000))</f>
        <v>3.6598225987025494E-3</v>
      </c>
    </row>
    <row r="85" spans="1:16" x14ac:dyDescent="0.35">
      <c r="A85" s="5">
        <v>45931</v>
      </c>
      <c r="B85" s="30">
        <v>292004</v>
      </c>
      <c r="C85" s="30">
        <v>1063736</v>
      </c>
      <c r="D85" s="30">
        <v>1602600264</v>
      </c>
      <c r="E85" s="34">
        <f t="shared" ref="E85:E87" si="95">IFERROR(C85/B85,"")</f>
        <v>3.6428816043615839</v>
      </c>
      <c r="F85" s="43">
        <f t="shared" ref="F85:F87" si="96">IFERROR(D85/B85,"")</f>
        <v>5488.2818865494992</v>
      </c>
      <c r="G85" s="43">
        <f t="shared" ref="G85:G87" si="97">IFERROR(F85/E85,"")</f>
        <v>1506.5770679943143</v>
      </c>
      <c r="H85" s="27">
        <v>0.47429117180799918</v>
      </c>
      <c r="I85" s="59">
        <f>(B85/('Consumidores Inadimplentes'!B121*1000000))</f>
        <v>3.6302410452007054E-3</v>
      </c>
    </row>
    <row r="86" spans="1:16" x14ac:dyDescent="0.35">
      <c r="A86" s="5">
        <v>45962</v>
      </c>
      <c r="B86" s="30">
        <v>291403</v>
      </c>
      <c r="C86" s="30">
        <v>1059697</v>
      </c>
      <c r="D86" s="30">
        <v>1624629714</v>
      </c>
      <c r="E86" s="34">
        <f t="shared" si="95"/>
        <v>3.636534284135716</v>
      </c>
      <c r="F86" s="43">
        <f t="shared" si="96"/>
        <v>5575.1989993239604</v>
      </c>
      <c r="G86" s="43">
        <f t="shared" si="97"/>
        <v>1533.1077789217106</v>
      </c>
      <c r="H86" s="27">
        <v>0.47275137167868814</v>
      </c>
      <c r="I86" s="59">
        <f>(B86/('Consumidores Inadimplentes'!B122*1000000))</f>
        <v>3.6149793376408787E-3</v>
      </c>
    </row>
    <row r="87" spans="1:16" ht="15" thickBot="1" x14ac:dyDescent="0.4">
      <c r="A87" s="12">
        <v>45992</v>
      </c>
      <c r="B87" s="31">
        <v>293309</v>
      </c>
      <c r="C87" s="31">
        <v>1060415</v>
      </c>
      <c r="D87" s="31">
        <v>1642216559</v>
      </c>
      <c r="E87" s="35">
        <f t="shared" si="95"/>
        <v>3.6153510461663299</v>
      </c>
      <c r="F87" s="46">
        <f t="shared" si="96"/>
        <v>5598.929998738532</v>
      </c>
      <c r="G87" s="46">
        <f t="shared" si="97"/>
        <v>1548.654591834329</v>
      </c>
      <c r="H87" s="28">
        <v>0.47527680418969653</v>
      </c>
      <c r="I87" s="62">
        <f>(B87/('Consumidores Inadimplentes'!B123*1000000))</f>
        <v>3.610045074823735E-3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286357</v>
      </c>
      <c r="C88" s="29">
        <v>1006369</v>
      </c>
      <c r="D88" s="29">
        <v>1538959090</v>
      </c>
      <c r="E88" s="33">
        <f t="shared" ref="E88:E89" si="98">IFERROR(C88/B88,"")</f>
        <v>3.5143858889428232</v>
      </c>
      <c r="F88" s="45">
        <f t="shared" ref="F88:F89" si="99">IFERROR(D88/B88,"")</f>
        <v>5374.267400482614</v>
      </c>
      <c r="G88" s="45">
        <f t="shared" ref="G88:G89" si="100">IFERROR(F88/E88,"")</f>
        <v>1529.2194910614296</v>
      </c>
      <c r="H88" s="55">
        <v>0.4634590827505507</v>
      </c>
      <c r="I88" s="58">
        <f>(B88/('Consumidores Inadimplentes'!B124*1000000))</f>
        <v>3.5213889420366985E-3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287028</v>
      </c>
      <c r="C89" s="30">
        <v>1010504</v>
      </c>
      <c r="D89" s="30">
        <v>1585547407</v>
      </c>
      <c r="E89" s="34">
        <f t="shared" si="98"/>
        <v>3.5205763897598841</v>
      </c>
      <c r="F89" s="43">
        <f t="shared" si="99"/>
        <v>5524.0164966484108</v>
      </c>
      <c r="G89" s="43">
        <f t="shared" si="100"/>
        <v>1569.0659383832226</v>
      </c>
      <c r="H89" s="56">
        <v>0.46399161986789655</v>
      </c>
      <c r="I89" s="59">
        <f>(B89/('Consumidores Inadimplentes'!B125*1000000))</f>
        <v>3.5118227254087621E-3</v>
      </c>
    </row>
    <row r="90" spans="1:16" x14ac:dyDescent="0.35">
      <c r="A90" s="5">
        <v>46082</v>
      </c>
      <c r="B90" s="30">
        <v>291535</v>
      </c>
      <c r="C90" s="30">
        <v>1032759</v>
      </c>
      <c r="D90" s="30">
        <v>1674138352</v>
      </c>
      <c r="E90" s="34">
        <f t="shared" ref="E90" si="101">IFERROR(C90/B90,"")</f>
        <v>3.5424871799269386</v>
      </c>
      <c r="F90" s="43">
        <f t="shared" ref="F90" si="102">IFERROR(D90/B90,"")</f>
        <v>5742.4952475689024</v>
      </c>
      <c r="G90" s="43">
        <f t="shared" ref="G90" si="103">IFERROR(F90/E90,"")</f>
        <v>1621.0348706716668</v>
      </c>
      <c r="H90" s="56">
        <v>0.47071578960965149</v>
      </c>
      <c r="I90" s="59">
        <f>(B90/('Consumidores Inadimplentes'!B126*1000000))</f>
        <v>3.5195730139275902E-3</v>
      </c>
    </row>
    <row r="91" spans="1:16" x14ac:dyDescent="0.35">
      <c r="A91" s="5">
        <v>46113</v>
      </c>
      <c r="B91" s="30">
        <v>296633</v>
      </c>
      <c r="C91" s="30">
        <v>1050215</v>
      </c>
      <c r="D91" s="30">
        <v>1708112496</v>
      </c>
      <c r="E91" s="34">
        <f t="shared" ref="E91" si="104">IFERROR(C91/B91,"")</f>
        <v>3.5404523434681914</v>
      </c>
      <c r="F91" s="43">
        <f t="shared" ref="F91" si="105">IFERROR(D91/B91,"")</f>
        <v>5758.3360448770027</v>
      </c>
      <c r="G91" s="43">
        <f t="shared" ref="G91" si="106">IFERROR(F91/E91,"")</f>
        <v>1626.4407726037048</v>
      </c>
      <c r="H91" s="56">
        <v>0.47837628188484443</v>
      </c>
      <c r="I91" s="59">
        <f>(B91/('Consumidores Inadimplentes'!B127*1000000))</f>
        <v>3.5572115868444916E-3</v>
      </c>
    </row>
    <row r="92" spans="1:16" x14ac:dyDescent="0.35">
      <c r="A92" s="5">
        <v>46143</v>
      </c>
      <c r="B92" s="30">
        <v>297943</v>
      </c>
      <c r="C92" s="30">
        <v>1049861</v>
      </c>
      <c r="D92" s="30">
        <v>1714931084</v>
      </c>
      <c r="E92" s="34">
        <f t="shared" ref="E92" si="107">IFERROR(C92/B92,"")</f>
        <v>3.5236974857606991</v>
      </c>
      <c r="F92" s="43">
        <f t="shared" ref="F92" si="108">IFERROR(D92/B92,"")</f>
        <v>5755.9032566631877</v>
      </c>
      <c r="G92" s="43">
        <f t="shared" ref="G92" si="109">IFERROR(F92/E92,"")</f>
        <v>1633.4839412074552</v>
      </c>
      <c r="H92" s="56">
        <v>0.47991617578601309</v>
      </c>
      <c r="I92" s="59">
        <f>(B92/('Consumidores Inadimplentes'!B128*1000000))</f>
        <v>3.5680580276269865E-3</v>
      </c>
    </row>
    <row r="93" spans="1:16" x14ac:dyDescent="0.35">
      <c r="A93" s="5">
        <v>46174</v>
      </c>
      <c r="B93" s="30">
        <v>295299</v>
      </c>
      <c r="C93" s="30">
        <v>1039623</v>
      </c>
      <c r="D93" s="30">
        <v>1731043484</v>
      </c>
      <c r="E93" s="34">
        <f t="shared" ref="E93" si="110">IFERROR(C93/B93,"")</f>
        <v>3.5205774486198735</v>
      </c>
      <c r="F93" s="43">
        <f t="shared" ref="F93" si="111">IFERROR(D93/B93,"")</f>
        <v>5862.0025262530517</v>
      </c>
      <c r="G93" s="43">
        <f t="shared" ref="G93" si="112">IFERROR(F93/E93,"")</f>
        <v>1665.0684757840099</v>
      </c>
      <c r="H93" s="56">
        <v>0.47509025619244361</v>
      </c>
      <c r="I93" s="59">
        <f>(B93/('Consumidores Inadimplentes'!B129*1000000))</f>
        <v>3.526480633375741E-3</v>
      </c>
    </row>
    <row r="94" spans="1:16" x14ac:dyDescent="0.35">
      <c r="A94" s="5">
        <v>46204</v>
      </c>
      <c r="B94" s="30">
        <v>295260</v>
      </c>
      <c r="C94" s="30">
        <v>1039887</v>
      </c>
      <c r="D94" s="30">
        <v>1741134395</v>
      </c>
      <c r="E94" s="34">
        <f t="shared" ref="E94" si="113">IFERROR(C94/B94,"")</f>
        <v>3.5219365982523878</v>
      </c>
      <c r="F94" s="43">
        <f t="shared" ref="F94" si="114">IFERROR(D94/B94,"")</f>
        <v>5896.9531768610714</v>
      </c>
      <c r="G94" s="43">
        <f t="shared" ref="G94" si="115">IFERROR(F94/E94,"")</f>
        <v>1674.3496120251527</v>
      </c>
      <c r="H94" s="56">
        <v>0.47446187962494274</v>
      </c>
      <c r="I94" s="59">
        <f>(B94/('Consumidores Inadimplentes'!B130*1000000))</f>
        <v>3.5178512184125235E-3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56"/>
      <c r="I95" s="60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56"/>
      <c r="I96" s="60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56"/>
      <c r="I97" s="60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56"/>
      <c r="I98" s="60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57"/>
      <c r="I99" s="61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1372-7097-4A17-B818-84E1185633E8}">
  <sheetPr codeName="Planilha5"/>
  <dimension ref="A1:P99"/>
  <sheetViews>
    <sheetView zoomScale="90" zoomScaleNormal="90" workbookViewId="0">
      <pane xSplit="1" ySplit="3" topLeftCell="B4" activePane="bottomRight" state="frozen"/>
      <selection activeCell="H93" sqref="H93"/>
      <selection pane="topRight" activeCell="H93" sqref="H93"/>
      <selection pane="bottomLeft" activeCell="H93" sqref="H93"/>
      <selection pane="bottomRight" activeCell="I5" sqref="I5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21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957663</v>
      </c>
      <c r="C4" s="29">
        <v>4016991</v>
      </c>
      <c r="D4" s="29">
        <v>2712886122.3199983</v>
      </c>
      <c r="E4" s="33">
        <f t="shared" ref="E4:E33" si="0">C4/B4</f>
        <v>4.1945767978923696</v>
      </c>
      <c r="F4" s="45">
        <f>D4/B4</f>
        <v>2832.8191882948367</v>
      </c>
      <c r="G4" s="45">
        <f t="shared" ref="G4" si="1">F4/E4</f>
        <v>675.35280072073795</v>
      </c>
      <c r="H4" s="26">
        <v>0.42645245255979686</v>
      </c>
      <c r="I4" s="58">
        <f>(B4/('Consumidores Inadimplentes'!B40*1000000))</f>
        <v>1.5402357959385516E-2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939283</v>
      </c>
      <c r="C5" s="30">
        <v>3923638</v>
      </c>
      <c r="D5" s="30">
        <v>2676489910.7499981</v>
      </c>
      <c r="E5" s="34">
        <f t="shared" si="0"/>
        <v>4.1772692575081205</v>
      </c>
      <c r="F5" s="43">
        <f t="shared" ref="F5:F47" si="2">D5/B5</f>
        <v>2849.5031963210217</v>
      </c>
      <c r="G5" s="43">
        <f t="shared" ref="G5:G45" si="3">F5/E5</f>
        <v>682.14496616405449</v>
      </c>
      <c r="H5" s="27">
        <v>0.41792986257556042</v>
      </c>
      <c r="I5" s="59">
        <f>(B5/('Consumidores Inadimplentes'!B41*1000000))</f>
        <v>1.5107594380786755E-2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914817</v>
      </c>
      <c r="C6" s="30">
        <v>3846271</v>
      </c>
      <c r="D6" s="30">
        <v>2737621665.6899962</v>
      </c>
      <c r="E6" s="34">
        <f t="shared" si="0"/>
        <v>4.2044157465372853</v>
      </c>
      <c r="F6" s="43">
        <f t="shared" si="2"/>
        <v>2992.5347536064551</v>
      </c>
      <c r="G6" s="43">
        <f t="shared" si="3"/>
        <v>711.75995287123465</v>
      </c>
      <c r="H6" s="27">
        <v>0.40671336590631102</v>
      </c>
      <c r="I6" s="59">
        <f>(B6/('Consumidores Inadimplentes'!B42*1000000))</f>
        <v>1.4530111547982285E-2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897394</v>
      </c>
      <c r="C7" s="30">
        <v>3729946</v>
      </c>
      <c r="D7" s="30">
        <v>2697016521.970006</v>
      </c>
      <c r="E7" s="34">
        <f t="shared" si="0"/>
        <v>4.1564195882744928</v>
      </c>
      <c r="F7" s="43">
        <f t="shared" si="2"/>
        <v>3005.3872902760727</v>
      </c>
      <c r="G7" s="43">
        <f t="shared" si="3"/>
        <v>723.07119780554626</v>
      </c>
      <c r="H7" s="27">
        <v>0.39829384028697357</v>
      </c>
      <c r="I7" s="59">
        <f>(B7/('Consumidores Inadimplentes'!B43*1000000))</f>
        <v>1.4198058128067657E-2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887668</v>
      </c>
      <c r="C8" s="30">
        <v>3656722</v>
      </c>
      <c r="D8" s="30">
        <v>2751825729.5700083</v>
      </c>
      <c r="E8" s="34">
        <f t="shared" si="0"/>
        <v>4.1194703425154451</v>
      </c>
      <c r="F8" s="43">
        <f t="shared" si="2"/>
        <v>3100.0618807594824</v>
      </c>
      <c r="G8" s="43">
        <f t="shared" si="3"/>
        <v>752.53894870050499</v>
      </c>
      <c r="H8" s="27">
        <v>0.39073763067725409</v>
      </c>
      <c r="I8" s="59">
        <f>(B8/('Consumidores Inadimplentes'!B44*1000000))</f>
        <v>1.4006679866588231E-2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894588</v>
      </c>
      <c r="C9" s="30">
        <v>3668800</v>
      </c>
      <c r="D9" s="30">
        <v>2763185483.2100077</v>
      </c>
      <c r="E9" s="34">
        <f t="shared" si="0"/>
        <v>4.1011057604170862</v>
      </c>
      <c r="F9" s="43">
        <f t="shared" si="2"/>
        <v>3088.7799559238529</v>
      </c>
      <c r="G9" s="43">
        <f t="shared" si="3"/>
        <v>753.15783995039453</v>
      </c>
      <c r="H9" s="27">
        <v>0.39698067419696437</v>
      </c>
      <c r="I9" s="59">
        <f>(B9/('Consumidores Inadimplentes'!B45*1000000))</f>
        <v>1.4098972553143367E-2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885537</v>
      </c>
      <c r="C10" s="30">
        <v>3569137</v>
      </c>
      <c r="D10" s="30">
        <v>2726314261.1800046</v>
      </c>
      <c r="E10" s="34">
        <f t="shared" si="0"/>
        <v>4.030477552039045</v>
      </c>
      <c r="F10" s="43">
        <f t="shared" si="2"/>
        <v>3078.7129856572956</v>
      </c>
      <c r="G10" s="43">
        <f t="shared" si="3"/>
        <v>763.85811505134291</v>
      </c>
      <c r="H10" s="27">
        <v>0.39241289255440526</v>
      </c>
      <c r="I10" s="59">
        <f>(B10/('Consumidores Inadimplentes'!B46*1000000))</f>
        <v>1.3953514096509974E-2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884630</v>
      </c>
      <c r="C11" s="30">
        <v>3538047</v>
      </c>
      <c r="D11" s="30">
        <v>2801581631.4000068</v>
      </c>
      <c r="E11" s="34">
        <f t="shared" si="0"/>
        <v>3.9994653131817821</v>
      </c>
      <c r="F11" s="43">
        <f t="shared" si="2"/>
        <v>3166.9529988808958</v>
      </c>
      <c r="G11" s="43">
        <f t="shared" si="3"/>
        <v>791.84409687039397</v>
      </c>
      <c r="H11" s="27">
        <v>0.38969471718576476</v>
      </c>
      <c r="I11" s="59">
        <f>(B11/('Consumidores Inadimplentes'!B47*1000000))</f>
        <v>1.3947008431095325E-2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872746</v>
      </c>
      <c r="C12" s="30">
        <v>3438933</v>
      </c>
      <c r="D12" s="30">
        <v>2760346375.0000052</v>
      </c>
      <c r="E12" s="34">
        <f t="shared" si="0"/>
        <v>3.9403595089522039</v>
      </c>
      <c r="F12" s="43">
        <f t="shared" si="2"/>
        <v>3162.8290189814738</v>
      </c>
      <c r="G12" s="43">
        <f t="shared" si="3"/>
        <v>802.67524112857257</v>
      </c>
      <c r="H12" s="27">
        <v>0.38416988332010577</v>
      </c>
      <c r="I12" s="59">
        <f>(B12/('Consumidores Inadimplentes'!B48*1000000))</f>
        <v>1.3807828228848663E-2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872843</v>
      </c>
      <c r="C13" s="30">
        <v>3891440</v>
      </c>
      <c r="D13" s="30">
        <v>2800850470.1300058</v>
      </c>
      <c r="E13" s="34">
        <f t="shared" si="0"/>
        <v>4.4583504708177761</v>
      </c>
      <c r="F13" s="43">
        <f t="shared" si="2"/>
        <v>3208.8823191914307</v>
      </c>
      <c r="G13" s="43">
        <f t="shared" si="3"/>
        <v>719.74653858982947</v>
      </c>
      <c r="H13" s="27">
        <v>0.38392308896829713</v>
      </c>
      <c r="I13" s="59">
        <f>(B13/('Consumidores Inadimplentes'!B49*1000000))</f>
        <v>1.3669909560337038E-2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862443</v>
      </c>
      <c r="C14" s="30">
        <v>3855787</v>
      </c>
      <c r="D14" s="30">
        <v>2786763724.2200007</v>
      </c>
      <c r="E14" s="34">
        <f t="shared" si="0"/>
        <v>4.4707731409496052</v>
      </c>
      <c r="F14" s="43">
        <f t="shared" si="2"/>
        <v>3231.2439479710551</v>
      </c>
      <c r="G14" s="43">
        <f t="shared" si="3"/>
        <v>722.74835830402469</v>
      </c>
      <c r="H14" s="27">
        <v>0.37906266660630566</v>
      </c>
      <c r="I14" s="59">
        <f>(B14/('Consumidores Inadimplentes'!B50*1000000))</f>
        <v>1.3509240649358574E-2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857101</v>
      </c>
      <c r="C15" s="31">
        <v>3789441</v>
      </c>
      <c r="D15" s="31">
        <v>2769630588.1000009</v>
      </c>
      <c r="E15" s="35">
        <f t="shared" si="0"/>
        <v>4.4212304034180336</v>
      </c>
      <c r="F15" s="43">
        <f t="shared" si="2"/>
        <v>3231.3934858318926</v>
      </c>
      <c r="G15" s="43">
        <f t="shared" si="3"/>
        <v>730.88104237537959</v>
      </c>
      <c r="H15" s="27">
        <v>0.37643082855530402</v>
      </c>
      <c r="I15" s="59">
        <f>(B15/('Consumidores Inadimplentes'!B51*1000000))</f>
        <v>1.3538729622565268E-2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864715</v>
      </c>
      <c r="C16" s="29">
        <v>3843153</v>
      </c>
      <c r="D16" s="29">
        <v>2782899818.9400048</v>
      </c>
      <c r="E16" s="33">
        <f t="shared" si="0"/>
        <v>4.4444157901736414</v>
      </c>
      <c r="F16" s="45">
        <f t="shared" si="2"/>
        <v>3218.2855841982673</v>
      </c>
      <c r="G16" s="45">
        <f t="shared" si="3"/>
        <v>724.11892499205851</v>
      </c>
      <c r="H16" s="26">
        <v>0.37948865810714499</v>
      </c>
      <c r="I16" s="59">
        <f>(B16/('Consumidores Inadimplentes'!B52*1000000))</f>
        <v>1.3557275083581103E-2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863830</v>
      </c>
      <c r="C17" s="30">
        <v>3777489</v>
      </c>
      <c r="D17" s="30">
        <v>2759120105.2100043</v>
      </c>
      <c r="E17" s="34">
        <f t="shared" si="0"/>
        <v>4.3729541692231111</v>
      </c>
      <c r="F17" s="43">
        <f t="shared" si="2"/>
        <v>3194.0545074956926</v>
      </c>
      <c r="G17" s="43">
        <f t="shared" si="3"/>
        <v>730.41115545538423</v>
      </c>
      <c r="H17" s="27">
        <v>0.3788144895237619</v>
      </c>
      <c r="I17" s="59">
        <f>(B17/('Consumidores Inadimplentes'!B53*1000000))</f>
        <v>1.3520646796013034E-2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860042</v>
      </c>
      <c r="C18" s="30">
        <v>3703797</v>
      </c>
      <c r="D18" s="30">
        <v>2794954186.96</v>
      </c>
      <c r="E18" s="34">
        <f t="shared" si="0"/>
        <v>4.3065303787489446</v>
      </c>
      <c r="F18" s="43">
        <f t="shared" si="2"/>
        <v>3249.7880184456108</v>
      </c>
      <c r="G18" s="43">
        <f t="shared" si="3"/>
        <v>754.61862163612102</v>
      </c>
      <c r="H18" s="27">
        <v>0.37686908076041453</v>
      </c>
      <c r="I18" s="59">
        <f>(B18/('Consumidores Inadimplentes'!B54*1000000))</f>
        <v>1.3269663658997406E-2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872154</v>
      </c>
      <c r="C19" s="30">
        <v>3677316</v>
      </c>
      <c r="D19" s="30">
        <v>2797893925.0800009</v>
      </c>
      <c r="E19" s="34">
        <f t="shared" si="0"/>
        <v>4.2163608720478267</v>
      </c>
      <c r="F19" s="43">
        <f t="shared" si="2"/>
        <v>3208.027395482909</v>
      </c>
      <c r="G19" s="43">
        <f t="shared" si="3"/>
        <v>760.85218813939321</v>
      </c>
      <c r="H19" s="27">
        <v>0.38188854326488575</v>
      </c>
      <c r="I19" s="59">
        <f>(B19/('Consumidores Inadimplentes'!B55*1000000))</f>
        <v>1.3232777531409702E-2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888180</v>
      </c>
      <c r="C20" s="30">
        <v>3728042</v>
      </c>
      <c r="D20" s="30">
        <v>2766032745.7400031</v>
      </c>
      <c r="E20" s="34">
        <f t="shared" si="0"/>
        <v>4.1973946722511206</v>
      </c>
      <c r="F20" s="43">
        <f t="shared" si="2"/>
        <v>3114.2704696570549</v>
      </c>
      <c r="G20" s="43">
        <f t="shared" si="3"/>
        <v>741.95321451314203</v>
      </c>
      <c r="H20" s="27">
        <v>0.38861263216386677</v>
      </c>
      <c r="I20" s="59">
        <f>(B20/('Consumidores Inadimplentes'!B56*1000000))</f>
        <v>1.3615721978417844E-2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884083</v>
      </c>
      <c r="C21" s="30">
        <v>3690686</v>
      </c>
      <c r="D21" s="30">
        <v>2727510518.5700068</v>
      </c>
      <c r="E21" s="34">
        <f t="shared" si="0"/>
        <v>4.1745922045780768</v>
      </c>
      <c r="F21" s="43">
        <f t="shared" si="2"/>
        <v>3085.1294715202157</v>
      </c>
      <c r="G21" s="43">
        <f t="shared" si="3"/>
        <v>739.02535153898407</v>
      </c>
      <c r="H21" s="27">
        <v>0.38623717978963407</v>
      </c>
      <c r="I21" s="59">
        <f>(B21/('Consumidores Inadimplentes'!B57*1000000))</f>
        <v>1.3813647730772156E-2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870792</v>
      </c>
      <c r="C22" s="30">
        <v>3616828</v>
      </c>
      <c r="D22" s="30">
        <v>2779831158.3500047</v>
      </c>
      <c r="E22" s="34">
        <f t="shared" si="0"/>
        <v>4.153492452847523</v>
      </c>
      <c r="F22" s="43">
        <f t="shared" si="2"/>
        <v>3192.3021322543209</v>
      </c>
      <c r="G22" s="43">
        <f t="shared" si="3"/>
        <v>768.58262498244437</v>
      </c>
      <c r="H22" s="27">
        <v>0.38020123605832307</v>
      </c>
      <c r="I22" s="59">
        <f>(B22/('Consumidores Inadimplentes'!B58*1000000))</f>
        <v>1.3712584578709015E-2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850607</v>
      </c>
      <c r="C23" s="30">
        <v>3553830</v>
      </c>
      <c r="D23" s="30">
        <v>2741064727.3699994</v>
      </c>
      <c r="E23" s="34">
        <f t="shared" si="0"/>
        <v>4.1779928921346752</v>
      </c>
      <c r="F23" s="43">
        <f t="shared" si="2"/>
        <v>3222.4808017921314</v>
      </c>
      <c r="G23" s="43">
        <f t="shared" si="3"/>
        <v>771.298775509802</v>
      </c>
      <c r="H23" s="27">
        <v>0.37116435385382024</v>
      </c>
      <c r="I23" s="59">
        <f>(B23/('Consumidores Inadimplentes'!B59*1000000))</f>
        <v>1.3490899055075452E-2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835982</v>
      </c>
      <c r="C24" s="30">
        <v>3427858</v>
      </c>
      <c r="D24" s="30">
        <v>2717242423.7100029</v>
      </c>
      <c r="E24" s="34">
        <f t="shared" si="0"/>
        <v>4.1003968984978147</v>
      </c>
      <c r="F24" s="43">
        <f t="shared" si="2"/>
        <v>3250.3599643413409</v>
      </c>
      <c r="G24" s="43">
        <f t="shared" si="3"/>
        <v>792.69398665580741</v>
      </c>
      <c r="H24" s="27">
        <v>0.364562855303806</v>
      </c>
      <c r="I24" s="59">
        <f>(B24/('Consumidores Inadimplentes'!B60*1000000))</f>
        <v>1.331960089027835E-2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823369</v>
      </c>
      <c r="C25" s="30">
        <v>3353593</v>
      </c>
      <c r="D25" s="30">
        <v>2680364132.6300015</v>
      </c>
      <c r="E25" s="34">
        <f t="shared" si="0"/>
        <v>4.073013436260049</v>
      </c>
      <c r="F25" s="43">
        <f t="shared" si="2"/>
        <v>3255.3619733436667</v>
      </c>
      <c r="G25" s="43">
        <f t="shared" si="3"/>
        <v>799.25146928384015</v>
      </c>
      <c r="H25" s="27">
        <v>0.35884603600537113</v>
      </c>
      <c r="I25" s="59">
        <f>(B25/('Consumidores Inadimplentes'!B61*1000000))</f>
        <v>1.3220485375463557E-2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807190</v>
      </c>
      <c r="C26" s="30">
        <v>3240459</v>
      </c>
      <c r="D26" s="30">
        <v>2556560181.9400034</v>
      </c>
      <c r="E26" s="34">
        <f t="shared" si="0"/>
        <v>4.0144934897607749</v>
      </c>
      <c r="F26" s="43">
        <f t="shared" si="2"/>
        <v>3167.23470550924</v>
      </c>
      <c r="G26" s="43">
        <f t="shared" si="3"/>
        <v>788.95001663036112</v>
      </c>
      <c r="H26" s="27">
        <v>0.35158272989600914</v>
      </c>
      <c r="I26" s="59">
        <f>(B26/('Consumidores Inadimplentes'!B62*1000000))</f>
        <v>1.3029975432735898E-2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798007</v>
      </c>
      <c r="C27" s="31">
        <v>3174653</v>
      </c>
      <c r="D27" s="31">
        <v>2510020387.3300014</v>
      </c>
      <c r="E27" s="35">
        <f t="shared" si="0"/>
        <v>3.9782270080337643</v>
      </c>
      <c r="F27" s="46">
        <f t="shared" si="2"/>
        <v>3145.361365664714</v>
      </c>
      <c r="G27" s="46">
        <f t="shared" si="3"/>
        <v>790.64401285116867</v>
      </c>
      <c r="H27" s="28">
        <v>0.34737339265037481</v>
      </c>
      <c r="I27" s="59">
        <f>(B27/('Consumidores Inadimplentes'!B63*1000000))</f>
        <v>1.3005057276915153E-2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805380</v>
      </c>
      <c r="C28" s="29">
        <v>3147040</v>
      </c>
      <c r="D28" s="29">
        <v>2536411204.1100039</v>
      </c>
      <c r="E28" s="33">
        <f t="shared" si="0"/>
        <v>3.9075219151208125</v>
      </c>
      <c r="F28" s="45">
        <f t="shared" si="2"/>
        <v>3149.3347290844122</v>
      </c>
      <c r="G28" s="45">
        <f t="shared" si="3"/>
        <v>805.96725942790806</v>
      </c>
      <c r="H28" s="26">
        <v>0.35037147955796588</v>
      </c>
      <c r="I28" s="59">
        <f>(B28/('Consumidores Inadimplentes'!B64*1000000))</f>
        <v>1.3059648156817741E-2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803669</v>
      </c>
      <c r="C29" s="30">
        <v>3100845</v>
      </c>
      <c r="D29" s="30">
        <v>2542893781.9800067</v>
      </c>
      <c r="E29" s="34">
        <f t="shared" si="0"/>
        <v>3.8583608425856912</v>
      </c>
      <c r="F29" s="43">
        <f t="shared" si="2"/>
        <v>3164.1058470340486</v>
      </c>
      <c r="G29" s="43">
        <f t="shared" si="3"/>
        <v>820.06478298012541</v>
      </c>
      <c r="H29" s="27">
        <v>0.34941644290166396</v>
      </c>
      <c r="I29" s="59">
        <f>(B29/('Consumidores Inadimplentes'!B65*1000000))</f>
        <v>1.3056107965587406E-2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805229</v>
      </c>
      <c r="C30" s="30">
        <v>3085023</v>
      </c>
      <c r="D30" s="30">
        <v>2567127712.4099984</v>
      </c>
      <c r="E30" s="34">
        <f t="shared" si="0"/>
        <v>3.8312368282811473</v>
      </c>
      <c r="F30" s="43">
        <f t="shared" si="2"/>
        <v>3188.0716074681841</v>
      </c>
      <c r="G30" s="43">
        <f t="shared" si="3"/>
        <v>832.12595575786577</v>
      </c>
      <c r="H30" s="27">
        <v>0.34988370218547776</v>
      </c>
      <c r="I30" s="59">
        <f>(B30/('Consumidores Inadimplentes'!B66*1000000))</f>
        <v>1.2871856285817045E-2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818914</v>
      </c>
      <c r="C31" s="30">
        <v>3070940</v>
      </c>
      <c r="D31" s="30">
        <v>2624141755.2600017</v>
      </c>
      <c r="E31" s="34">
        <f t="shared" si="0"/>
        <v>3.7500152641180882</v>
      </c>
      <c r="F31" s="43">
        <f t="shared" si="2"/>
        <v>3204.4167705766436</v>
      </c>
      <c r="G31" s="43">
        <f t="shared" si="3"/>
        <v>854.50766060554793</v>
      </c>
      <c r="H31" s="27">
        <v>0.35561555961919517</v>
      </c>
      <c r="I31" s="59">
        <f>(B31/('Consumidores Inadimplentes'!B67*1000000))</f>
        <v>1.3002438237013201E-2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819544</v>
      </c>
      <c r="C32" s="30">
        <v>3043961</v>
      </c>
      <c r="D32" s="30">
        <v>2645020403.3299994</v>
      </c>
      <c r="E32" s="34">
        <f t="shared" si="0"/>
        <v>3.71421302578019</v>
      </c>
      <c r="F32" s="43">
        <f t="shared" si="2"/>
        <v>3227.4294038270054</v>
      </c>
      <c r="G32" s="43">
        <f t="shared" si="3"/>
        <v>868.94030617672149</v>
      </c>
      <c r="H32" s="27">
        <v>0.35567460407013984</v>
      </c>
      <c r="I32" s="59">
        <f>(B32/('Consumidores Inadimplentes'!B68*1000000))</f>
        <v>1.3100378116237994E-2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814656</v>
      </c>
      <c r="C33" s="30">
        <v>2982158</v>
      </c>
      <c r="D33" s="30">
        <v>2608133031.4599962</v>
      </c>
      <c r="E33" s="34">
        <f t="shared" si="0"/>
        <v>3.6606346727944064</v>
      </c>
      <c r="F33" s="43">
        <f t="shared" si="2"/>
        <v>3201.5145428990841</v>
      </c>
      <c r="G33" s="43">
        <f t="shared" si="3"/>
        <v>874.57909053108392</v>
      </c>
      <c r="H33" s="27">
        <v>0.35334010529210363</v>
      </c>
      <c r="I33" s="59">
        <f>(B33/('Consumidores Inadimplentes'!B69*1000000))</f>
        <v>1.3032529234948095E-2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812282</v>
      </c>
      <c r="C34" s="30">
        <v>2914439</v>
      </c>
      <c r="D34" s="30">
        <v>2609068664.4300056</v>
      </c>
      <c r="E34" s="34">
        <f>C34/B34</f>
        <v>3.5879645246355332</v>
      </c>
      <c r="F34" s="43">
        <f t="shared" si="2"/>
        <v>3212.023243688775</v>
      </c>
      <c r="G34" s="43">
        <f t="shared" si="3"/>
        <v>895.221572463862</v>
      </c>
      <c r="H34" s="27">
        <v>0.35231043214176355</v>
      </c>
      <c r="I34" s="59">
        <f>(B34/('Consumidores Inadimplentes'!B70*1000000))</f>
        <v>1.3054213293697445E-2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818717</v>
      </c>
      <c r="C35" s="30">
        <v>2876398</v>
      </c>
      <c r="D35" s="30">
        <v>2626443293.9400067</v>
      </c>
      <c r="E35" s="34">
        <f>C35/B35</f>
        <v>3.5132994673373097</v>
      </c>
      <c r="F35" s="43">
        <f t="shared" si="2"/>
        <v>3207.9989714883245</v>
      </c>
      <c r="G35" s="43">
        <f t="shared" si="3"/>
        <v>913.10148802078379</v>
      </c>
      <c r="H35" s="27">
        <v>0.35491444645636966</v>
      </c>
      <c r="I35" s="59">
        <f>(B35/('Consumidores Inadimplentes'!B71*1000000))</f>
        <v>1.3152343368152504E-2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818313</v>
      </c>
      <c r="C36" s="30">
        <v>2819274</v>
      </c>
      <c r="D36" s="30">
        <v>2646623649.4300056</v>
      </c>
      <c r="E36" s="34">
        <f>C36/B36</f>
        <v>3.4452269486125724</v>
      </c>
      <c r="F36" s="43">
        <f t="shared" si="2"/>
        <v>3234.2436811220223</v>
      </c>
      <c r="G36" s="43">
        <f t="shared" si="3"/>
        <v>938.76070556817308</v>
      </c>
      <c r="H36" s="27">
        <v>0.35455256809311547</v>
      </c>
      <c r="I36" s="59">
        <f>(B36/('Consumidores Inadimplentes'!B72*1000000))</f>
        <v>1.3153985668282745E-2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859565</v>
      </c>
      <c r="C37" s="30">
        <v>2880940</v>
      </c>
      <c r="D37" s="30">
        <v>2787661399.5099988</v>
      </c>
      <c r="E37" s="34">
        <f>C37/B37</f>
        <v>3.3516255315188497</v>
      </c>
      <c r="F37" s="43">
        <f t="shared" si="2"/>
        <v>3243.1071524666531</v>
      </c>
      <c r="G37" s="43">
        <f t="shared" si="3"/>
        <v>967.6221648177326</v>
      </c>
      <c r="H37" s="27">
        <v>0.37222981493414259</v>
      </c>
      <c r="I37" s="59">
        <f>(B37/('Consumidores Inadimplentes'!B73*1000000))</f>
        <v>1.3556729233666793E-2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866051</v>
      </c>
      <c r="C38" s="30">
        <v>2857521</v>
      </c>
      <c r="D38" s="30">
        <v>2830800617.5099983</v>
      </c>
      <c r="E38" s="34">
        <f t="shared" ref="E38:E47" si="4">C38/B38</f>
        <v>3.2994835177143149</v>
      </c>
      <c r="F38" s="43">
        <f t="shared" si="2"/>
        <v>3268.6303895613519</v>
      </c>
      <c r="G38" s="43">
        <f t="shared" si="3"/>
        <v>990.64910371962208</v>
      </c>
      <c r="H38" s="27">
        <v>0.37484099410980293</v>
      </c>
      <c r="I38" s="59">
        <f>(B38/('Consumidores Inadimplentes'!B74*1000000))</f>
        <v>1.3475267571779968E-2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866685</v>
      </c>
      <c r="C39" s="31">
        <v>2805735</v>
      </c>
      <c r="D39" s="31">
        <v>2803339077.3399982</v>
      </c>
      <c r="E39" s="35">
        <f t="shared" si="4"/>
        <v>3.2373180567334154</v>
      </c>
      <c r="F39" s="46">
        <f t="shared" si="2"/>
        <v>3234.5535890663832</v>
      </c>
      <c r="G39" s="46">
        <f t="shared" si="3"/>
        <v>999.14606238294004</v>
      </c>
      <c r="H39" s="28">
        <v>0.37491791634258581</v>
      </c>
      <c r="I39" s="59">
        <f>(B39/('Consumidores Inadimplentes'!B75*1000000))</f>
        <v>1.3548123024901309E-2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882044</v>
      </c>
      <c r="C40" s="29">
        <v>2825779</v>
      </c>
      <c r="D40" s="29">
        <v>2900314378.7599974</v>
      </c>
      <c r="E40" s="33">
        <f t="shared" si="4"/>
        <v>3.2036712454253982</v>
      </c>
      <c r="F40" s="45">
        <f t="shared" si="2"/>
        <v>3288.174262009602</v>
      </c>
      <c r="G40" s="45">
        <f t="shared" si="3"/>
        <v>1026.3769313736132</v>
      </c>
      <c r="H40" s="26">
        <v>0.38136110587474337</v>
      </c>
      <c r="I40" s="59">
        <f>(B40/('Consumidores Inadimplentes'!B76*1000000))</f>
        <v>1.3608127269200163E-2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888974</v>
      </c>
      <c r="C41" s="30">
        <v>2822291</v>
      </c>
      <c r="D41" s="30">
        <v>2940072533.7000012</v>
      </c>
      <c r="E41" s="34">
        <f t="shared" si="4"/>
        <v>3.1747733904478648</v>
      </c>
      <c r="F41" s="43">
        <f t="shared" si="2"/>
        <v>3307.2649297954736</v>
      </c>
      <c r="G41" s="43">
        <f t="shared" si="3"/>
        <v>1041.7325972764684</v>
      </c>
      <c r="H41" s="27">
        <v>0.38415489716749862</v>
      </c>
      <c r="I41" s="59">
        <f>(B41/('Consumidores Inadimplentes'!B77*1000000))</f>
        <v>1.3641025770078374E-2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883782</v>
      </c>
      <c r="C42" s="30">
        <v>2780006</v>
      </c>
      <c r="D42" s="30">
        <v>2943960445.3500051</v>
      </c>
      <c r="E42" s="34">
        <f t="shared" si="4"/>
        <v>3.1455788871011179</v>
      </c>
      <c r="F42" s="43">
        <f t="shared" si="2"/>
        <v>3331.0934657528724</v>
      </c>
      <c r="G42" s="43">
        <f t="shared" si="3"/>
        <v>1058.9762919036882</v>
      </c>
      <c r="H42" s="27">
        <v>0.38171018977058052</v>
      </c>
      <c r="I42" s="59">
        <f>(B42/('Consumidores Inadimplentes'!B78*1000000))</f>
        <v>1.3453013093345444E-2</v>
      </c>
    </row>
    <row r="43" spans="1:16" x14ac:dyDescent="0.35">
      <c r="A43" s="5">
        <v>44652</v>
      </c>
      <c r="B43" s="30">
        <v>888501</v>
      </c>
      <c r="C43" s="30">
        <v>2777853</v>
      </c>
      <c r="D43" s="30">
        <v>2985674380.8500013</v>
      </c>
      <c r="E43" s="34">
        <f t="shared" si="4"/>
        <v>3.1264489291514583</v>
      </c>
      <c r="F43" s="43">
        <f t="shared" si="2"/>
        <v>3360.3500512098481</v>
      </c>
      <c r="G43" s="43">
        <f t="shared" si="3"/>
        <v>1074.8136711517857</v>
      </c>
      <c r="H43" s="27">
        <v>0.38354625126589548</v>
      </c>
      <c r="I43" s="59">
        <f>(B43/('Consumidores Inadimplentes'!B79*1000000))</f>
        <v>1.3435129717278917E-2</v>
      </c>
    </row>
    <row r="44" spans="1:16" x14ac:dyDescent="0.35">
      <c r="A44" s="5">
        <v>44682</v>
      </c>
      <c r="B44" s="30">
        <v>894071</v>
      </c>
      <c r="C44" s="30">
        <v>2769885</v>
      </c>
      <c r="D44" s="30">
        <v>3044876558.2199988</v>
      </c>
      <c r="E44" s="34">
        <f t="shared" si="4"/>
        <v>3.0980593263845937</v>
      </c>
      <c r="F44" s="43">
        <f t="shared" si="2"/>
        <v>3405.6317207693783</v>
      </c>
      <c r="G44" s="43">
        <f t="shared" si="3"/>
        <v>1099.2790524588561</v>
      </c>
      <c r="H44" s="27">
        <v>0.38574754439843262</v>
      </c>
      <c r="I44" s="59">
        <f>(B44/('Consumidores Inadimplentes'!B80*1000000))</f>
        <v>1.342855878638779E-2</v>
      </c>
    </row>
    <row r="45" spans="1:16" x14ac:dyDescent="0.35">
      <c r="A45" s="5">
        <v>44713</v>
      </c>
      <c r="B45" s="30">
        <v>905235</v>
      </c>
      <c r="C45" s="30">
        <v>2763131</v>
      </c>
      <c r="D45" s="30">
        <v>3128880532.3800001</v>
      </c>
      <c r="E45" s="34">
        <f t="shared" si="4"/>
        <v>3.0523908156445563</v>
      </c>
      <c r="F45" s="43">
        <f t="shared" si="2"/>
        <v>3456.4290293459712</v>
      </c>
      <c r="G45" s="43">
        <f t="shared" si="3"/>
        <v>1132.3677858125438</v>
      </c>
      <c r="H45" s="27">
        <v>0.39035861841160541</v>
      </c>
      <c r="I45" s="59">
        <f>(B45/('Consumidores Inadimplentes'!B81*1000000))</f>
        <v>1.3547644837049551E-2</v>
      </c>
    </row>
    <row r="46" spans="1:16" x14ac:dyDescent="0.35">
      <c r="A46" s="5">
        <v>44743</v>
      </c>
      <c r="B46" s="30">
        <v>921673</v>
      </c>
      <c r="C46" s="30">
        <v>2781375</v>
      </c>
      <c r="D46" s="30">
        <v>3221941535.5699801</v>
      </c>
      <c r="E46" s="34">
        <f t="shared" si="4"/>
        <v>3.0177459901722195</v>
      </c>
      <c r="F46" s="43">
        <f t="shared" si="2"/>
        <v>3495.7534131627813</v>
      </c>
      <c r="G46" s="43">
        <f t="shared" ref="G46:G47" si="5">F46/E46</f>
        <v>1158.3988263251019</v>
      </c>
      <c r="H46" s="27">
        <v>0.3972377440786482</v>
      </c>
      <c r="I46" s="59">
        <f>(B46/('Consumidores Inadimplentes'!B82*1000000))</f>
        <v>1.3627706730434629E-2</v>
      </c>
    </row>
    <row r="47" spans="1:16" x14ac:dyDescent="0.35">
      <c r="A47" s="5">
        <v>44774</v>
      </c>
      <c r="B47" s="30">
        <v>927086</v>
      </c>
      <c r="C47" s="30">
        <v>2768306</v>
      </c>
      <c r="D47" s="30">
        <v>3241761004.4899802</v>
      </c>
      <c r="E47" s="34">
        <f t="shared" si="4"/>
        <v>2.9860293435560457</v>
      </c>
      <c r="F47" s="43">
        <f t="shared" si="2"/>
        <v>3496.7209131515092</v>
      </c>
      <c r="G47" s="43">
        <f t="shared" si="5"/>
        <v>1171.0269762410585</v>
      </c>
      <c r="H47" s="27">
        <v>0.39936262984543042</v>
      </c>
      <c r="I47" s="59">
        <f>(B47/('Consumidores Inadimplentes'!B83*1000000))</f>
        <v>1.3638382857916489E-2</v>
      </c>
    </row>
    <row r="48" spans="1:16" x14ac:dyDescent="0.35">
      <c r="A48" s="5">
        <v>44805</v>
      </c>
      <c r="B48" s="30">
        <v>946322</v>
      </c>
      <c r="C48" s="30">
        <v>2808679</v>
      </c>
      <c r="D48" s="30">
        <v>3346393625.6799898</v>
      </c>
      <c r="E48" s="34">
        <f t="shared" ref="E48" si="6">C48/B48</f>
        <v>2.9679950376298976</v>
      </c>
      <c r="F48" s="43">
        <f t="shared" ref="F48" si="7">D48/B48</f>
        <v>3536.2103234205588</v>
      </c>
      <c r="G48" s="43">
        <f t="shared" ref="G48" si="8">F48/E48</f>
        <v>1191.4475188086606</v>
      </c>
      <c r="H48" s="27">
        <v>0.40743658896145052</v>
      </c>
      <c r="I48" s="59">
        <f>(B48/('Consumidores Inadimplentes'!B84*1000000))</f>
        <v>1.3837534683874371E-2</v>
      </c>
    </row>
    <row r="49" spans="1:16" x14ac:dyDescent="0.35">
      <c r="A49" s="5">
        <v>44835</v>
      </c>
      <c r="B49" s="30">
        <v>936250</v>
      </c>
      <c r="C49" s="30">
        <v>2760925</v>
      </c>
      <c r="D49" s="30">
        <v>3383951568.1000004</v>
      </c>
      <c r="E49" s="34">
        <f t="shared" ref="E49" si="9">C49/B49</f>
        <v>2.9489185580774366</v>
      </c>
      <c r="F49" s="43">
        <f t="shared" ref="F49" si="10">D49/B49</f>
        <v>3614.3674959679579</v>
      </c>
      <c r="G49" s="43">
        <f t="shared" ref="G49" si="11">F49/E49</f>
        <v>1225.6586354573196</v>
      </c>
      <c r="H49" s="27">
        <v>0.40289022365625082</v>
      </c>
      <c r="I49" s="59">
        <f>(B49/('Consumidores Inadimplentes'!B85*1000000))</f>
        <v>1.3557711466992892E-2</v>
      </c>
    </row>
    <row r="50" spans="1:16" x14ac:dyDescent="0.35">
      <c r="A50" s="5">
        <v>44866</v>
      </c>
      <c r="B50" s="30">
        <v>938488</v>
      </c>
      <c r="C50" s="30">
        <v>2769166</v>
      </c>
      <c r="D50" s="30">
        <v>3487099631.0799875</v>
      </c>
      <c r="E50" s="34">
        <f t="shared" ref="E50" si="12">C50/B50</f>
        <v>2.9506674565897488</v>
      </c>
      <c r="F50" s="43">
        <f t="shared" ref="F50" si="13">D50/B50</f>
        <v>3715.6571326218209</v>
      </c>
      <c r="G50" s="43">
        <f t="shared" ref="G50" si="14">F50/E50</f>
        <v>1259.2598750237389</v>
      </c>
      <c r="H50" s="27">
        <v>0.4036429402441673</v>
      </c>
      <c r="I50" s="59">
        <f>(B50/('Consumidores Inadimplentes'!B86*1000000))</f>
        <v>1.3438696158593019E-2</v>
      </c>
    </row>
    <row r="51" spans="1:16" ht="15" thickBot="1" x14ac:dyDescent="0.4">
      <c r="A51" s="12">
        <v>44896</v>
      </c>
      <c r="B51" s="31">
        <v>934240</v>
      </c>
      <c r="C51" s="31">
        <v>2744983</v>
      </c>
      <c r="D51" s="31">
        <v>3500938791.4799962</v>
      </c>
      <c r="E51" s="35">
        <f t="shared" ref="E51" si="15">C51/B51</f>
        <v>2.9381989638636754</v>
      </c>
      <c r="F51" s="46">
        <f t="shared" ref="F51" si="16">D51/B51</f>
        <v>3747.3655500513746</v>
      </c>
      <c r="G51" s="46">
        <f t="shared" ref="G51" si="17">F51/E51</f>
        <v>1275.3954365036127</v>
      </c>
      <c r="H51" s="28">
        <v>0.40160652928717677</v>
      </c>
      <c r="I51" s="59">
        <f>(B51/('Consumidores Inadimplentes'!B87*1000000))</f>
        <v>1.3455987381468658E-2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952347</v>
      </c>
      <c r="C52" s="29">
        <v>2832103</v>
      </c>
      <c r="D52" s="29">
        <v>3660004747.4700007</v>
      </c>
      <c r="E52" s="33">
        <f t="shared" ref="E52" si="18">C52/B52</f>
        <v>2.973814166475035</v>
      </c>
      <c r="F52" s="45">
        <f t="shared" ref="F52" si="19">D52/B52</f>
        <v>3843.1419928555461</v>
      </c>
      <c r="G52" s="45">
        <f t="shared" ref="G52" si="20">F52/E52</f>
        <v>1292.3275556962442</v>
      </c>
      <c r="H52" s="26">
        <v>0.40917709322873902</v>
      </c>
      <c r="I52" s="59">
        <f>(B52/('Consumidores Inadimplentes'!B88*1000000))</f>
        <v>1.3586910426132992E-2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964745</v>
      </c>
      <c r="C53" s="30">
        <v>2855328</v>
      </c>
      <c r="D53" s="30">
        <v>3722682035.849977</v>
      </c>
      <c r="E53" s="34">
        <f t="shared" ref="E53" si="21">C53/B53</f>
        <v>2.9596712084540475</v>
      </c>
      <c r="F53" s="43">
        <f t="shared" ref="F53" si="22">D53/B53</f>
        <v>3858.721253647313</v>
      </c>
      <c r="G53" s="43">
        <f t="shared" ref="G53" si="23">F53/E53</f>
        <v>1303.7668652603052</v>
      </c>
      <c r="H53" s="27">
        <v>0.4142879963859385</v>
      </c>
      <c r="I53" s="59">
        <f>(B53/('Consumidores Inadimplentes'!B89*1000000))</f>
        <v>1.3679098303196009E-2</v>
      </c>
    </row>
    <row r="54" spans="1:16" x14ac:dyDescent="0.35">
      <c r="A54" s="5">
        <v>44986</v>
      </c>
      <c r="B54" s="30">
        <v>968772</v>
      </c>
      <c r="C54" s="30">
        <v>2864729</v>
      </c>
      <c r="D54" s="30">
        <v>3798837941.880013</v>
      </c>
      <c r="E54" s="34">
        <f t="shared" ref="E54" si="24">C54/B54</f>
        <v>2.9570724587415822</v>
      </c>
      <c r="F54" s="43">
        <f t="shared" ref="F54" si="25">D54/B54</f>
        <v>3921.2920500179744</v>
      </c>
      <c r="G54" s="43">
        <f t="shared" ref="G54" si="26">F54/E54</f>
        <v>1326.072358634975</v>
      </c>
      <c r="H54" s="27">
        <v>0.41580071204925545</v>
      </c>
      <c r="I54" s="59">
        <f>(B54/('Consumidores Inadimplentes'!B90*1000000))</f>
        <v>1.3701140773149944E-2</v>
      </c>
    </row>
    <row r="55" spans="1:16" x14ac:dyDescent="0.35">
      <c r="A55" s="5">
        <v>45017</v>
      </c>
      <c r="B55" s="30">
        <v>981562</v>
      </c>
      <c r="C55" s="30">
        <v>2895200</v>
      </c>
      <c r="D55" s="30">
        <v>3871883472.3900037</v>
      </c>
      <c r="E55" s="34">
        <f t="shared" ref="E55" si="27">C55/B55</f>
        <v>2.9495844378653615</v>
      </c>
      <c r="F55" s="43">
        <f t="shared" ref="F55" si="28">D55/B55</f>
        <v>3944.614270305904</v>
      </c>
      <c r="G55" s="43">
        <f t="shared" ref="G55" si="29">F55/E55</f>
        <v>1337.3457696843063</v>
      </c>
      <c r="H55" s="27">
        <v>0.42107082937777685</v>
      </c>
      <c r="I55" s="59">
        <f>(B55/('Consumidores Inadimplentes'!B91*1000000))</f>
        <v>1.3739751198971282E-2</v>
      </c>
    </row>
    <row r="56" spans="1:16" x14ac:dyDescent="0.35">
      <c r="A56" s="5">
        <v>45047</v>
      </c>
      <c r="B56" s="30">
        <v>989208</v>
      </c>
      <c r="C56" s="30">
        <v>2914544</v>
      </c>
      <c r="D56" s="30">
        <v>3957355194.699995</v>
      </c>
      <c r="E56" s="34">
        <f t="shared" ref="E56" si="30">C56/B56</f>
        <v>2.9463409111127286</v>
      </c>
      <c r="F56" s="43">
        <f t="shared" ref="F56" si="31">D56/B56</f>
        <v>4000.5289026170381</v>
      </c>
      <c r="G56" s="43">
        <f t="shared" ref="G56" si="32">F56/E56</f>
        <v>1357.7956602130539</v>
      </c>
      <c r="H56" s="27">
        <v>0.42412975212706294</v>
      </c>
      <c r="I56" s="59">
        <f>(B56/('Consumidores Inadimplentes'!B92*1000000))</f>
        <v>1.3757424630936982E-2</v>
      </c>
    </row>
    <row r="57" spans="1:16" x14ac:dyDescent="0.35">
      <c r="A57" s="5">
        <v>45078</v>
      </c>
      <c r="B57" s="30">
        <v>983713</v>
      </c>
      <c r="C57" s="30">
        <v>2868428</v>
      </c>
      <c r="D57" s="30">
        <v>3974166147.8400111</v>
      </c>
      <c r="E57" s="34">
        <f t="shared" ref="E57" si="33">C57/B57</f>
        <v>2.9159195822358757</v>
      </c>
      <c r="F57" s="43">
        <f t="shared" ref="F57" si="34">D57/B57</f>
        <v>4039.9650587519031</v>
      </c>
      <c r="G57" s="43">
        <f t="shared" ref="G57" si="35">F57/E57</f>
        <v>1385.4857600888051</v>
      </c>
      <c r="H57" s="27">
        <v>0.42155412872893916</v>
      </c>
      <c r="I57" s="59">
        <f>(B57/('Consumidores Inadimplentes'!B93*1000000))</f>
        <v>1.3767170704250962E-2</v>
      </c>
    </row>
    <row r="58" spans="1:16" x14ac:dyDescent="0.35">
      <c r="A58" s="5">
        <v>45108</v>
      </c>
      <c r="B58" s="30">
        <v>977756</v>
      </c>
      <c r="C58" s="30">
        <v>2831952</v>
      </c>
      <c r="D58" s="30">
        <v>4076221748.6799889</v>
      </c>
      <c r="E58" s="34">
        <f t="shared" ref="E58" si="36">C58/B58</f>
        <v>2.8963790557153319</v>
      </c>
      <c r="F58" s="43">
        <f t="shared" ref="F58" si="37">D58/B58</f>
        <v>4168.9560060792146</v>
      </c>
      <c r="G58" s="43">
        <f t="shared" ref="G58" si="38">F58/E58</f>
        <v>1439.368233882491</v>
      </c>
      <c r="H58" s="27">
        <v>0.4187831271375369</v>
      </c>
      <c r="I58" s="59">
        <f>(B58/('Consumidores Inadimplentes'!B94*1000000))</f>
        <v>1.3690411040114947E-2</v>
      </c>
    </row>
    <row r="59" spans="1:16" x14ac:dyDescent="0.35">
      <c r="A59" s="5">
        <v>45139</v>
      </c>
      <c r="B59" s="30">
        <v>973733</v>
      </c>
      <c r="C59" s="30">
        <v>2809425</v>
      </c>
      <c r="D59" s="30">
        <v>4071302751.0499916</v>
      </c>
      <c r="E59" s="34">
        <f t="shared" ref="E59" si="39">C59/B59</f>
        <v>2.8852108329490731</v>
      </c>
      <c r="F59" s="43">
        <f t="shared" ref="F59" si="40">D59/B59</f>
        <v>4181.1284521013376</v>
      </c>
      <c r="G59" s="43">
        <f t="shared" ref="G59" si="41">F59/E59</f>
        <v>1449.158725023801</v>
      </c>
      <c r="H59" s="27">
        <v>0.41683668620714159</v>
      </c>
      <c r="I59" s="59">
        <f>(B59/('Consumidores Inadimplentes'!B95*1000000))</f>
        <v>1.357325969163692E-2</v>
      </c>
    </row>
    <row r="60" spans="1:16" x14ac:dyDescent="0.35">
      <c r="A60" s="5">
        <v>45170</v>
      </c>
      <c r="B60" s="30">
        <v>990810</v>
      </c>
      <c r="C60" s="30">
        <v>2870410</v>
      </c>
      <c r="D60" s="30">
        <v>4341010361.529994</v>
      </c>
      <c r="E60" s="34">
        <f t="shared" ref="E60" si="42">C60/B60</f>
        <v>2.8970337400712549</v>
      </c>
      <c r="F60" s="43">
        <f t="shared" ref="F60" si="43">D60/B60</f>
        <v>4381.2742720905062</v>
      </c>
      <c r="G60" s="43">
        <f t="shared" ref="G60" si="44">F60/E60</f>
        <v>1512.3311169937376</v>
      </c>
      <c r="H60" s="27">
        <v>0.423919823998891</v>
      </c>
      <c r="I60" s="59">
        <f>(B60/('Consumidores Inadimplentes'!B96*1000000))</f>
        <v>1.3795326564232992E-2</v>
      </c>
    </row>
    <row r="61" spans="1:16" x14ac:dyDescent="0.35">
      <c r="A61" s="5">
        <v>45200</v>
      </c>
      <c r="B61" s="30">
        <v>992002</v>
      </c>
      <c r="C61" s="30">
        <v>2858700</v>
      </c>
      <c r="D61" s="30">
        <v>4427723193.2399979</v>
      </c>
      <c r="E61" s="34">
        <f t="shared" ref="E61" si="45">C61/B61</f>
        <v>2.8817482222818098</v>
      </c>
      <c r="F61" s="43">
        <f t="shared" ref="F61" si="46">D61/B61</f>
        <v>4463.4216395128215</v>
      </c>
      <c r="G61" s="43">
        <f t="shared" ref="G61" si="47">F61/E61</f>
        <v>1548.85898948473</v>
      </c>
      <c r="H61" s="27">
        <v>0.42420240913983298</v>
      </c>
      <c r="I61" s="59">
        <f>(B61/('Consumidores Inadimplentes'!B97*1000000))</f>
        <v>1.3786898398018449E-2</v>
      </c>
    </row>
    <row r="62" spans="1:16" x14ac:dyDescent="0.35">
      <c r="A62" s="5">
        <v>45231</v>
      </c>
      <c r="B62" s="30">
        <v>992588</v>
      </c>
      <c r="C62" s="30">
        <v>2849267</v>
      </c>
      <c r="D62" s="30">
        <v>4499260058.4600077</v>
      </c>
      <c r="E62" s="34">
        <f t="shared" ref="E62" si="48">C62/B62</f>
        <v>2.8705434681861961</v>
      </c>
      <c r="F62" s="43">
        <f t="shared" ref="F62" si="49">D62/B62</f>
        <v>4532.8575989836745</v>
      </c>
      <c r="G62" s="43">
        <f t="shared" ref="G62" si="50">F62/E62</f>
        <v>1579.0938716729627</v>
      </c>
      <c r="H62" s="27">
        <v>0.42422569113808062</v>
      </c>
      <c r="I62" s="59">
        <f>(B62/('Consumidores Inadimplentes'!B98*1000000))</f>
        <v>1.3822628163743446E-2</v>
      </c>
    </row>
    <row r="63" spans="1:16" ht="15" thickBot="1" x14ac:dyDescent="0.4">
      <c r="A63" s="12">
        <v>45261</v>
      </c>
      <c r="B63" s="31">
        <v>974521</v>
      </c>
      <c r="C63" s="31">
        <v>2746422</v>
      </c>
      <c r="D63" s="31">
        <v>4178925291.6400213</v>
      </c>
      <c r="E63" s="35">
        <f t="shared" ref="E63" si="51">C63/B63</f>
        <v>2.8182276215699815</v>
      </c>
      <c r="F63" s="46">
        <f t="shared" ref="F63" si="52">D63/B63</f>
        <v>4288.1839299922949</v>
      </c>
      <c r="G63" s="46">
        <f t="shared" ref="G63" si="53">F63/E63</f>
        <v>1521.5889224744126</v>
      </c>
      <c r="H63" s="28">
        <v>0.41628086584554241</v>
      </c>
      <c r="I63" s="59">
        <f>(B63/('Consumidores Inadimplentes'!B99*1000000))</f>
        <v>1.3705873015129622E-2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1013808</v>
      </c>
      <c r="C64" s="29">
        <v>2855623</v>
      </c>
      <c r="D64" s="29">
        <v>4475095786.7100191</v>
      </c>
      <c r="E64" s="33">
        <f t="shared" ref="E64" si="54">C64/B64</f>
        <v>2.8167295977147546</v>
      </c>
      <c r="F64" s="45">
        <f t="shared" ref="F64" si="55">D64/B64</f>
        <v>4414.145268837905</v>
      </c>
      <c r="G64" s="45">
        <f t="shared" ref="G64" si="56">F64/E64</f>
        <v>1567.1171533182142</v>
      </c>
      <c r="H64" s="26">
        <v>0.43283084422695389</v>
      </c>
      <c r="I64" s="59">
        <f>(B64/('Consumidores Inadimplentes'!B100*1000000))</f>
        <v>1.4067026340125525E-2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1018513</v>
      </c>
      <c r="C65" s="30">
        <v>2859827</v>
      </c>
      <c r="D65" s="30">
        <v>4472231073.2100334</v>
      </c>
      <c r="E65" s="34">
        <f t="shared" ref="E65" si="57">C65/B65</f>
        <v>2.8078453588712171</v>
      </c>
      <c r="F65" s="43">
        <f t="shared" ref="F65" si="58">D65/B65</f>
        <v>4390.9415718896407</v>
      </c>
      <c r="G65" s="43">
        <f t="shared" ref="G65" si="59">F65/E65</f>
        <v>1563.8117526724636</v>
      </c>
      <c r="H65" s="27">
        <v>0.43460671261448552</v>
      </c>
      <c r="I65" s="59">
        <f>(B65/('Consumidores Inadimplentes'!B101*1000000))</f>
        <v>1.4138303996807962E-2</v>
      </c>
    </row>
    <row r="66" spans="1:16" x14ac:dyDescent="0.35">
      <c r="A66" s="5">
        <v>45352</v>
      </c>
      <c r="B66" s="30">
        <v>996262</v>
      </c>
      <c r="C66" s="30">
        <v>2796633</v>
      </c>
      <c r="D66" s="30">
        <v>4448900431.0400114</v>
      </c>
      <c r="E66" s="34">
        <f t="shared" ref="E66" si="60">C66/B66</f>
        <v>2.8071260371267801</v>
      </c>
      <c r="F66" s="43">
        <f t="shared" ref="F66" si="61">D66/B66</f>
        <v>4465.5928169899198</v>
      </c>
      <c r="G66" s="43">
        <f t="shared" ref="G66" si="62">F66/E66</f>
        <v>1590.8059552469026</v>
      </c>
      <c r="H66" s="27">
        <v>0.42488433902653722</v>
      </c>
      <c r="I66" s="59">
        <f>(B66/('Consumidores Inadimplentes'!B102*1000000))</f>
        <v>1.3667116351105383E-2</v>
      </c>
    </row>
    <row r="67" spans="1:16" x14ac:dyDescent="0.35">
      <c r="A67" s="5">
        <v>45383</v>
      </c>
      <c r="B67" s="30">
        <v>1002815</v>
      </c>
      <c r="C67" s="30">
        <v>2818337</v>
      </c>
      <c r="D67" s="30">
        <v>4489463563.7700281</v>
      </c>
      <c r="E67" s="34">
        <f t="shared" ref="E67" si="63">C67/B67</f>
        <v>2.8104256517902106</v>
      </c>
      <c r="F67" s="43">
        <f t="shared" ref="F67" si="64">D67/B67</f>
        <v>4476.8611994934545</v>
      </c>
      <c r="G67" s="43">
        <f t="shared" ref="G67" si="65">F67/E67</f>
        <v>1592.9477432152466</v>
      </c>
      <c r="H67" s="27">
        <v>0.42744990390193521</v>
      </c>
      <c r="I67" s="59">
        <f>(B67/('Consumidores Inadimplentes'!B103*1000000))</f>
        <v>1.3658648192154855E-2</v>
      </c>
    </row>
    <row r="68" spans="1:16" x14ac:dyDescent="0.35">
      <c r="A68" s="5">
        <v>45413</v>
      </c>
      <c r="B68" s="30">
        <v>997960</v>
      </c>
      <c r="C68" s="30">
        <v>2812134</v>
      </c>
      <c r="D68" s="30">
        <v>4520682352.3899727</v>
      </c>
      <c r="E68" s="34">
        <f t="shared" ref="E68" si="66">C68/B68</f>
        <v>2.8178824802597298</v>
      </c>
      <c r="F68" s="43">
        <f t="shared" ref="F68" si="67">D68/B68</f>
        <v>4529.9233961180535</v>
      </c>
      <c r="G68" s="43">
        <f t="shared" ref="G68" si="68">F68/E68</f>
        <v>1607.5629228159016</v>
      </c>
      <c r="H68" s="27">
        <v>0.42515266489384818</v>
      </c>
      <c r="I68" s="59">
        <f>(B68/('Consumidores Inadimplentes'!B104*1000000))</f>
        <v>1.3758256611779362E-2</v>
      </c>
    </row>
    <row r="69" spans="1:16" x14ac:dyDescent="0.35">
      <c r="A69" s="5">
        <v>45444</v>
      </c>
      <c r="B69" s="30">
        <v>1001211</v>
      </c>
      <c r="C69" s="30">
        <v>2838976</v>
      </c>
      <c r="D69" s="30">
        <v>4613548999.0100002</v>
      </c>
      <c r="E69" s="34">
        <f t="shared" ref="E69" si="69">C69/B69</f>
        <v>2.8355421584461218</v>
      </c>
      <c r="F69" s="43">
        <f t="shared" ref="F69" si="70">D69/B69</f>
        <v>4607.9687488551363</v>
      </c>
      <c r="G69" s="43">
        <f t="shared" ref="G69" si="71">F69/E69</f>
        <v>1625.0750267032902</v>
      </c>
      <c r="H69" s="27">
        <v>0.4263091874326182</v>
      </c>
      <c r="I69" s="59">
        <f>(B69/('Consumidores Inadimplentes'!B105*1000000))</f>
        <v>1.380959127645069E-2</v>
      </c>
    </row>
    <row r="70" spans="1:16" x14ac:dyDescent="0.35">
      <c r="A70" s="5">
        <v>45474</v>
      </c>
      <c r="B70" s="30">
        <v>1005532</v>
      </c>
      <c r="C70" s="30">
        <v>2782680</v>
      </c>
      <c r="D70" s="30">
        <v>4491558393.0900002</v>
      </c>
      <c r="E70" s="34">
        <f t="shared" ref="E70" si="72">C70/B70</f>
        <v>2.7673709041581969</v>
      </c>
      <c r="F70" s="43">
        <f t="shared" ref="F70" si="73">D70/B70</f>
        <v>4466.8477911095815</v>
      </c>
      <c r="G70" s="43">
        <f t="shared" ref="G70" si="74">F70/E70</f>
        <v>1614.1124358855491</v>
      </c>
      <c r="H70" s="27">
        <v>0.42791964473798999</v>
      </c>
      <c r="I70" s="59">
        <f>(B70/('Consumidores Inadimplentes'!B106*1000000))</f>
        <v>1.3838076346483175E-2</v>
      </c>
    </row>
    <row r="71" spans="1:16" x14ac:dyDescent="0.35">
      <c r="A71" s="5">
        <v>45505</v>
      </c>
      <c r="B71" s="30">
        <v>996025</v>
      </c>
      <c r="C71" s="30">
        <v>2751987</v>
      </c>
      <c r="D71" s="30">
        <v>4461241525.5000134</v>
      </c>
      <c r="E71" s="34">
        <f t="shared" ref="E71" si="75">C71/B71</f>
        <v>2.7629698049747748</v>
      </c>
      <c r="F71" s="43">
        <f t="shared" ref="F71" si="76">D71/B71</f>
        <v>4479.0457322858492</v>
      </c>
      <c r="G71" s="43">
        <f t="shared" ref="G71" si="77">F71/E71</f>
        <v>1621.0983284078061</v>
      </c>
      <c r="H71" s="27">
        <v>0.42366627165173804</v>
      </c>
      <c r="I71" s="59">
        <f>(B71/('Consumidores Inadimplentes'!B107*1000000))</f>
        <v>1.3745377956665609E-2</v>
      </c>
    </row>
    <row r="72" spans="1:16" x14ac:dyDescent="0.35">
      <c r="A72" s="5">
        <v>45536</v>
      </c>
      <c r="B72" s="30">
        <v>1006517</v>
      </c>
      <c r="C72" s="30">
        <v>2797837</v>
      </c>
      <c r="D72" s="30">
        <v>4574529534.4900074</v>
      </c>
      <c r="E72" s="34">
        <f t="shared" ref="E72" si="78">C72/B72</f>
        <v>2.7797215546284861</v>
      </c>
      <c r="F72" s="43">
        <f t="shared" ref="F72" si="79">D72/B72</f>
        <v>4544.9103537148476</v>
      </c>
      <c r="G72" s="43">
        <f t="shared" ref="G72" si="80">F72/E72</f>
        <v>1635.0236037660547</v>
      </c>
      <c r="H72" s="27">
        <v>0.42791943261349985</v>
      </c>
      <c r="I72" s="59">
        <f>(B72/('Consumidores Inadimplentes'!B108*1000000))</f>
        <v>1.3855868854578552E-2</v>
      </c>
    </row>
    <row r="73" spans="1:16" x14ac:dyDescent="0.35">
      <c r="A73" s="5">
        <v>45566</v>
      </c>
      <c r="B73" s="30">
        <v>1013019</v>
      </c>
      <c r="C73" s="30">
        <v>2827189</v>
      </c>
      <c r="D73" s="30">
        <v>4645596855.1499996</v>
      </c>
      <c r="E73" s="34">
        <f t="shared" ref="E73" si="81">C73/B73</f>
        <v>2.7908548605702359</v>
      </c>
      <c r="F73" s="43">
        <f t="shared" ref="F73" si="82">D73/B73</f>
        <v>4585.8931127155556</v>
      </c>
      <c r="G73" s="43">
        <f t="shared" ref="G73" si="83">F73/E73</f>
        <v>1643.1858128869346</v>
      </c>
      <c r="H73" s="27">
        <v>0.43047291640993174</v>
      </c>
      <c r="I73" s="59">
        <f>(B73/('Consumidores Inadimplentes'!B109*1000000))</f>
        <v>1.3857232690035113E-2</v>
      </c>
    </row>
    <row r="74" spans="1:16" x14ac:dyDescent="0.35">
      <c r="A74" s="5">
        <v>45597</v>
      </c>
      <c r="B74" s="30">
        <v>1020262</v>
      </c>
      <c r="C74" s="30">
        <v>2838395</v>
      </c>
      <c r="D74" s="30">
        <v>4718428176.300004</v>
      </c>
      <c r="E74" s="34">
        <f t="shared" ref="E74" si="84">C74/B74</f>
        <v>2.7820255973465637</v>
      </c>
      <c r="F74" s="43">
        <f t="shared" ref="F74" si="85">D74/B74</f>
        <v>4624.722057961586</v>
      </c>
      <c r="G74" s="43">
        <f t="shared" ref="G74" si="86">F74/E74</f>
        <v>1662.3578382501391</v>
      </c>
      <c r="H74" s="27">
        <v>0.43333844428125279</v>
      </c>
      <c r="I74" s="59">
        <f>(B74/('Consumidores Inadimplentes'!B110*1000000))</f>
        <v>1.382678784531971E-2</v>
      </c>
    </row>
    <row r="75" spans="1:16" ht="15" thickBot="1" x14ac:dyDescent="0.4">
      <c r="A75" s="12">
        <v>45627</v>
      </c>
      <c r="B75" s="31">
        <v>1016425</v>
      </c>
      <c r="C75" s="31">
        <v>2805386</v>
      </c>
      <c r="D75" s="31">
        <v>4641721195.4800072</v>
      </c>
      <c r="E75" s="35">
        <f t="shared" ref="E75:E77" si="87">C75/B75</f>
        <v>2.7600521435423175</v>
      </c>
      <c r="F75" s="46">
        <f t="shared" ref="F75:F77" si="88">D75/B75</f>
        <v>4566.7129355141869</v>
      </c>
      <c r="G75" s="46">
        <f t="shared" ref="G75:G77" si="89">F75/E75</f>
        <v>1654.5748768547385</v>
      </c>
      <c r="H75" s="28">
        <v>0.43149743417321285</v>
      </c>
      <c r="I75" s="59">
        <f>(B75/('Consumidores Inadimplentes'!B111*1000000))</f>
        <v>1.3826606753932665E-2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1037369</v>
      </c>
      <c r="C76" s="29">
        <v>2892636</v>
      </c>
      <c r="D76" s="29">
        <v>4816791842.4799986</v>
      </c>
      <c r="E76" s="33">
        <f t="shared" si="87"/>
        <v>2.7884349734761691</v>
      </c>
      <c r="F76" s="45">
        <f t="shared" si="88"/>
        <v>4643.2772161882594</v>
      </c>
      <c r="G76" s="45">
        <f t="shared" si="89"/>
        <v>1665.1911413949072</v>
      </c>
      <c r="H76" s="26">
        <v>0.44017303636818811</v>
      </c>
      <c r="I76" s="59">
        <f>(B76/('Consumidores Inadimplentes'!B112*1000000))</f>
        <v>1.3905207509722744E-2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1045430</v>
      </c>
      <c r="C77" s="30">
        <v>2984876</v>
      </c>
      <c r="D77" s="30">
        <v>5122427207.7300215</v>
      </c>
      <c r="E77" s="34">
        <f t="shared" si="87"/>
        <v>2.8551658169365717</v>
      </c>
      <c r="F77" s="43">
        <f t="shared" si="88"/>
        <v>4899.8280207474645</v>
      </c>
      <c r="G77" s="43">
        <f t="shared" si="89"/>
        <v>1716.1273057004785</v>
      </c>
      <c r="H77" s="27">
        <v>0.44337634930301917</v>
      </c>
      <c r="I77" s="59">
        <f>(B77/('Consumidores Inadimplentes'!B113*1000000))</f>
        <v>1.3938437206842406E-2</v>
      </c>
    </row>
    <row r="78" spans="1:16" x14ac:dyDescent="0.35">
      <c r="A78" s="5">
        <v>45717</v>
      </c>
      <c r="B78" s="30">
        <v>1054368</v>
      </c>
      <c r="C78" s="30">
        <v>2950383</v>
      </c>
      <c r="D78" s="30">
        <v>4963241427.5500021</v>
      </c>
      <c r="E78" s="34">
        <f t="shared" ref="E78" si="90">C78/B78</f>
        <v>2.7982478603296004</v>
      </c>
      <c r="F78" s="43">
        <f t="shared" ref="F78" si="91">D78/B78</f>
        <v>4707.3141707164878</v>
      </c>
      <c r="G78" s="43">
        <f t="shared" ref="G78" si="92">F78/E78</f>
        <v>1682.2363156071608</v>
      </c>
      <c r="H78" s="27">
        <v>0.44694810047650757</v>
      </c>
      <c r="I78" s="59">
        <f>(B78/('Consumidores Inadimplentes'!B114*1000000))</f>
        <v>1.3915461612135359E-2</v>
      </c>
    </row>
    <row r="79" spans="1:16" x14ac:dyDescent="0.35">
      <c r="A79" s="5">
        <v>45748</v>
      </c>
      <c r="B79" s="30">
        <v>1061702</v>
      </c>
      <c r="C79" s="30">
        <v>3025678</v>
      </c>
      <c r="D79" s="30">
        <v>5196246627</v>
      </c>
      <c r="E79" s="34">
        <f t="shared" ref="E79" si="93">C79/B79</f>
        <v>2.8498373366537879</v>
      </c>
      <c r="F79" s="43">
        <f t="shared" ref="F79" si="94">D79/B79</f>
        <v>4894.2609385684491</v>
      </c>
      <c r="G79" s="43">
        <f t="shared" ref="G79" si="95">F79/E79</f>
        <v>1717.3825592148271</v>
      </c>
      <c r="H79" s="27">
        <v>0.44983675070778079</v>
      </c>
      <c r="I79" s="59">
        <f>(B79/('Consumidores Inadimplentes'!B115*1000000))</f>
        <v>1.3853370962969005E-2</v>
      </c>
    </row>
    <row r="80" spans="1:16" x14ac:dyDescent="0.35">
      <c r="A80" s="5">
        <v>45778</v>
      </c>
      <c r="B80" s="30">
        <v>1079488</v>
      </c>
      <c r="C80" s="30">
        <v>3100272</v>
      </c>
      <c r="D80" s="30">
        <v>5295567286</v>
      </c>
      <c r="E80" s="34">
        <f t="shared" ref="E80" si="96">C80/B80</f>
        <v>2.8719837552617538</v>
      </c>
      <c r="F80" s="43">
        <f t="shared" ref="F80" si="97">D80/B80</f>
        <v>4905.6286739639536</v>
      </c>
      <c r="G80" s="43">
        <f t="shared" ref="G80" si="98">F80/E80</f>
        <v>1708.09763981999</v>
      </c>
      <c r="H80" s="27">
        <v>0.45714866495860418</v>
      </c>
      <c r="I80" s="59">
        <f>(B80/('Consumidores Inadimplentes'!B116*1000000))</f>
        <v>1.4006177058729806E-2</v>
      </c>
    </row>
    <row r="81" spans="1:16" x14ac:dyDescent="0.35">
      <c r="A81" s="5">
        <v>45809</v>
      </c>
      <c r="B81" s="30">
        <v>1086133</v>
      </c>
      <c r="C81" s="30">
        <v>3123330</v>
      </c>
      <c r="D81" s="30">
        <v>5412163364</v>
      </c>
      <c r="E81" s="34">
        <f t="shared" ref="E81" si="99">C81/B81</f>
        <v>2.8756423016334094</v>
      </c>
      <c r="F81" s="43">
        <f t="shared" ref="F81" si="100">D81/B81</f>
        <v>4982.965588928796</v>
      </c>
      <c r="G81" s="43">
        <f t="shared" ref="G81" si="101">F81/E81</f>
        <v>1732.8182945766218</v>
      </c>
      <c r="H81" s="27">
        <v>0.45973747379372842</v>
      </c>
      <c r="I81" s="59">
        <f>(B81/('Consumidores Inadimplentes'!B117*1000000))</f>
        <v>1.394720504435599E-2</v>
      </c>
    </row>
    <row r="82" spans="1:16" x14ac:dyDescent="0.35">
      <c r="A82" s="5">
        <v>45839</v>
      </c>
      <c r="B82" s="30">
        <v>1094776</v>
      </c>
      <c r="C82" s="30">
        <v>3159492</v>
      </c>
      <c r="D82" s="30">
        <v>5435326022</v>
      </c>
      <c r="E82" s="34">
        <f t="shared" ref="E82" si="102">C82/B82</f>
        <v>2.8859711941072876</v>
      </c>
      <c r="F82" s="43">
        <f t="shared" ref="F82" si="103">D82/B82</f>
        <v>4964.7836836028555</v>
      </c>
      <c r="G82" s="43">
        <f t="shared" ref="G82" si="104">F82/E82</f>
        <v>1720.3164375792057</v>
      </c>
      <c r="H82" s="27">
        <v>0.46316904602346187</v>
      </c>
      <c r="I82" s="59">
        <f>(B82/('Consumidores Inadimplentes'!B118*1000000))</f>
        <v>1.4006645370077233E-2</v>
      </c>
    </row>
    <row r="83" spans="1:16" x14ac:dyDescent="0.35">
      <c r="A83" s="5">
        <v>45870</v>
      </c>
      <c r="B83" s="30">
        <v>1102371</v>
      </c>
      <c r="C83" s="30">
        <v>3192409</v>
      </c>
      <c r="D83" s="30">
        <v>5514525061</v>
      </c>
      <c r="E83" s="34">
        <f t="shared" ref="E83" si="105">C83/B83</f>
        <v>2.8959479159012709</v>
      </c>
      <c r="F83" s="43">
        <f t="shared" ref="F83" si="106">D83/B83</f>
        <v>5002.4221074393281</v>
      </c>
      <c r="G83" s="43">
        <f t="shared" ref="G83" si="107">F83/E83</f>
        <v>1727.3867668585071</v>
      </c>
      <c r="H83" s="27">
        <v>0.46614621324466848</v>
      </c>
      <c r="I83" s="59">
        <f>(B83/('Consumidores Inadimplentes'!B119*1000000))</f>
        <v>1.39808138972946E-2</v>
      </c>
    </row>
    <row r="84" spans="1:16" x14ac:dyDescent="0.35">
      <c r="A84" s="5">
        <v>45901</v>
      </c>
      <c r="B84" s="30">
        <v>1099312</v>
      </c>
      <c r="C84" s="30">
        <v>3156608</v>
      </c>
      <c r="D84" s="30">
        <v>5481283861</v>
      </c>
      <c r="E84" s="34">
        <f>IFERROR(C84/B84,"")</f>
        <v>2.8714395913080182</v>
      </c>
      <c r="F84" s="43">
        <f>IFERROR(D84/B84,"")</f>
        <v>4986.1039095361466</v>
      </c>
      <c r="G84" s="43">
        <f>IFERROR(F84/E84,"")</f>
        <v>1736.4474337643446</v>
      </c>
      <c r="H84" s="27">
        <v>0.46461732357477137</v>
      </c>
      <c r="I84" s="59">
        <f>(B84/('Consumidores Inadimplentes'!B120*1000000))</f>
        <v>1.3885996267735557E-2</v>
      </c>
    </row>
    <row r="85" spans="1:16" x14ac:dyDescent="0.35">
      <c r="A85" s="5">
        <v>45931</v>
      </c>
      <c r="B85" s="30">
        <v>1113986</v>
      </c>
      <c r="C85" s="30">
        <v>3229198</v>
      </c>
      <c r="D85" s="30">
        <v>5576686003</v>
      </c>
      <c r="E85" s="34">
        <f t="shared" ref="E85:E87" si="108">IFERROR(C85/B85,"")</f>
        <v>2.8987779020562199</v>
      </c>
      <c r="F85" s="43">
        <f t="shared" ref="F85:F87" si="109">IFERROR(D85/B85,"")</f>
        <v>5006.0647108671028</v>
      </c>
      <c r="G85" s="43">
        <f t="shared" ref="G85:G87" si="110">IFERROR(F85/E85,"")</f>
        <v>1726.9569729078241</v>
      </c>
      <c r="H85" s="27">
        <v>0.47058073095539227</v>
      </c>
      <c r="I85" s="59">
        <f>(B85/('Consumidores Inadimplentes'!B121*1000000))</f>
        <v>1.3849254465620174E-2</v>
      </c>
    </row>
    <row r="86" spans="1:16" x14ac:dyDescent="0.35">
      <c r="A86" s="5">
        <v>45962</v>
      </c>
      <c r="B86" s="30">
        <v>1106631</v>
      </c>
      <c r="C86" s="30">
        <v>3167430</v>
      </c>
      <c r="D86" s="30">
        <v>5467426731</v>
      </c>
      <c r="E86" s="34">
        <f t="shared" si="108"/>
        <v>2.8622277886666829</v>
      </c>
      <c r="F86" s="43">
        <f t="shared" si="109"/>
        <v>4940.6050716092359</v>
      </c>
      <c r="G86" s="43">
        <f t="shared" si="110"/>
        <v>1726.1397192676714</v>
      </c>
      <c r="H86" s="27">
        <v>0.46723710837899951</v>
      </c>
      <c r="I86" s="59">
        <f>(B86/('Consumidores Inadimplentes'!B122*1000000))</f>
        <v>1.3728232720297539E-2</v>
      </c>
    </row>
    <row r="87" spans="1:16" ht="15" thickBot="1" x14ac:dyDescent="0.4">
      <c r="A87" s="12">
        <v>45992</v>
      </c>
      <c r="B87" s="31">
        <v>1114686</v>
      </c>
      <c r="C87" s="31">
        <v>3197530</v>
      </c>
      <c r="D87" s="31">
        <v>5559906197</v>
      </c>
      <c r="E87" s="35">
        <f t="shared" si="108"/>
        <v>2.8685477345189585</v>
      </c>
      <c r="F87" s="46">
        <f t="shared" si="109"/>
        <v>4987.8676120450064</v>
      </c>
      <c r="G87" s="46">
        <f t="shared" si="110"/>
        <v>1738.8128327177542</v>
      </c>
      <c r="H87" s="28">
        <v>0.47039972451709255</v>
      </c>
      <c r="I87" s="59">
        <f>(B87/('Consumidores Inadimplentes'!B123*1000000))</f>
        <v>1.3719547317930816E-2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1097072</v>
      </c>
      <c r="C88" s="29">
        <v>3137596</v>
      </c>
      <c r="D88" s="29">
        <v>5546694900</v>
      </c>
      <c r="E88" s="33">
        <f t="shared" ref="E88:E89" si="111">IFERROR(C88/B88,"")</f>
        <v>2.8599727274053115</v>
      </c>
      <c r="F88" s="45">
        <f t="shared" ref="F88:F89" si="112">IFERROR(D88/B88,"")</f>
        <v>5055.9078164423117</v>
      </c>
      <c r="G88" s="45">
        <f t="shared" ref="G88:G89" si="113">IFERROR(F88/E88,"")</f>
        <v>1767.8167934941273</v>
      </c>
      <c r="H88" s="26">
        <v>0.46273225251459704</v>
      </c>
      <c r="I88" s="59">
        <f>(B88/('Consumidores Inadimplentes'!B124*1000000))</f>
        <v>1.349091242546222E-2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1108663</v>
      </c>
      <c r="C89" s="30">
        <v>3218938</v>
      </c>
      <c r="D89" s="30">
        <v>5732958286</v>
      </c>
      <c r="E89" s="34">
        <f t="shared" si="111"/>
        <v>2.9034413523315923</v>
      </c>
      <c r="F89" s="43">
        <f t="shared" si="112"/>
        <v>5171.055844742722</v>
      </c>
      <c r="G89" s="43">
        <f t="shared" si="113"/>
        <v>1781.0092291308501</v>
      </c>
      <c r="H89" s="27">
        <v>0.46738444000947699</v>
      </c>
      <c r="I89" s="59">
        <f>(B89/('Consumidores Inadimplentes'!B125*1000000))</f>
        <v>1.3564627556265779E-2</v>
      </c>
    </row>
    <row r="90" spans="1:16" x14ac:dyDescent="0.35">
      <c r="A90" s="5">
        <v>46082</v>
      </c>
      <c r="B90" s="30">
        <v>1119006</v>
      </c>
      <c r="C90" s="30">
        <v>3309398</v>
      </c>
      <c r="D90" s="30">
        <v>5990129810</v>
      </c>
      <c r="E90" s="34">
        <f t="shared" ref="E90" si="114">IFERROR(C90/B90,"")</f>
        <v>2.9574443747397243</v>
      </c>
      <c r="F90" s="43">
        <f t="shared" ref="F90" si="115">IFERROR(D90/B90,"")</f>
        <v>5353.08104692915</v>
      </c>
      <c r="G90" s="43">
        <f t="shared" ref="G90" si="116">IFERROR(F90/E90,"")</f>
        <v>1810.0360881344584</v>
      </c>
      <c r="H90" s="27">
        <v>0.47150586113615872</v>
      </c>
      <c r="I90" s="59">
        <f>(B90/('Consumidores Inadimplentes'!B126*1000000))</f>
        <v>1.3509264136460655E-2</v>
      </c>
    </row>
    <row r="91" spans="1:16" x14ac:dyDescent="0.35">
      <c r="A91" s="5">
        <v>46113</v>
      </c>
      <c r="B91" s="30">
        <v>1134220</v>
      </c>
      <c r="C91" s="30">
        <v>3368795</v>
      </c>
      <c r="D91" s="30">
        <v>6057611486</v>
      </c>
      <c r="E91" s="34">
        <f t="shared" ref="E91" si="117">IFERROR(C91/B91,"")</f>
        <v>2.9701424767681757</v>
      </c>
      <c r="F91" s="43">
        <f t="shared" ref="F91" si="118">IFERROR(D91/B91,"")</f>
        <v>5340.772941757331</v>
      </c>
      <c r="G91" s="43">
        <f t="shared" ref="G91" si="119">IFERROR(F91/E91,"")</f>
        <v>1798.1537867397687</v>
      </c>
      <c r="H91" s="27">
        <v>0.47767452163900709</v>
      </c>
      <c r="I91" s="59">
        <f>(B91/('Consumidores Inadimplentes'!B127*1000000))</f>
        <v>1.3601522844831019E-2</v>
      </c>
    </row>
    <row r="92" spans="1:16" x14ac:dyDescent="0.35">
      <c r="A92" s="5">
        <v>46143</v>
      </c>
      <c r="B92" s="30">
        <v>1130131</v>
      </c>
      <c r="C92" s="30">
        <v>3353035</v>
      </c>
      <c r="D92" s="30">
        <v>6058204964</v>
      </c>
      <c r="E92" s="34">
        <f t="shared" ref="E92" si="120">IFERROR(C92/B92,"")</f>
        <v>2.9669436552045738</v>
      </c>
      <c r="F92" s="43">
        <f t="shared" ref="F92" si="121">IFERROR(D92/B92,"")</f>
        <v>5360.6218783486165</v>
      </c>
      <c r="G92" s="43">
        <f t="shared" ref="G92" si="122">IFERROR(F92/E92,"")</f>
        <v>1806.7825012265007</v>
      </c>
      <c r="H92" s="27">
        <v>0.47571143237788155</v>
      </c>
      <c r="I92" s="59">
        <f>(B92/('Consumidores Inadimplentes'!B128*1000000))</f>
        <v>1.3534041702003785E-2</v>
      </c>
    </row>
    <row r="93" spans="1:16" x14ac:dyDescent="0.35">
      <c r="A93" s="5">
        <v>46174</v>
      </c>
      <c r="B93" s="30">
        <v>1130030</v>
      </c>
      <c r="C93" s="30">
        <v>3358087</v>
      </c>
      <c r="D93" s="30">
        <v>6083310299</v>
      </c>
      <c r="E93" s="34">
        <f t="shared" ref="E93" si="123">IFERROR(C93/B93,"")</f>
        <v>2.9716795129332851</v>
      </c>
      <c r="F93" s="43">
        <f t="shared" ref="F93" si="124">IFERROR(D93/B93,"")</f>
        <v>5383.3175216587169</v>
      </c>
      <c r="G93" s="43">
        <f t="shared" ref="G93" si="125">IFERROR(F93/E93,"")</f>
        <v>1811.5404094652699</v>
      </c>
      <c r="H93" s="27">
        <v>0.47542816849736713</v>
      </c>
      <c r="I93" s="59">
        <f>(B93/('Consumidores Inadimplentes'!B129*1000000))</f>
        <v>1.3494894700400571E-2</v>
      </c>
    </row>
    <row r="94" spans="1:16" x14ac:dyDescent="0.35">
      <c r="A94" s="5">
        <v>46204</v>
      </c>
      <c r="B94" s="30">
        <v>1137673</v>
      </c>
      <c r="C94" s="30">
        <v>3405326</v>
      </c>
      <c r="D94" s="30">
        <v>6162368800</v>
      </c>
      <c r="E94" s="34">
        <f t="shared" ref="E94" si="126">IFERROR(C94/B94,"")</f>
        <v>2.9932379515027603</v>
      </c>
      <c r="F94" s="43">
        <f t="shared" ref="F94" si="127">IFERROR(D94/B94,"")</f>
        <v>5416.6432709574719</v>
      </c>
      <c r="G94" s="43">
        <f t="shared" ref="G94" si="128">IFERROR(F94/E94,"")</f>
        <v>1809.626684787301</v>
      </c>
      <c r="H94" s="27">
        <v>0.47840120971896155</v>
      </c>
      <c r="I94" s="59">
        <f>(B94/('Consumidores Inadimplentes'!B130*1000000))</f>
        <v>1.3554712284783008E-2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59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59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59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59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B8FF-CACC-425C-B78E-04A32E1AA3B1}">
  <sheetPr codeName="Planilha6"/>
  <dimension ref="A1:P99"/>
  <sheetViews>
    <sheetView zoomScale="90" zoomScaleNormal="90" workbookViewId="0">
      <pane xSplit="1" ySplit="3" topLeftCell="B4" activePane="bottomRight" state="frozen"/>
      <selection activeCell="H93" sqref="H93"/>
      <selection pane="topRight" activeCell="H93" sqref="H93"/>
      <selection pane="bottomLeft" activeCell="H93" sqref="H93"/>
      <selection pane="bottomRight" activeCell="J12" sqref="J12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22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1311643</v>
      </c>
      <c r="C4" s="29">
        <v>4314306</v>
      </c>
      <c r="D4" s="29">
        <v>4218827991.880022</v>
      </c>
      <c r="E4" s="33">
        <f t="shared" ref="E4:E33" si="0">C4/B4</f>
        <v>3.2892380014988833</v>
      </c>
      <c r="F4" s="45">
        <f>D4/B4</f>
        <v>3216.4453223018932</v>
      </c>
      <c r="G4" s="45">
        <f t="shared" ref="G4" si="1">F4/E4</f>
        <v>977.86943992383067</v>
      </c>
      <c r="H4" s="26">
        <v>0.50089000307895015</v>
      </c>
      <c r="I4" s="58">
        <f>(B4/('Consumidores Inadimplentes'!B40*1000000))</f>
        <v>2.109551585570529E-2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1317052</v>
      </c>
      <c r="C5" s="30">
        <v>4343199</v>
      </c>
      <c r="D5" s="30">
        <v>4206957307.1300163</v>
      </c>
      <c r="E5" s="34">
        <f t="shared" si="0"/>
        <v>3.29766706250019</v>
      </c>
      <c r="F5" s="43">
        <f t="shared" ref="F5:F47" si="2">D5/B5</f>
        <v>3194.2226329180749</v>
      </c>
      <c r="G5" s="43">
        <f t="shared" ref="G5:G47" si="3">F5/E5</f>
        <v>968.63102683759507</v>
      </c>
      <c r="H5" s="27">
        <v>0.50194740838747443</v>
      </c>
      <c r="I5" s="59">
        <f>(B5/('Consumidores Inadimplentes'!B41*1000000))</f>
        <v>2.1183697984956566E-2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1335918</v>
      </c>
      <c r="C6" s="30">
        <v>4447182</v>
      </c>
      <c r="D6" s="30">
        <v>4287648179.7900071</v>
      </c>
      <c r="E6" s="34">
        <f t="shared" si="0"/>
        <v>3.3289333626764517</v>
      </c>
      <c r="F6" s="43">
        <f t="shared" si="2"/>
        <v>3209.5144910016984</v>
      </c>
      <c r="G6" s="43">
        <f t="shared" si="3"/>
        <v>964.12698643545662</v>
      </c>
      <c r="H6" s="27">
        <v>0.50805479260918562</v>
      </c>
      <c r="I6" s="59">
        <f>(B6/('Consumidores Inadimplentes'!B42*1000000))</f>
        <v>2.1218492396793454E-2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1339201</v>
      </c>
      <c r="C7" s="30">
        <v>4482756</v>
      </c>
      <c r="D7" s="30">
        <v>4382617171.7500105</v>
      </c>
      <c r="E7" s="34">
        <f t="shared" si="0"/>
        <v>3.347336210173081</v>
      </c>
      <c r="F7" s="43">
        <f t="shared" si="2"/>
        <v>3272.5611553082849</v>
      </c>
      <c r="G7" s="43">
        <f t="shared" si="3"/>
        <v>977.66132525393084</v>
      </c>
      <c r="H7" s="27">
        <v>0.50809999511809112</v>
      </c>
      <c r="I7" s="59">
        <f>(B7/('Consumidores Inadimplentes'!B43*1000000))</f>
        <v>2.118807752577612E-2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1352166</v>
      </c>
      <c r="C8" s="30">
        <v>4559707</v>
      </c>
      <c r="D8" s="30">
        <v>4410813631.9100151</v>
      </c>
      <c r="E8" s="34">
        <f t="shared" si="0"/>
        <v>3.3721503129053683</v>
      </c>
      <c r="F8" s="43">
        <f t="shared" si="2"/>
        <v>3262.0356020710587</v>
      </c>
      <c r="G8" s="43">
        <f t="shared" si="3"/>
        <v>967.34584742177844</v>
      </c>
      <c r="H8" s="27">
        <v>0.50801827157378721</v>
      </c>
      <c r="I8" s="59">
        <f>(B8/('Consumidores Inadimplentes'!B44*1000000))</f>
        <v>2.1336080931705484E-2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1381690</v>
      </c>
      <c r="C9" s="30">
        <v>4680307</v>
      </c>
      <c r="D9" s="30">
        <v>4576029866.0600357</v>
      </c>
      <c r="E9" s="34">
        <f t="shared" si="0"/>
        <v>3.3873785002424568</v>
      </c>
      <c r="F9" s="43">
        <f t="shared" si="2"/>
        <v>3311.9077839891984</v>
      </c>
      <c r="G9" s="43">
        <f t="shared" si="3"/>
        <v>977.72002265236779</v>
      </c>
      <c r="H9" s="27">
        <v>0.52081789123889399</v>
      </c>
      <c r="I9" s="59">
        <f>(B9/('Consumidores Inadimplentes'!B45*1000000))</f>
        <v>2.1775844731823653E-2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1456846</v>
      </c>
      <c r="C10" s="30">
        <v>5053043</v>
      </c>
      <c r="D10" s="30">
        <v>5193699945.7300367</v>
      </c>
      <c r="E10" s="34">
        <f t="shared" si="0"/>
        <v>3.4684812258811157</v>
      </c>
      <c r="F10" s="43">
        <f t="shared" si="2"/>
        <v>3565.0301718438577</v>
      </c>
      <c r="G10" s="43">
        <f t="shared" si="3"/>
        <v>1027.8360872310084</v>
      </c>
      <c r="H10" s="27">
        <v>0.54548328186038675</v>
      </c>
      <c r="I10" s="59">
        <f>(B10/('Consumidores Inadimplentes'!B46*1000000))</f>
        <v>2.2955699420175744E-2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1454265</v>
      </c>
      <c r="C11" s="30">
        <v>5071979</v>
      </c>
      <c r="D11" s="30">
        <v>5218410123.360034</v>
      </c>
      <c r="E11" s="34">
        <f t="shared" si="0"/>
        <v>3.4876580265632469</v>
      </c>
      <c r="F11" s="43">
        <f t="shared" si="2"/>
        <v>3588.3488383204121</v>
      </c>
      <c r="G11" s="43">
        <f t="shared" si="3"/>
        <v>1028.8706091567087</v>
      </c>
      <c r="H11" s="27">
        <v>0.54635158869551337</v>
      </c>
      <c r="I11" s="59">
        <f>(B11/('Consumidores Inadimplentes'!B47*1000000))</f>
        <v>2.2927829958340598E-2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1456620</v>
      </c>
      <c r="C12" s="30">
        <v>5094800</v>
      </c>
      <c r="D12" s="30">
        <v>5167650783.8700266</v>
      </c>
      <c r="E12" s="34">
        <f t="shared" si="0"/>
        <v>3.4976864247367194</v>
      </c>
      <c r="F12" s="43">
        <f t="shared" si="2"/>
        <v>3547.7000067759791</v>
      </c>
      <c r="G12" s="43">
        <f t="shared" si="3"/>
        <v>1014.2990468458088</v>
      </c>
      <c r="H12" s="27">
        <v>0.54620028550274669</v>
      </c>
      <c r="I12" s="59">
        <f>(B12/('Consumidores Inadimplentes'!B48*1000000))</f>
        <v>2.3045374891097228E-2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1464975</v>
      </c>
      <c r="C13" s="30">
        <v>5149157</v>
      </c>
      <c r="D13" s="30">
        <v>5161221861.7900362</v>
      </c>
      <c r="E13" s="34">
        <f t="shared" si="0"/>
        <v>3.5148429154081127</v>
      </c>
      <c r="F13" s="43">
        <f t="shared" si="2"/>
        <v>3523.0784564856303</v>
      </c>
      <c r="G13" s="43">
        <f t="shared" si="3"/>
        <v>1002.3430751460941</v>
      </c>
      <c r="H13" s="27">
        <v>0.54856061230144759</v>
      </c>
      <c r="I13" s="59">
        <f>(B13/('Consumidores Inadimplentes'!B49*1000000))</f>
        <v>2.2943502735491669E-2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1506878</v>
      </c>
      <c r="C14" s="30">
        <v>5420895</v>
      </c>
      <c r="D14" s="30">
        <v>5298861896.5100098</v>
      </c>
      <c r="E14" s="34">
        <f t="shared" si="0"/>
        <v>3.597434563382039</v>
      </c>
      <c r="F14" s="43">
        <f t="shared" si="2"/>
        <v>3516.4504999807614</v>
      </c>
      <c r="G14" s="43">
        <f t="shared" si="3"/>
        <v>977.48838457671832</v>
      </c>
      <c r="H14" s="27">
        <v>0.56332014202648684</v>
      </c>
      <c r="I14" s="59">
        <f>(B14/('Consumidores Inadimplentes'!B50*1000000))</f>
        <v>2.3603620797228515E-2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1486921</v>
      </c>
      <c r="C15" s="31">
        <v>5339362</v>
      </c>
      <c r="D15" s="31">
        <v>5255718539.8400154</v>
      </c>
      <c r="E15" s="35">
        <f t="shared" si="0"/>
        <v>3.5908847880956687</v>
      </c>
      <c r="F15" s="43">
        <f t="shared" si="2"/>
        <v>3534.6319944637376</v>
      </c>
      <c r="G15" s="43">
        <f t="shared" si="3"/>
        <v>984.33455904282482</v>
      </c>
      <c r="H15" s="27">
        <v>0.55494240347239976</v>
      </c>
      <c r="I15" s="59">
        <f>(B15/('Consumidores Inadimplentes'!B51*1000000))</f>
        <v>2.3487338585667702E-2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1500423</v>
      </c>
      <c r="C16" s="29">
        <v>5462983</v>
      </c>
      <c r="D16" s="29">
        <v>5274025272.5100222</v>
      </c>
      <c r="E16" s="33">
        <f t="shared" si="0"/>
        <v>3.640961915406522</v>
      </c>
      <c r="F16" s="45">
        <f t="shared" si="2"/>
        <v>3515.0256111176795</v>
      </c>
      <c r="G16" s="45">
        <f t="shared" si="3"/>
        <v>965.41125471377484</v>
      </c>
      <c r="H16" s="26">
        <v>0.55905766469946272</v>
      </c>
      <c r="I16" s="59">
        <f>(B16/('Consumidores Inadimplentes'!B52*1000000))</f>
        <v>2.35241060380958E-2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1508932</v>
      </c>
      <c r="C17" s="30">
        <v>5543058</v>
      </c>
      <c r="D17" s="30">
        <v>5252263276.4500217</v>
      </c>
      <c r="E17" s="34">
        <f t="shared" si="0"/>
        <v>3.6734975466091249</v>
      </c>
      <c r="F17" s="43">
        <f t="shared" si="2"/>
        <v>3480.7819546871706</v>
      </c>
      <c r="G17" s="43">
        <f t="shared" si="3"/>
        <v>947.53893544863172</v>
      </c>
      <c r="H17" s="27">
        <v>0.5613003709808394</v>
      </c>
      <c r="I17" s="59">
        <f>(B17/('Consumidores Inadimplentes'!B53*1000000))</f>
        <v>2.3617768092334766E-2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1513417</v>
      </c>
      <c r="C18" s="30">
        <v>5567417</v>
      </c>
      <c r="D18" s="30">
        <v>5279832166.5399971</v>
      </c>
      <c r="E18" s="34">
        <f t="shared" si="0"/>
        <v>3.6787065296610253</v>
      </c>
      <c r="F18" s="43">
        <f t="shared" si="2"/>
        <v>3488.6830044462281</v>
      </c>
      <c r="G18" s="43">
        <f t="shared" si="3"/>
        <v>948.34501646634283</v>
      </c>
      <c r="H18" s="27">
        <v>0.56203982438588163</v>
      </c>
      <c r="I18" s="59">
        <f>(B18/('Consumidores Inadimplentes'!B54*1000000))</f>
        <v>2.3350643998559233E-2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1505914</v>
      </c>
      <c r="C19" s="30">
        <v>5498000</v>
      </c>
      <c r="D19" s="30">
        <v>5268921882.4999933</v>
      </c>
      <c r="E19" s="34">
        <f t="shared" si="0"/>
        <v>3.6509388982372166</v>
      </c>
      <c r="F19" s="43">
        <f t="shared" si="2"/>
        <v>3498.8199077105287</v>
      </c>
      <c r="G19" s="43">
        <f t="shared" si="3"/>
        <v>958.3342820116394</v>
      </c>
      <c r="H19" s="27">
        <v>0.55833072566376929</v>
      </c>
      <c r="I19" s="59">
        <f>(B19/('Consumidores Inadimplentes'!B55*1000000))</f>
        <v>2.2848516366874783E-2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1486413</v>
      </c>
      <c r="C20" s="30">
        <v>5394313</v>
      </c>
      <c r="D20" s="30">
        <v>5171931274.9500027</v>
      </c>
      <c r="E20" s="34">
        <f t="shared" si="0"/>
        <v>3.629080881289386</v>
      </c>
      <c r="F20" s="43">
        <f t="shared" si="2"/>
        <v>3479.4712337351748</v>
      </c>
      <c r="G20" s="43">
        <f t="shared" si="3"/>
        <v>958.7747828036679</v>
      </c>
      <c r="H20" s="27">
        <v>0.5501911808796911</v>
      </c>
      <c r="I20" s="59">
        <f>(B20/('Consumidores Inadimplentes'!B56*1000000))</f>
        <v>2.2786581721166883E-2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1477608</v>
      </c>
      <c r="C21" s="30">
        <v>5372538</v>
      </c>
      <c r="D21" s="30">
        <v>5083735056.4200068</v>
      </c>
      <c r="E21" s="34">
        <f t="shared" si="0"/>
        <v>3.6359697565254114</v>
      </c>
      <c r="F21" s="43">
        <f t="shared" si="2"/>
        <v>3440.5167381470637</v>
      </c>
      <c r="G21" s="43">
        <f t="shared" si="3"/>
        <v>946.24459732439425</v>
      </c>
      <c r="H21" s="27">
        <v>0.54512854870270733</v>
      </c>
      <c r="I21" s="59">
        <f>(B21/('Consumidores Inadimplentes'!B57*1000000))</f>
        <v>2.3087375728490182E-2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1451856</v>
      </c>
      <c r="C22" s="30">
        <v>5197642</v>
      </c>
      <c r="D22" s="30">
        <v>5040049568.2700233</v>
      </c>
      <c r="E22" s="34">
        <f t="shared" si="0"/>
        <v>3.5799982918416151</v>
      </c>
      <c r="F22" s="43">
        <f t="shared" si="2"/>
        <v>3471.4527944024912</v>
      </c>
      <c r="G22" s="43">
        <f t="shared" si="3"/>
        <v>969.68001418143524</v>
      </c>
      <c r="H22" s="27">
        <v>0.53490903986462368</v>
      </c>
      <c r="I22" s="59">
        <f>(B22/('Consumidores Inadimplentes'!B58*1000000))</f>
        <v>2.2862748160417359E-2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1464927</v>
      </c>
      <c r="C23" s="30">
        <v>5294644</v>
      </c>
      <c r="D23" s="30">
        <v>5045669234.0100307</v>
      </c>
      <c r="E23" s="34">
        <f t="shared" si="0"/>
        <v>3.6142715643851195</v>
      </c>
      <c r="F23" s="43">
        <f t="shared" si="2"/>
        <v>3444.3144498053698</v>
      </c>
      <c r="G23" s="43">
        <f t="shared" si="3"/>
        <v>952.97610831059296</v>
      </c>
      <c r="H23" s="27">
        <v>0.53900036756873704</v>
      </c>
      <c r="I23" s="59">
        <f>(B23/('Consumidores Inadimplentes'!B59*1000000))</f>
        <v>2.3234210722524639E-2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1455571</v>
      </c>
      <c r="C24" s="30">
        <v>5546892</v>
      </c>
      <c r="D24" s="30">
        <v>5225565916.2800379</v>
      </c>
      <c r="E24" s="34">
        <f t="shared" si="0"/>
        <v>3.8108013968401404</v>
      </c>
      <c r="F24" s="43">
        <f t="shared" si="2"/>
        <v>3590.0453610851259</v>
      </c>
      <c r="G24" s="43">
        <f t="shared" si="3"/>
        <v>942.0709680808709</v>
      </c>
      <c r="H24" s="27">
        <v>0.5348390894473366</v>
      </c>
      <c r="I24" s="59">
        <f>(B24/('Consumidores Inadimplentes'!B60*1000000))</f>
        <v>2.3191438078168366E-2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1453103</v>
      </c>
      <c r="C25" s="30">
        <v>5542351</v>
      </c>
      <c r="D25" s="30">
        <v>5210020362.3000393</v>
      </c>
      <c r="E25" s="34">
        <f t="shared" si="0"/>
        <v>3.814148756144609</v>
      </c>
      <c r="F25" s="43">
        <f t="shared" si="2"/>
        <v>3585.444639712422</v>
      </c>
      <c r="G25" s="43">
        <f t="shared" si="3"/>
        <v>940.03796625295649</v>
      </c>
      <c r="H25" s="27">
        <v>0.53321573817990742</v>
      </c>
      <c r="I25" s="59">
        <f>(B25/('Consumidores Inadimplentes'!B61*1000000))</f>
        <v>2.3331856021470594E-2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1453407</v>
      </c>
      <c r="C26" s="30">
        <v>5603904</v>
      </c>
      <c r="D26" s="30">
        <v>5112836304.8500519</v>
      </c>
      <c r="E26" s="34">
        <f t="shared" si="0"/>
        <v>3.855701809610109</v>
      </c>
      <c r="F26" s="43">
        <f t="shared" si="2"/>
        <v>3517.8283198374934</v>
      </c>
      <c r="G26" s="43">
        <f t="shared" si="3"/>
        <v>912.37043048026021</v>
      </c>
      <c r="H26" s="27">
        <v>0.53261158349491045</v>
      </c>
      <c r="I26" s="59">
        <f>(B26/('Consumidores Inadimplentes'!B62*1000000))</f>
        <v>2.3461461990072204E-2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1437468</v>
      </c>
      <c r="C27" s="31">
        <v>5578451</v>
      </c>
      <c r="D27" s="31">
        <v>5043582748.5200233</v>
      </c>
      <c r="E27" s="35">
        <f t="shared" si="0"/>
        <v>3.8807479540414116</v>
      </c>
      <c r="F27" s="46">
        <f t="shared" si="2"/>
        <v>3508.6574090832096</v>
      </c>
      <c r="G27" s="46">
        <f t="shared" si="3"/>
        <v>904.1188581776596</v>
      </c>
      <c r="H27" s="28">
        <v>0.52606369702740863</v>
      </c>
      <c r="I27" s="59">
        <f>(B27/('Consumidores Inadimplentes'!B63*1000000))</f>
        <v>2.3426302869188703E-2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1462436</v>
      </c>
      <c r="C28" s="29">
        <v>5694185</v>
      </c>
      <c r="D28" s="29">
        <v>5123430858.9000387</v>
      </c>
      <c r="E28" s="33">
        <f t="shared" si="0"/>
        <v>3.8936302169804353</v>
      </c>
      <c r="F28" s="45">
        <f t="shared" si="2"/>
        <v>3503.3538964440418</v>
      </c>
      <c r="G28" s="45">
        <f t="shared" si="3"/>
        <v>899.76543770531498</v>
      </c>
      <c r="H28" s="26">
        <v>0.53448287204376921</v>
      </c>
      <c r="I28" s="59">
        <f>(B28/('Consumidores Inadimplentes'!B64*1000000))</f>
        <v>2.3714146877081514E-2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1468918</v>
      </c>
      <c r="C29" s="30">
        <v>5650572</v>
      </c>
      <c r="D29" s="30">
        <v>5119417062.150032</v>
      </c>
      <c r="E29" s="34">
        <f t="shared" si="0"/>
        <v>3.8467579538136234</v>
      </c>
      <c r="F29" s="43">
        <f t="shared" si="2"/>
        <v>3485.1619097526423</v>
      </c>
      <c r="G29" s="43">
        <f t="shared" si="3"/>
        <v>905.99979296786796</v>
      </c>
      <c r="H29" s="27">
        <v>0.53613139711816027</v>
      </c>
      <c r="I29" s="59">
        <f>(B29/('Consumidores Inadimplentes'!B65*1000000))</f>
        <v>2.3863496042020683E-2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1464305</v>
      </c>
      <c r="C30" s="30">
        <v>5597763</v>
      </c>
      <c r="D30" s="30">
        <v>5099723899.6600285</v>
      </c>
      <c r="E30" s="34">
        <f t="shared" si="0"/>
        <v>3.8228121873516789</v>
      </c>
      <c r="F30" s="43">
        <f t="shared" si="2"/>
        <v>3482.6924033312926</v>
      </c>
      <c r="G30" s="43">
        <f t="shared" si="3"/>
        <v>911.02890559318575</v>
      </c>
      <c r="H30" s="27">
        <v>0.53373046175199901</v>
      </c>
      <c r="I30" s="59">
        <f>(B30/('Consumidores Inadimplentes'!B66*1000000))</f>
        <v>2.340740772948233E-2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1466124</v>
      </c>
      <c r="C31" s="30">
        <v>5511133</v>
      </c>
      <c r="D31" s="30">
        <v>5080466097.3500185</v>
      </c>
      <c r="E31" s="34">
        <f t="shared" si="0"/>
        <v>3.7589815049750226</v>
      </c>
      <c r="F31" s="43">
        <f t="shared" si="2"/>
        <v>3465.2362947131473</v>
      </c>
      <c r="G31" s="43">
        <f t="shared" si="3"/>
        <v>921.85510626399662</v>
      </c>
      <c r="H31" s="27">
        <v>0.53367627445384713</v>
      </c>
      <c r="I31" s="59">
        <f>(B31/('Consumidores Inadimplentes'!B67*1000000))</f>
        <v>2.3278618704531542E-2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1446510</v>
      </c>
      <c r="C32" s="30">
        <v>5442995</v>
      </c>
      <c r="D32" s="30">
        <v>5107860726.5900259</v>
      </c>
      <c r="E32" s="34">
        <f t="shared" si="0"/>
        <v>3.7628464372869872</v>
      </c>
      <c r="F32" s="43">
        <f t="shared" si="2"/>
        <v>3531.1617110078919</v>
      </c>
      <c r="G32" s="43">
        <f t="shared" si="3"/>
        <v>938.42833340652078</v>
      </c>
      <c r="H32" s="27">
        <v>0.52583001685261743</v>
      </c>
      <c r="I32" s="59">
        <f>(B32/('Consumidores Inadimplentes'!B68*1000000))</f>
        <v>2.3122404591967509E-2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1453276</v>
      </c>
      <c r="C33" s="30">
        <v>5450040</v>
      </c>
      <c r="D33" s="30">
        <v>5076695493.8800354</v>
      </c>
      <c r="E33" s="34">
        <f t="shared" si="0"/>
        <v>3.7501754656376352</v>
      </c>
      <c r="F33" s="43">
        <f t="shared" si="2"/>
        <v>3493.2769094652604</v>
      </c>
      <c r="G33" s="43">
        <f t="shared" si="3"/>
        <v>931.49692367029161</v>
      </c>
      <c r="H33" s="27">
        <v>0.52758054240081609</v>
      </c>
      <c r="I33" s="59">
        <f>(B33/('Consumidores Inadimplentes'!B69*1000000))</f>
        <v>2.3248907460877263E-2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1440394</v>
      </c>
      <c r="C34" s="30">
        <v>5419725</v>
      </c>
      <c r="D34" s="30">
        <v>5107094608.7800236</v>
      </c>
      <c r="E34" s="34">
        <f>C34/B34</f>
        <v>3.7626684087825968</v>
      </c>
      <c r="F34" s="43">
        <f t="shared" si="2"/>
        <v>3545.6233563733422</v>
      </c>
      <c r="G34" s="43">
        <f t="shared" si="3"/>
        <v>942.31618924945894</v>
      </c>
      <c r="H34" s="27">
        <v>0.52290382000184421</v>
      </c>
      <c r="I34" s="59">
        <f>(B34/('Consumidores Inadimplentes'!B70*1000000))</f>
        <v>2.3148623880576001E-2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1436647</v>
      </c>
      <c r="C35" s="30">
        <v>5417355</v>
      </c>
      <c r="D35" s="30">
        <v>5142064971.480032</v>
      </c>
      <c r="E35" s="34">
        <f>C35/B35</f>
        <v>3.7708323617423067</v>
      </c>
      <c r="F35" s="43">
        <f t="shared" si="2"/>
        <v>3579.212549415432</v>
      </c>
      <c r="G35" s="43">
        <f t="shared" si="3"/>
        <v>949.18368308520166</v>
      </c>
      <c r="H35" s="27">
        <v>0.52081865112164849</v>
      </c>
      <c r="I35" s="59">
        <f>(B35/('Consumidores Inadimplentes'!B71*1000000))</f>
        <v>2.307912824923165E-2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1437361</v>
      </c>
      <c r="C36" s="30">
        <v>5401485</v>
      </c>
      <c r="D36" s="30">
        <v>5137358147.1600246</v>
      </c>
      <c r="E36" s="34">
        <f>C36/B36</f>
        <v>3.7579181569556988</v>
      </c>
      <c r="F36" s="43">
        <f t="shared" si="2"/>
        <v>3574.1599689709296</v>
      </c>
      <c r="G36" s="43">
        <f t="shared" si="3"/>
        <v>951.10106705100986</v>
      </c>
      <c r="H36" s="27">
        <v>0.52035330247234257</v>
      </c>
      <c r="I36" s="59">
        <f>(B36/('Consumidores Inadimplentes'!B72*1000000))</f>
        <v>2.3104882843299025E-2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1455619</v>
      </c>
      <c r="C37" s="30">
        <v>5461765</v>
      </c>
      <c r="D37" s="30">
        <v>5214715798.3000259</v>
      </c>
      <c r="E37" s="34">
        <f>C37/B37</f>
        <v>3.7521940837540591</v>
      </c>
      <c r="F37" s="43">
        <f t="shared" si="2"/>
        <v>3582.4730223362199</v>
      </c>
      <c r="G37" s="43">
        <f t="shared" si="3"/>
        <v>954.76751531785533</v>
      </c>
      <c r="H37" s="27">
        <v>0.52623075691138821</v>
      </c>
      <c r="I37" s="59">
        <f>(B37/('Consumidores Inadimplentes'!B73*1000000))</f>
        <v>2.295746412473847E-2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1481771</v>
      </c>
      <c r="C38" s="30">
        <v>5533512</v>
      </c>
      <c r="D38" s="30">
        <v>5286299183.6900339</v>
      </c>
      <c r="E38" s="34">
        <f t="shared" ref="E38:E47" si="4">C38/B38</f>
        <v>3.7343908066766054</v>
      </c>
      <c r="F38" s="43">
        <f t="shared" si="2"/>
        <v>3567.5547596018778</v>
      </c>
      <c r="G38" s="43">
        <f t="shared" si="3"/>
        <v>955.32442754077954</v>
      </c>
      <c r="H38" s="27">
        <v>0.5349405932837612</v>
      </c>
      <c r="I38" s="59">
        <f>(B38/('Consumidores Inadimplentes'!B74*1000000))</f>
        <v>2.3055525257870468E-2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1470854</v>
      </c>
      <c r="C39" s="31">
        <v>5442591</v>
      </c>
      <c r="D39" s="31">
        <v>5185416404.2400179</v>
      </c>
      <c r="E39" s="35">
        <f t="shared" si="4"/>
        <v>3.700293163019579</v>
      </c>
      <c r="F39" s="46">
        <f t="shared" si="2"/>
        <v>3525.4460362755362</v>
      </c>
      <c r="G39" s="46">
        <f t="shared" si="3"/>
        <v>952.7477637470862</v>
      </c>
      <c r="H39" s="28">
        <v>0.53026142933159515</v>
      </c>
      <c r="I39" s="59">
        <f>(B39/('Consumidores Inadimplentes'!B75*1000000))</f>
        <v>2.2992564707671404E-2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1494584</v>
      </c>
      <c r="C40" s="29">
        <v>5544191</v>
      </c>
      <c r="D40" s="29">
        <v>5287183539.6700315</v>
      </c>
      <c r="E40" s="33">
        <f t="shared" si="4"/>
        <v>3.7095211777993073</v>
      </c>
      <c r="F40" s="45">
        <f t="shared" si="2"/>
        <v>3537.5619835820748</v>
      </c>
      <c r="G40" s="45">
        <f t="shared" si="3"/>
        <v>953.64383003219621</v>
      </c>
      <c r="H40" s="26">
        <v>0.53806763034581273</v>
      </c>
      <c r="I40" s="59">
        <f>(B40/('Consumidores Inadimplentes'!B76*1000000))</f>
        <v>2.3058361358968778E-2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1496592</v>
      </c>
      <c r="C41" s="30">
        <v>5557881</v>
      </c>
      <c r="D41" s="30">
        <v>5317086131.8000259</v>
      </c>
      <c r="E41" s="34">
        <f t="shared" si="4"/>
        <v>3.7136915071041408</v>
      </c>
      <c r="F41" s="43">
        <f t="shared" si="2"/>
        <v>3552.7960404706332</v>
      </c>
      <c r="G41" s="43">
        <f t="shared" si="3"/>
        <v>956.67505867794318</v>
      </c>
      <c r="H41" s="27">
        <v>0.53804168461227064</v>
      </c>
      <c r="I41" s="59">
        <f>(B41/('Consumidores Inadimplentes'!B77*1000000))</f>
        <v>2.2964732421075457E-2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1505271</v>
      </c>
      <c r="C42" s="30">
        <v>5576392</v>
      </c>
      <c r="D42" s="30">
        <v>5372031649.1700344</v>
      </c>
      <c r="E42" s="34">
        <f t="shared" si="4"/>
        <v>3.704576783848224</v>
      </c>
      <c r="F42" s="43">
        <f t="shared" si="2"/>
        <v>3568.8136217133224</v>
      </c>
      <c r="G42" s="43">
        <f t="shared" si="3"/>
        <v>963.3525851787382</v>
      </c>
      <c r="H42" s="27">
        <v>0.54040981178814718</v>
      </c>
      <c r="I42" s="59">
        <f>(B42/('Consumidores Inadimplentes'!B78*1000000))</f>
        <v>2.2913377362328253E-2</v>
      </c>
    </row>
    <row r="43" spans="1:16" x14ac:dyDescent="0.35">
      <c r="A43" s="5">
        <v>44652</v>
      </c>
      <c r="B43" s="30">
        <v>1509668</v>
      </c>
      <c r="C43" s="30">
        <v>5719246</v>
      </c>
      <c r="D43" s="30">
        <v>5453982976.5400381</v>
      </c>
      <c r="E43" s="34">
        <f t="shared" si="4"/>
        <v>3.7884130815517052</v>
      </c>
      <c r="F43" s="43">
        <f t="shared" si="2"/>
        <v>3612.7035722688947</v>
      </c>
      <c r="G43" s="43">
        <f t="shared" si="3"/>
        <v>953.61923172041179</v>
      </c>
      <c r="H43" s="27">
        <v>0.5412352413740934</v>
      </c>
      <c r="I43" s="59">
        <f>(B43/('Consumidores Inadimplentes'!B79*1000000))</f>
        <v>2.2827870098092212E-2</v>
      </c>
    </row>
    <row r="44" spans="1:16" x14ac:dyDescent="0.35">
      <c r="A44" s="5">
        <v>44682</v>
      </c>
      <c r="B44" s="30">
        <v>1489328</v>
      </c>
      <c r="C44" s="30">
        <v>5535312</v>
      </c>
      <c r="D44" s="30">
        <v>5488478453.9600134</v>
      </c>
      <c r="E44" s="34">
        <f t="shared" si="4"/>
        <v>3.7166507310679715</v>
      </c>
      <c r="F44" s="43">
        <f t="shared" si="2"/>
        <v>3685.2046385752592</v>
      </c>
      <c r="G44" s="43">
        <f t="shared" si="3"/>
        <v>991.53913166231894</v>
      </c>
      <c r="H44" s="27">
        <v>0.5332010111761385</v>
      </c>
      <c r="I44" s="59">
        <f>(B44/('Consumidores Inadimplentes'!B80*1000000))</f>
        <v>2.236906084663674E-2</v>
      </c>
    </row>
    <row r="45" spans="1:16" x14ac:dyDescent="0.35">
      <c r="A45" s="5">
        <v>44713</v>
      </c>
      <c r="B45" s="30">
        <v>1497194</v>
      </c>
      <c r="C45" s="30">
        <v>5588113</v>
      </c>
      <c r="D45" s="30">
        <v>5524884872.2000704</v>
      </c>
      <c r="E45" s="34">
        <f t="shared" si="4"/>
        <v>3.7323907255839925</v>
      </c>
      <c r="F45" s="43">
        <f t="shared" si="2"/>
        <v>3690.1596401001275</v>
      </c>
      <c r="G45" s="43">
        <f t="shared" si="3"/>
        <v>988.68524530553873</v>
      </c>
      <c r="H45" s="27">
        <v>0.53527226705087827</v>
      </c>
      <c r="I45" s="59">
        <f>(B45/('Consumidores Inadimplentes'!B81*1000000))</f>
        <v>2.2406836417241449E-2</v>
      </c>
    </row>
    <row r="46" spans="1:16" x14ac:dyDescent="0.35">
      <c r="A46" s="5">
        <v>44743</v>
      </c>
      <c r="B46" s="30">
        <v>1490605</v>
      </c>
      <c r="C46" s="30">
        <v>5568356</v>
      </c>
      <c r="D46" s="30">
        <v>5516989010.5100403</v>
      </c>
      <c r="E46" s="34">
        <f t="shared" si="4"/>
        <v>3.7356348596710731</v>
      </c>
      <c r="F46" s="43">
        <f t="shared" si="2"/>
        <v>3701.174362430047</v>
      </c>
      <c r="G46" s="43">
        <f t="shared" si="3"/>
        <v>990.77519657687844</v>
      </c>
      <c r="H46" s="27">
        <v>0.53217589807505494</v>
      </c>
      <c r="I46" s="59">
        <f>(B46/('Consumidores Inadimplentes'!B82*1000000))</f>
        <v>2.203984253734189E-2</v>
      </c>
    </row>
    <row r="47" spans="1:16" x14ac:dyDescent="0.35">
      <c r="A47" s="5">
        <v>44774</v>
      </c>
      <c r="B47" s="30">
        <v>1487955</v>
      </c>
      <c r="C47" s="30">
        <v>5555406</v>
      </c>
      <c r="D47" s="30">
        <v>5552619644.4500704</v>
      </c>
      <c r="E47" s="34">
        <f t="shared" si="4"/>
        <v>3.7335846850207162</v>
      </c>
      <c r="F47" s="43">
        <f t="shared" si="2"/>
        <v>3731.7120776166421</v>
      </c>
      <c r="G47" s="43">
        <f t="shared" si="3"/>
        <v>999.49844249908483</v>
      </c>
      <c r="H47" s="27">
        <v>0.53042307153477641</v>
      </c>
      <c r="I47" s="59">
        <f>(B47/('Consumidores Inadimplentes'!B83*1000000))</f>
        <v>2.1889339247223159E-2</v>
      </c>
    </row>
    <row r="48" spans="1:16" x14ac:dyDescent="0.35">
      <c r="A48" s="5">
        <v>44805</v>
      </c>
      <c r="B48" s="30">
        <v>1492440</v>
      </c>
      <c r="C48" s="30">
        <v>5500592</v>
      </c>
      <c r="D48" s="30">
        <v>5494495004.8000803</v>
      </c>
      <c r="E48" s="34">
        <f t="shared" ref="E48" si="5">C48/B48</f>
        <v>3.685636943528718</v>
      </c>
      <c r="F48" s="43">
        <f t="shared" ref="F48" si="6">D48/B48</f>
        <v>3681.5516903862672</v>
      </c>
      <c r="G48" s="43">
        <f t="shared" ref="G48" si="7">F48/E48</f>
        <v>998.89157472506247</v>
      </c>
      <c r="H48" s="27">
        <v>0.53121403927902899</v>
      </c>
      <c r="I48" s="59">
        <f>(B48/('Consumidores Inadimplentes'!B84*1000000))</f>
        <v>2.1823111228103612E-2</v>
      </c>
    </row>
    <row r="49" spans="1:16" x14ac:dyDescent="0.35">
      <c r="A49" s="5">
        <v>44835</v>
      </c>
      <c r="B49" s="30">
        <v>1494137</v>
      </c>
      <c r="C49" s="30">
        <v>5485675</v>
      </c>
      <c r="D49" s="30">
        <v>5538524780.2700596</v>
      </c>
      <c r="E49" s="34">
        <f t="shared" ref="E49:E50" si="8">C49/B49</f>
        <v>3.6714672081609652</v>
      </c>
      <c r="F49" s="43">
        <f t="shared" ref="F49:F50" si="9">D49/B49</f>
        <v>3706.8386501840591</v>
      </c>
      <c r="G49" s="43">
        <f t="shared" ref="G49:G50" si="10">F49/E49</f>
        <v>1009.6341435229136</v>
      </c>
      <c r="H49" s="27">
        <v>0.53101044082619642</v>
      </c>
      <c r="I49" s="59">
        <f>(B49/('Consumidores Inadimplentes'!B85*1000000))</f>
        <v>2.1636398759047645E-2</v>
      </c>
    </row>
    <row r="50" spans="1:16" x14ac:dyDescent="0.35">
      <c r="A50" s="5">
        <v>44866</v>
      </c>
      <c r="B50" s="30">
        <v>1501646</v>
      </c>
      <c r="C50" s="30">
        <v>5505517</v>
      </c>
      <c r="D50" s="30">
        <v>5691416558.5500231</v>
      </c>
      <c r="E50" s="34">
        <f t="shared" si="8"/>
        <v>3.6663214898850995</v>
      </c>
      <c r="F50" s="43">
        <f t="shared" si="9"/>
        <v>3790.1186821328215</v>
      </c>
      <c r="G50" s="43">
        <f t="shared" si="10"/>
        <v>1033.7660493192598</v>
      </c>
      <c r="H50" s="27">
        <v>0.53286875528070743</v>
      </c>
      <c r="I50" s="59">
        <f>(B50/('Consumidores Inadimplentes'!B86*1000000))</f>
        <v>2.1502847486346732E-2</v>
      </c>
    </row>
    <row r="51" spans="1:16" ht="15" thickBot="1" x14ac:dyDescent="0.4">
      <c r="A51" s="12">
        <v>44896</v>
      </c>
      <c r="B51" s="31">
        <v>1495410</v>
      </c>
      <c r="C51" s="31">
        <v>5489100</v>
      </c>
      <c r="D51" s="31">
        <v>5720657708.0800447</v>
      </c>
      <c r="E51" s="35">
        <f t="shared" ref="E51:E52" si="11">C51/B51</f>
        <v>3.6706321343310528</v>
      </c>
      <c r="F51" s="46">
        <f t="shared" ref="F51:F52" si="12">D51/B51</f>
        <v>3825.4777673548024</v>
      </c>
      <c r="G51" s="46">
        <f t="shared" ref="G51:G52" si="13">F51/E51</f>
        <v>1042.1850044779737</v>
      </c>
      <c r="H51" s="28">
        <v>0.52985001383610053</v>
      </c>
      <c r="I51" s="59">
        <f>(B51/('Consumidores Inadimplentes'!B87*1000000))</f>
        <v>2.1538596174561189E-2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1546223</v>
      </c>
      <c r="C52" s="29">
        <v>5714805</v>
      </c>
      <c r="D52" s="29">
        <v>5974161662.6099873</v>
      </c>
      <c r="E52" s="33">
        <f t="shared" si="11"/>
        <v>3.6959772296751505</v>
      </c>
      <c r="F52" s="45">
        <f t="shared" si="12"/>
        <v>3863.7128425912611</v>
      </c>
      <c r="G52" s="45">
        <f t="shared" si="13"/>
        <v>1045.3832917501099</v>
      </c>
      <c r="H52" s="26">
        <v>0.54702188479526781</v>
      </c>
      <c r="I52" s="59">
        <f>(B52/('Consumidores Inadimplentes'!B88*1000000))</f>
        <v>2.2059599494539946E-2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1539094</v>
      </c>
      <c r="C53" s="30">
        <v>5835118</v>
      </c>
      <c r="D53" s="30">
        <v>6122969979.9300032</v>
      </c>
      <c r="E53" s="34">
        <f t="shared" ref="E53:E58" si="14">C53/B53</f>
        <v>3.7912681096801104</v>
      </c>
      <c r="F53" s="43">
        <f t="shared" ref="F53" si="15">D53/B53</f>
        <v>3978.295009875942</v>
      </c>
      <c r="G53" s="43">
        <f t="shared" ref="G53" si="16">F53/E53</f>
        <v>1049.3309612470568</v>
      </c>
      <c r="H53" s="27">
        <v>0.54367292034848047</v>
      </c>
      <c r="I53" s="59">
        <f>(B53/('Consumidores Inadimplentes'!B89*1000000))</f>
        <v>2.1822780241264956E-2</v>
      </c>
    </row>
    <row r="54" spans="1:16" x14ac:dyDescent="0.35">
      <c r="A54" s="5">
        <v>44986</v>
      </c>
      <c r="B54" s="30">
        <v>1531452</v>
      </c>
      <c r="C54" s="30">
        <v>5806232</v>
      </c>
      <c r="D54" s="30">
        <v>6207715830.8600273</v>
      </c>
      <c r="E54" s="34">
        <f t="shared" si="14"/>
        <v>3.7913248342096257</v>
      </c>
      <c r="F54" s="43">
        <f t="shared" ref="F54" si="17">D54/B54</f>
        <v>4053.4837728247621</v>
      </c>
      <c r="G54" s="43">
        <f t="shared" ref="G54" si="18">F54/E54</f>
        <v>1069.1470528322031</v>
      </c>
      <c r="H54" s="27">
        <v>0.54015183980107395</v>
      </c>
      <c r="I54" s="59">
        <f>(B54/('Consumidores Inadimplentes'!B90*1000000))</f>
        <v>2.1659006907014267E-2</v>
      </c>
    </row>
    <row r="55" spans="1:16" x14ac:dyDescent="0.35">
      <c r="A55" s="5">
        <v>45017</v>
      </c>
      <c r="B55" s="30">
        <v>1542025</v>
      </c>
      <c r="C55" s="30">
        <v>5858073</v>
      </c>
      <c r="D55" s="30">
        <v>6359324611.2200222</v>
      </c>
      <c r="E55" s="34">
        <f t="shared" si="14"/>
        <v>3.7989481363791118</v>
      </c>
      <c r="F55" s="43">
        <f t="shared" ref="F55" si="19">D55/B55</f>
        <v>4124.0087619980368</v>
      </c>
      <c r="G55" s="43">
        <f t="shared" ref="G55" si="20">F55/E55</f>
        <v>1085.5659550879654</v>
      </c>
      <c r="H55" s="27">
        <v>0.5430550825715601</v>
      </c>
      <c r="I55" s="59">
        <f>(B55/('Consumidores Inadimplentes'!B91*1000000))</f>
        <v>2.1585024524781615E-2</v>
      </c>
    </row>
    <row r="56" spans="1:16" x14ac:dyDescent="0.35">
      <c r="A56" s="5">
        <v>45047</v>
      </c>
      <c r="B56" s="30">
        <v>1545540</v>
      </c>
      <c r="C56" s="30">
        <v>5909620</v>
      </c>
      <c r="D56" s="30">
        <v>6355804397.7100239</v>
      </c>
      <c r="E56" s="34">
        <f t="shared" si="14"/>
        <v>3.8236603387812673</v>
      </c>
      <c r="F56" s="43">
        <f t="shared" ref="F56:F57" si="21">D56/B56</f>
        <v>4112.3519272940357</v>
      </c>
      <c r="G56" s="43">
        <f t="shared" ref="G56:G57" si="22">F56/E56</f>
        <v>1075.5013685668494</v>
      </c>
      <c r="H56" s="27">
        <v>0.54346633584822857</v>
      </c>
      <c r="I56" s="59">
        <f>(B56/('Consumidores Inadimplentes'!B92*1000000))</f>
        <v>2.1494620003172583E-2</v>
      </c>
    </row>
    <row r="57" spans="1:16" x14ac:dyDescent="0.35">
      <c r="A57" s="5">
        <v>45078</v>
      </c>
      <c r="B57" s="30">
        <v>1535735</v>
      </c>
      <c r="C57" s="30">
        <v>5888690</v>
      </c>
      <c r="D57" s="30">
        <v>6410269476.2299919</v>
      </c>
      <c r="E57" s="34">
        <f t="shared" si="14"/>
        <v>3.8344440935447848</v>
      </c>
      <c r="F57" s="43">
        <f t="shared" si="21"/>
        <v>4174.0726598208621</v>
      </c>
      <c r="G57" s="43">
        <f t="shared" si="22"/>
        <v>1088.5730911679832</v>
      </c>
      <c r="H57" s="27">
        <v>0.53919852705990245</v>
      </c>
      <c r="I57" s="59">
        <f>(B57/('Consumidores Inadimplentes'!B93*1000000))</f>
        <v>2.1492778789639712E-2</v>
      </c>
    </row>
    <row r="58" spans="1:16" x14ac:dyDescent="0.35">
      <c r="A58" s="5">
        <v>45108</v>
      </c>
      <c r="B58" s="30">
        <v>1524263</v>
      </c>
      <c r="C58" s="30">
        <v>5924466</v>
      </c>
      <c r="D58" s="30">
        <v>6582373225.3199806</v>
      </c>
      <c r="E58" s="34">
        <f t="shared" si="14"/>
        <v>3.8867741328104142</v>
      </c>
      <c r="F58" s="43">
        <f t="shared" ref="F58" si="23">D58/B58</f>
        <v>4318.3973010694217</v>
      </c>
      <c r="G58" s="43">
        <f t="shared" ref="G58" si="24">F58/E58</f>
        <v>1111.04920263193</v>
      </c>
      <c r="H58" s="27">
        <v>0.5343579503406295</v>
      </c>
      <c r="I58" s="59">
        <f>(B58/('Consumidores Inadimplentes'!B94*1000000))</f>
        <v>2.1342530246031454E-2</v>
      </c>
    </row>
    <row r="59" spans="1:16" x14ac:dyDescent="0.35">
      <c r="A59" s="5">
        <v>45139</v>
      </c>
      <c r="B59" s="30">
        <v>1547883</v>
      </c>
      <c r="C59" s="30">
        <v>6068799</v>
      </c>
      <c r="D59" s="30">
        <v>6722592171.6099892</v>
      </c>
      <c r="E59" s="34">
        <f t="shared" ref="E59" si="25">C59/B59</f>
        <v>3.920709123363975</v>
      </c>
      <c r="F59" s="43">
        <f t="shared" ref="F59" si="26">D59/B59</f>
        <v>4343.0880574371504</v>
      </c>
      <c r="G59" s="43">
        <f t="shared" ref="G59" si="27">F59/E59</f>
        <v>1107.7302398069187</v>
      </c>
      <c r="H59" s="27">
        <v>0.54179998298871479</v>
      </c>
      <c r="I59" s="59">
        <f>(B59/('Consumidores Inadimplentes'!B95*1000000))</f>
        <v>2.157656968724489E-2</v>
      </c>
    </row>
    <row r="60" spans="1:16" x14ac:dyDescent="0.35">
      <c r="A60" s="5">
        <v>45170</v>
      </c>
      <c r="B60" s="30">
        <v>1549563</v>
      </c>
      <c r="C60" s="30">
        <v>6111940</v>
      </c>
      <c r="D60" s="30">
        <v>6846726963.6799803</v>
      </c>
      <c r="E60" s="34">
        <f t="shared" ref="E60" si="28">C60/B60</f>
        <v>3.9442991346592557</v>
      </c>
      <c r="F60" s="43">
        <f t="shared" ref="F60" si="29">D60/B60</f>
        <v>4418.4889311889738</v>
      </c>
      <c r="G60" s="43">
        <f t="shared" ref="G60" si="30">F60/E60</f>
        <v>1120.2215603687175</v>
      </c>
      <c r="H60" s="27">
        <v>0.54154999671483506</v>
      </c>
      <c r="I60" s="59">
        <f>(B60/('Consumidores Inadimplentes'!B96*1000000))</f>
        <v>2.1575001884168072E-2</v>
      </c>
    </row>
    <row r="61" spans="1:16" x14ac:dyDescent="0.35">
      <c r="A61" s="5">
        <v>45200</v>
      </c>
      <c r="B61" s="30">
        <v>1555886</v>
      </c>
      <c r="C61" s="30">
        <v>6144057</v>
      </c>
      <c r="D61" s="30">
        <v>7006149942.8499985</v>
      </c>
      <c r="E61" s="34">
        <f t="shared" ref="E61" si="31">C61/B61</f>
        <v>3.9489120668223765</v>
      </c>
      <c r="F61" s="43">
        <f t="shared" ref="F61" si="32">D61/B61</f>
        <v>4502.996969475912</v>
      </c>
      <c r="G61" s="43">
        <f t="shared" ref="G61" si="33">F61/E61</f>
        <v>1140.3133048488969</v>
      </c>
      <c r="H61" s="27">
        <v>0.54291961409405343</v>
      </c>
      <c r="I61" s="59">
        <f>(B61/('Consumidores Inadimplentes'!B97*1000000))</f>
        <v>2.1623789267460482E-2</v>
      </c>
    </row>
    <row r="62" spans="1:16" x14ac:dyDescent="0.35">
      <c r="A62" s="5">
        <v>45231</v>
      </c>
      <c r="B62" s="30">
        <v>1546831</v>
      </c>
      <c r="C62" s="30">
        <v>6116849</v>
      </c>
      <c r="D62" s="30">
        <v>6996913234.7599697</v>
      </c>
      <c r="E62" s="34">
        <f t="shared" ref="E62" si="34">C62/B62</f>
        <v>3.9544391080861452</v>
      </c>
      <c r="F62" s="43">
        <f t="shared" ref="F62" si="35">D62/B62</f>
        <v>4523.3857058463209</v>
      </c>
      <c r="G62" s="43">
        <f t="shared" ref="G62" si="36">F62/E62</f>
        <v>1143.8754225844009</v>
      </c>
      <c r="H62" s="27">
        <v>0.53892588384617024</v>
      </c>
      <c r="I62" s="59">
        <f>(B62/('Consumidores Inadimplentes'!B98*1000000))</f>
        <v>2.154093112666226E-2</v>
      </c>
    </row>
    <row r="63" spans="1:16" ht="15" thickBot="1" x14ac:dyDescent="0.4">
      <c r="A63" s="12">
        <v>45261</v>
      </c>
      <c r="B63" s="31">
        <v>1527467</v>
      </c>
      <c r="C63" s="31">
        <v>6047251</v>
      </c>
      <c r="D63" s="31">
        <v>6938211383.5299845</v>
      </c>
      <c r="E63" s="35">
        <f t="shared" ref="E63" si="37">C63/B63</f>
        <v>3.9590059883454112</v>
      </c>
      <c r="F63" s="46">
        <f t="shared" ref="F63" si="38">D63/B63</f>
        <v>4542.2987099099255</v>
      </c>
      <c r="G63" s="46">
        <f t="shared" ref="G63" si="39">F63/E63</f>
        <v>1147.3331243452576</v>
      </c>
      <c r="H63" s="28">
        <v>0.53135700204511638</v>
      </c>
      <c r="I63" s="59">
        <f>(B63/('Consumidores Inadimplentes'!B99*1000000))</f>
        <v>2.1482624527127684E-2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1547511</v>
      </c>
      <c r="C64" s="29">
        <v>6127761</v>
      </c>
      <c r="D64" s="29">
        <v>7174848966.4199829</v>
      </c>
      <c r="E64" s="33">
        <f t="shared" ref="E64" si="40">C64/B64</f>
        <v>3.9597527901255631</v>
      </c>
      <c r="F64" s="45">
        <f t="shared" ref="F64" si="41">D64/B64</f>
        <v>4636.3799458743642</v>
      </c>
      <c r="G64" s="45">
        <f t="shared" ref="G64" si="42">F64/E64</f>
        <v>1170.8761106087497</v>
      </c>
      <c r="H64" s="26">
        <v>0.53749798982390684</v>
      </c>
      <c r="I64" s="59">
        <f>(B64/('Consumidores Inadimplentes'!B100*1000000))</f>
        <v>2.1472387275138873E-2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1545056</v>
      </c>
      <c r="C65" s="30">
        <v>6116560</v>
      </c>
      <c r="D65" s="30">
        <v>7177250008.2099638</v>
      </c>
      <c r="E65" s="34">
        <f t="shared" ref="E65" si="43">C65/B65</f>
        <v>3.9587950210218916</v>
      </c>
      <c r="F65" s="43">
        <f t="shared" ref="F65" si="44">D65/B65</f>
        <v>4645.3008876118174</v>
      </c>
      <c r="G65" s="43">
        <f t="shared" ref="G65" si="45">F65/E65</f>
        <v>1173.412834699564</v>
      </c>
      <c r="H65" s="27">
        <v>0.53581619361649302</v>
      </c>
      <c r="I65" s="59">
        <f>(B65/('Consumidores Inadimplentes'!B101*1000000))</f>
        <v>2.1447415418450352E-2</v>
      </c>
    </row>
    <row r="66" spans="1:16" x14ac:dyDescent="0.35">
      <c r="A66" s="5">
        <v>45352</v>
      </c>
      <c r="B66" s="30">
        <v>1548784</v>
      </c>
      <c r="C66" s="30">
        <v>6103165</v>
      </c>
      <c r="D66" s="30">
        <v>7232007742.4299955</v>
      </c>
      <c r="E66" s="34">
        <f t="shared" ref="E66" si="46">C66/B66</f>
        <v>3.9406172842694658</v>
      </c>
      <c r="F66" s="43">
        <f t="shared" ref="F66" si="47">D66/B66</f>
        <v>4669.4747249648726</v>
      </c>
      <c r="G66" s="43">
        <f t="shared" ref="G66" si="48">F66/E66</f>
        <v>1184.9602202185251</v>
      </c>
      <c r="H66" s="27">
        <v>0.53627920601602896</v>
      </c>
      <c r="I66" s="59">
        <f>(B66/('Consumidores Inadimplentes'!B102*1000000))</f>
        <v>2.1246831787953769E-2</v>
      </c>
    </row>
    <row r="67" spans="1:16" x14ac:dyDescent="0.35">
      <c r="A67" s="5">
        <v>45383</v>
      </c>
      <c r="B67" s="30">
        <v>1562937</v>
      </c>
      <c r="C67" s="30">
        <v>6177016</v>
      </c>
      <c r="D67" s="30">
        <v>7385784143.6999664</v>
      </c>
      <c r="E67" s="34">
        <f t="shared" ref="E67" si="49">C67/B67</f>
        <v>3.9521848929291457</v>
      </c>
      <c r="F67" s="43">
        <f t="shared" ref="F67" si="50">D67/B67</f>
        <v>4725.5802016971675</v>
      </c>
      <c r="G67" s="43">
        <f t="shared" ref="G67" si="51">F67/E67</f>
        <v>1195.6880383181726</v>
      </c>
      <c r="H67" s="27">
        <v>0.54034365582282651</v>
      </c>
      <c r="I67" s="59">
        <f>(B67/('Consumidores Inadimplentes'!B103*1000000))</f>
        <v>2.128768180522024E-2</v>
      </c>
    </row>
    <row r="68" spans="1:16" x14ac:dyDescent="0.35">
      <c r="A68" s="5">
        <v>45413</v>
      </c>
      <c r="B68" s="30">
        <v>1543741</v>
      </c>
      <c r="C68" s="30">
        <v>6105612</v>
      </c>
      <c r="D68" s="30">
        <v>7304563332.4100437</v>
      </c>
      <c r="E68" s="34">
        <f t="shared" ref="E68" si="52">C68/B68</f>
        <v>3.9550753656215649</v>
      </c>
      <c r="F68" s="43">
        <f t="shared" ref="F68" si="53">D68/B68</f>
        <v>4731.7285298570441</v>
      </c>
      <c r="G68" s="43">
        <f t="shared" ref="G68" si="54">F68/E68</f>
        <v>1196.3687395153906</v>
      </c>
      <c r="H68" s="27">
        <v>0.53288253940419672</v>
      </c>
      <c r="I68" s="59">
        <f>(B68/('Consumidores Inadimplentes'!B104*1000000))</f>
        <v>2.1282601326831622E-2</v>
      </c>
    </row>
    <row r="69" spans="1:16" x14ac:dyDescent="0.35">
      <c r="A69" s="5">
        <v>45444</v>
      </c>
      <c r="B69" s="30">
        <v>1549693</v>
      </c>
      <c r="C69" s="30">
        <v>6131031</v>
      </c>
      <c r="D69" s="30">
        <v>7224763287.04</v>
      </c>
      <c r="E69" s="34">
        <f t="shared" ref="E69" si="55">C69/B69</f>
        <v>3.9562874711313789</v>
      </c>
      <c r="F69" s="43">
        <f t="shared" ref="F69" si="56">D69/B69</f>
        <v>4662.0609933967562</v>
      </c>
      <c r="G69" s="43">
        <f t="shared" ref="G69" si="57">F69/E69</f>
        <v>1178.3928815626605</v>
      </c>
      <c r="H69" s="27">
        <v>0.53411057796698613</v>
      </c>
      <c r="I69" s="59">
        <f>(B69/('Consumidores Inadimplentes'!B105*1000000))</f>
        <v>2.1374742121267845E-2</v>
      </c>
    </row>
    <row r="70" spans="1:16" x14ac:dyDescent="0.35">
      <c r="A70" s="5">
        <v>45474</v>
      </c>
      <c r="B70" s="30">
        <v>1551170</v>
      </c>
      <c r="C70" s="30">
        <v>6065757</v>
      </c>
      <c r="D70" s="30">
        <v>7102496930.6199999</v>
      </c>
      <c r="E70" s="34">
        <f t="shared" ref="E70" si="58">C70/B70</f>
        <v>3.9104398615238818</v>
      </c>
      <c r="F70" s="43">
        <f t="shared" ref="F70" si="59">D70/B70</f>
        <v>4578.7998289162369</v>
      </c>
      <c r="G70" s="43">
        <f t="shared" ref="G70" si="60">F70/E70</f>
        <v>1170.9168254877338</v>
      </c>
      <c r="H70" s="27">
        <v>0.53379340295402133</v>
      </c>
      <c r="I70" s="59">
        <f>(B70/('Consumidores Inadimplentes'!B106*1000000))</f>
        <v>2.1347116637137661E-2</v>
      </c>
    </row>
    <row r="71" spans="1:16" x14ac:dyDescent="0.35">
      <c r="A71" s="5">
        <v>45505</v>
      </c>
      <c r="B71" s="30">
        <v>1549898</v>
      </c>
      <c r="C71" s="30">
        <v>6003106</v>
      </c>
      <c r="D71" s="30">
        <v>7077977906.779974</v>
      </c>
      <c r="E71" s="34">
        <f t="shared" ref="E71" si="61">C71/B71</f>
        <v>3.8732264961952336</v>
      </c>
      <c r="F71" s="43">
        <f t="shared" ref="F71" si="62">D71/B71</f>
        <v>4566.7378800282177</v>
      </c>
      <c r="G71" s="43">
        <f t="shared" ref="G71" si="63">F71/E71</f>
        <v>1179.0526282194542</v>
      </c>
      <c r="H71" s="27">
        <v>0.53254054016908414</v>
      </c>
      <c r="I71" s="59">
        <f>(B71/('Consumidores Inadimplentes'!B107*1000000))</f>
        <v>2.1388954900007646E-2</v>
      </c>
    </row>
    <row r="72" spans="1:16" x14ac:dyDescent="0.35">
      <c r="A72" s="5">
        <v>45536</v>
      </c>
      <c r="B72" s="30">
        <v>1554055</v>
      </c>
      <c r="C72" s="30">
        <v>5981566</v>
      </c>
      <c r="D72" s="30">
        <v>7247621730.4499598</v>
      </c>
      <c r="E72" s="34">
        <f t="shared" ref="E72" si="64">C72/B72</f>
        <v>3.8490053440837038</v>
      </c>
      <c r="F72" s="43">
        <f t="shared" ref="F72" si="65">D72/B72</f>
        <v>4663.6841877861207</v>
      </c>
      <c r="G72" s="43">
        <f t="shared" ref="G72" si="66">F72/E72</f>
        <v>1211.6595771826239</v>
      </c>
      <c r="H72" s="27">
        <v>0.53315294601176944</v>
      </c>
      <c r="I72" s="59">
        <f>(B72/('Consumidores Inadimplentes'!B108*1000000))</f>
        <v>2.1393361734379123E-2</v>
      </c>
    </row>
    <row r="73" spans="1:16" x14ac:dyDescent="0.35">
      <c r="A73" s="5">
        <v>45566</v>
      </c>
      <c r="B73" s="30">
        <v>1561299</v>
      </c>
      <c r="C73" s="30">
        <v>5983122</v>
      </c>
      <c r="D73" s="30">
        <v>7375703725.5099583</v>
      </c>
      <c r="E73" s="34">
        <f t="shared" ref="E73" si="67">C73/B73</f>
        <v>3.8321436188712092</v>
      </c>
      <c r="F73" s="43">
        <f t="shared" ref="F73" si="68">D73/B73</f>
        <v>4724.0815023323257</v>
      </c>
      <c r="G73" s="43">
        <f t="shared" ref="G73" si="69">F73/E73</f>
        <v>1232.7516847408356</v>
      </c>
      <c r="H73" s="27">
        <v>0.53481964854588426</v>
      </c>
      <c r="I73" s="59">
        <f>(B73/('Consumidores Inadimplentes'!B109*1000000))</f>
        <v>2.1357233715970907E-2</v>
      </c>
    </row>
    <row r="74" spans="1:16" x14ac:dyDescent="0.35">
      <c r="A74" s="5">
        <v>45597</v>
      </c>
      <c r="B74" s="30">
        <v>1568647</v>
      </c>
      <c r="C74" s="30">
        <v>6065983</v>
      </c>
      <c r="D74" s="30">
        <v>7576834088.0099659</v>
      </c>
      <c r="E74" s="34">
        <f t="shared" ref="E74:E75" si="70">C74/B74</f>
        <v>3.8670159698134761</v>
      </c>
      <c r="F74" s="43">
        <f t="shared" ref="F74:F75" si="71">D74/B74</f>
        <v>4830.1715350935974</v>
      </c>
      <c r="G74" s="43">
        <f t="shared" ref="G74:G75" si="72">F74/E74</f>
        <v>1249.0694563453221</v>
      </c>
      <c r="H74" s="27">
        <v>0.53651555116548233</v>
      </c>
      <c r="I74" s="59">
        <f>(B74/('Consumidores Inadimplentes'!B110*1000000))</f>
        <v>2.1258607370653056E-2</v>
      </c>
    </row>
    <row r="75" spans="1:16" ht="15" thickBot="1" x14ac:dyDescent="0.4">
      <c r="A75" s="12">
        <v>45627</v>
      </c>
      <c r="B75" s="31">
        <v>1535278</v>
      </c>
      <c r="C75" s="31">
        <v>5897194</v>
      </c>
      <c r="D75" s="31">
        <v>7479616788.2699728</v>
      </c>
      <c r="E75" s="35">
        <f t="shared" si="70"/>
        <v>3.8411245390085704</v>
      </c>
      <c r="F75" s="46">
        <f t="shared" si="71"/>
        <v>4871.83219473605</v>
      </c>
      <c r="G75" s="46">
        <f t="shared" si="72"/>
        <v>1268.3348704943357</v>
      </c>
      <c r="H75" s="28">
        <v>0.52430006662698414</v>
      </c>
      <c r="I75" s="59">
        <f>(B75/('Consumidores Inadimplentes'!B111*1000000))</f>
        <v>2.0884654710346787E-2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1580220</v>
      </c>
      <c r="C76" s="29">
        <v>6081425</v>
      </c>
      <c r="D76" s="29">
        <v>7826116701.5199499</v>
      </c>
      <c r="E76" s="33">
        <f t="shared" ref="E76:E77" si="73">C76/B76</f>
        <v>3.8484673020212377</v>
      </c>
      <c r="F76" s="45">
        <f t="shared" ref="F76:F77" si="74">D76/B76</f>
        <v>4952.5488232777398</v>
      </c>
      <c r="G76" s="45">
        <f t="shared" ref="G76:G77" si="75">F76/E76</f>
        <v>1286.8886324372907</v>
      </c>
      <c r="H76" s="26">
        <v>0.53882310820141677</v>
      </c>
      <c r="I76" s="59">
        <f>(B76/('Consumidores Inadimplentes'!B112*1000000))</f>
        <v>2.118174633232155E-2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1593116</v>
      </c>
      <c r="C77" s="30">
        <v>6127824</v>
      </c>
      <c r="D77" s="30">
        <v>7956543449.449934</v>
      </c>
      <c r="E77" s="34">
        <f t="shared" si="73"/>
        <v>3.8464393051102368</v>
      </c>
      <c r="F77" s="43">
        <f t="shared" si="74"/>
        <v>4994.3277510551234</v>
      </c>
      <c r="G77" s="43">
        <f t="shared" si="75"/>
        <v>1298.4288467570109</v>
      </c>
      <c r="H77" s="27">
        <v>0.54239016973227006</v>
      </c>
      <c r="I77" s="59">
        <f>(B77/('Consumidores Inadimplentes'!B113*1000000))</f>
        <v>2.1240587441737797E-2</v>
      </c>
    </row>
    <row r="78" spans="1:16" x14ac:dyDescent="0.35">
      <c r="A78" s="5">
        <v>45717</v>
      </c>
      <c r="B78" s="30">
        <v>1603583</v>
      </c>
      <c r="C78" s="30">
        <v>6157630</v>
      </c>
      <c r="D78" s="30">
        <v>8113128574.1699448</v>
      </c>
      <c r="E78" s="34">
        <f t="shared" ref="E78" si="76">C78/B78</f>
        <v>3.8399197297551795</v>
      </c>
      <c r="F78" s="43">
        <f t="shared" ref="F78" si="77">D78/B78</f>
        <v>5059.3755198015597</v>
      </c>
      <c r="G78" s="43">
        <f t="shared" ref="G78" si="78">F78/E78</f>
        <v>1317.5732504502455</v>
      </c>
      <c r="H78" s="27">
        <v>0.54511952065958935</v>
      </c>
      <c r="I78" s="59">
        <f>(B78/('Consumidores Inadimplentes'!B114*1000000))</f>
        <v>2.1163955733076927E-2</v>
      </c>
    </row>
    <row r="79" spans="1:16" x14ac:dyDescent="0.35">
      <c r="A79" s="5">
        <v>45748</v>
      </c>
      <c r="B79" s="30">
        <v>1597231</v>
      </c>
      <c r="C79" s="30">
        <v>6179339</v>
      </c>
      <c r="D79" s="30">
        <v>8301280302</v>
      </c>
      <c r="E79" s="34">
        <f t="shared" ref="E79:E80" si="79">C79/B79</f>
        <v>3.8687822863443047</v>
      </c>
      <c r="F79" s="43">
        <f t="shared" ref="F79:F80" si="80">D79/B79</f>
        <v>5197.2947569888138</v>
      </c>
      <c r="G79" s="43">
        <f t="shared" ref="G79:G80" si="81">F79/E79</f>
        <v>1343.3929263307937</v>
      </c>
      <c r="H79" s="27">
        <v>0.54213055344644356</v>
      </c>
      <c r="I79" s="59">
        <f>(B79/('Consumidores Inadimplentes'!B115*1000000))</f>
        <v>2.0841096236565389E-2</v>
      </c>
    </row>
    <row r="80" spans="1:16" x14ac:dyDescent="0.35">
      <c r="A80" s="5">
        <v>45778</v>
      </c>
      <c r="B80" s="30">
        <v>1626805</v>
      </c>
      <c r="C80" s="30">
        <v>6312841</v>
      </c>
      <c r="D80" s="30">
        <v>8472247084</v>
      </c>
      <c r="E80" s="34">
        <f t="shared" si="79"/>
        <v>3.8805148742473743</v>
      </c>
      <c r="F80" s="43">
        <f t="shared" si="80"/>
        <v>5207.9057317871529</v>
      </c>
      <c r="G80" s="43">
        <f t="shared" si="81"/>
        <v>1342.0656537999294</v>
      </c>
      <c r="H80" s="27">
        <v>0.55132476141416331</v>
      </c>
      <c r="I80" s="59">
        <f>(B80/('Consumidores Inadimplentes'!B116*1000000))</f>
        <v>2.1107524002144482E-2</v>
      </c>
    </row>
    <row r="81" spans="1:16" x14ac:dyDescent="0.35">
      <c r="A81" s="5">
        <v>45809</v>
      </c>
      <c r="B81" s="30">
        <v>1645171</v>
      </c>
      <c r="C81" s="30">
        <v>7068293</v>
      </c>
      <c r="D81" s="30">
        <v>8717964549</v>
      </c>
      <c r="E81" s="34">
        <f t="shared" ref="E81" si="82">C81/B81</f>
        <v>4.296388035043166</v>
      </c>
      <c r="F81" s="43">
        <f t="shared" ref="F81" si="83">D81/B81</f>
        <v>5299.123646721222</v>
      </c>
      <c r="G81" s="43">
        <f t="shared" ref="G81" si="84">F81/E81</f>
        <v>1233.3903743096105</v>
      </c>
      <c r="H81" s="27">
        <v>0.55669699475777912</v>
      </c>
      <c r="I81" s="59">
        <f>(B81/('Consumidores Inadimplentes'!B117*1000000))</f>
        <v>2.1125900115389357E-2</v>
      </c>
    </row>
    <row r="82" spans="1:16" x14ac:dyDescent="0.35">
      <c r="A82" s="5">
        <v>45839</v>
      </c>
      <c r="B82" s="30">
        <v>1659682</v>
      </c>
      <c r="C82" s="30">
        <v>7157111</v>
      </c>
      <c r="D82" s="30">
        <v>8898959259</v>
      </c>
      <c r="E82" s="34">
        <f t="shared" ref="E82" si="85">C82/B82</f>
        <v>4.3123387492302738</v>
      </c>
      <c r="F82" s="43">
        <f t="shared" ref="F82" si="86">D82/B82</f>
        <v>5361.8459795310182</v>
      </c>
      <c r="G82" s="43">
        <f t="shared" ref="G82" si="87">F82/E82</f>
        <v>1243.3730955129799</v>
      </c>
      <c r="H82" s="27">
        <v>0.56074903395850806</v>
      </c>
      <c r="I82" s="59">
        <f>(B82/('Consumidores Inadimplentes'!B118*1000000))</f>
        <v>2.1234094646850606E-2</v>
      </c>
    </row>
    <row r="83" spans="1:16" x14ac:dyDescent="0.35">
      <c r="A83" s="5">
        <v>45870</v>
      </c>
      <c r="B83" s="30">
        <v>1687120</v>
      </c>
      <c r="C83" s="30">
        <v>7378162</v>
      </c>
      <c r="D83" s="30">
        <v>9216159057</v>
      </c>
      <c r="E83" s="34">
        <f t="shared" ref="E83" si="88">C83/B83</f>
        <v>4.3732289345156241</v>
      </c>
      <c r="F83" s="43">
        <f t="shared" ref="F83" si="89">D83/B83</f>
        <v>5462.6576989188679</v>
      </c>
      <c r="G83" s="43">
        <f t="shared" ref="G83" si="90">F83/E83</f>
        <v>1249.1131337316801</v>
      </c>
      <c r="H83" s="27">
        <v>0.56915634898171441</v>
      </c>
      <c r="I83" s="59">
        <f>(B83/('Consumidores Inadimplentes'!B119*1000000))</f>
        <v>2.1396889742567309E-2</v>
      </c>
    </row>
    <row r="84" spans="1:16" x14ac:dyDescent="0.35">
      <c r="A84" s="5">
        <v>45901</v>
      </c>
      <c r="B84" s="30">
        <v>1701290</v>
      </c>
      <c r="C84" s="30">
        <v>7378248</v>
      </c>
      <c r="D84" s="30">
        <v>9323631874</v>
      </c>
      <c r="E84" s="34">
        <f>IFERROR(C84/B84,"")</f>
        <v>4.3368549747544511</v>
      </c>
      <c r="F84" s="43">
        <f>IFERROR(D84/B84,"")</f>
        <v>5480.3307337373408</v>
      </c>
      <c r="G84" s="43">
        <f>IFERROR(F84/E84,"")</f>
        <v>1263.6647445301378</v>
      </c>
      <c r="H84" s="27">
        <v>0.57306764952966605</v>
      </c>
      <c r="I84" s="59">
        <f>(B84/('Consumidores Inadimplentes'!B120*1000000))</f>
        <v>2.148990149323925E-2</v>
      </c>
    </row>
    <row r="85" spans="1:16" x14ac:dyDescent="0.35">
      <c r="A85" s="5">
        <v>45931</v>
      </c>
      <c r="B85" s="30">
        <v>1726646</v>
      </c>
      <c r="C85" s="30">
        <v>7502711</v>
      </c>
      <c r="D85" s="30">
        <v>9551943201</v>
      </c>
      <c r="E85" s="34">
        <f t="shared" ref="E85:E87" si="91">IFERROR(C85/B85,"")</f>
        <v>4.3452514296503164</v>
      </c>
      <c r="F85" s="43">
        <f t="shared" ref="F85:F87" si="92">IFERROR(D85/B85,"")</f>
        <v>5532.0796509533511</v>
      </c>
      <c r="G85" s="43">
        <f t="shared" ref="G85:G87" si="93">IFERROR(F85/E85,"")</f>
        <v>1273.1322319358962</v>
      </c>
      <c r="H85" s="27">
        <v>0.58072798599778563</v>
      </c>
      <c r="I85" s="59">
        <f>(B85/('Consumidores Inadimplentes'!B121*1000000))</f>
        <v>2.1465942862877282E-2</v>
      </c>
    </row>
    <row r="86" spans="1:16" x14ac:dyDescent="0.35">
      <c r="A86" s="5">
        <v>45962</v>
      </c>
      <c r="B86" s="30">
        <v>1732294</v>
      </c>
      <c r="C86" s="30">
        <v>7513417</v>
      </c>
      <c r="D86" s="30">
        <v>9714480877</v>
      </c>
      <c r="E86" s="34">
        <f t="shared" si="91"/>
        <v>4.3372643442741241</v>
      </c>
      <c r="F86" s="43">
        <f t="shared" si="92"/>
        <v>5607.8707638541728</v>
      </c>
      <c r="G86" s="43">
        <f t="shared" si="93"/>
        <v>1292.9511135878656</v>
      </c>
      <c r="H86" s="27">
        <v>0.58174536303044611</v>
      </c>
      <c r="I86" s="59">
        <f>(B86/('Consumidores Inadimplentes'!B122*1000000))</f>
        <v>2.1489850882521006E-2</v>
      </c>
    </row>
    <row r="87" spans="1:16" ht="15" thickBot="1" x14ac:dyDescent="0.4">
      <c r="A87" s="12">
        <v>45992</v>
      </c>
      <c r="B87" s="31">
        <v>1737276</v>
      </c>
      <c r="C87" s="31">
        <v>7566331</v>
      </c>
      <c r="D87" s="31">
        <v>9714187433</v>
      </c>
      <c r="E87" s="35">
        <f t="shared" si="91"/>
        <v>4.3552843647180985</v>
      </c>
      <c r="F87" s="46">
        <f t="shared" si="92"/>
        <v>5591.6201185073642</v>
      </c>
      <c r="G87" s="46">
        <f t="shared" si="93"/>
        <v>1283.870271205423</v>
      </c>
      <c r="H87" s="28">
        <v>0.58253517121868326</v>
      </c>
      <c r="I87" s="59">
        <f>(B87/('Consumidores Inadimplentes'!B123*1000000))</f>
        <v>2.1382380586376412E-2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1751815</v>
      </c>
      <c r="C88" s="29">
        <v>7623080</v>
      </c>
      <c r="D88" s="29">
        <v>9915039652</v>
      </c>
      <c r="E88" s="33">
        <f t="shared" ref="E88:E89" si="94">IFERROR(C88/B88,"")</f>
        <v>4.3515325533803511</v>
      </c>
      <c r="F88" s="45">
        <f t="shared" ref="F88:F89" si="95">IFERROR(D88/B88,"")</f>
        <v>5659.8668535204915</v>
      </c>
      <c r="G88" s="45">
        <f t="shared" ref="G88:G89" si="96">IFERROR(F88/E88,"")</f>
        <v>1300.6605797131867</v>
      </c>
      <c r="H88" s="26">
        <v>0.58652098071843017</v>
      </c>
      <c r="I88" s="59">
        <f>(B88/('Consumidores Inadimplentes'!B124*1000000))</f>
        <v>2.15424172256799E-2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1759071</v>
      </c>
      <c r="C89" s="30">
        <v>7699952</v>
      </c>
      <c r="D89" s="30">
        <v>10175598694</v>
      </c>
      <c r="E89" s="34">
        <f t="shared" si="94"/>
        <v>4.3772832364355958</v>
      </c>
      <c r="F89" s="43">
        <f t="shared" si="95"/>
        <v>5784.6435385496097</v>
      </c>
      <c r="G89" s="43">
        <f t="shared" si="96"/>
        <v>1321.5145619089574</v>
      </c>
      <c r="H89" s="27">
        <v>0.58805864570111044</v>
      </c>
      <c r="I89" s="59">
        <f>(B89/('Consumidores Inadimplentes'!B125*1000000))</f>
        <v>2.1522449076074517E-2</v>
      </c>
    </row>
    <row r="90" spans="1:16" x14ac:dyDescent="0.35">
      <c r="A90" s="5">
        <v>46082</v>
      </c>
      <c r="B90" s="30">
        <v>1800624</v>
      </c>
      <c r="C90" s="30">
        <v>7934041</v>
      </c>
      <c r="D90" s="30">
        <v>10562602643</v>
      </c>
      <c r="E90" s="34">
        <f t="shared" ref="E90" si="97">IFERROR(C90/B90,"")</f>
        <v>4.4062730475657323</v>
      </c>
      <c r="F90" s="43">
        <f t="shared" ref="F90" si="98">IFERROR(D90/B90,"")</f>
        <v>5866.0790053892424</v>
      </c>
      <c r="G90" s="43">
        <f t="shared" ref="G90" si="99">IFERROR(F90/E90,"")</f>
        <v>1331.3017468651851</v>
      </c>
      <c r="H90" s="27">
        <v>0.60103843477070817</v>
      </c>
      <c r="I90" s="59">
        <f>(B90/('Consumidores Inadimplentes'!B126*1000000))</f>
        <v>2.1738136548374479E-2</v>
      </c>
    </row>
    <row r="91" spans="1:16" x14ac:dyDescent="0.35">
      <c r="A91" s="5">
        <v>46113</v>
      </c>
      <c r="B91" s="30">
        <v>1815169</v>
      </c>
      <c r="C91" s="30">
        <v>8032857</v>
      </c>
      <c r="D91" s="30">
        <v>10832802057</v>
      </c>
      <c r="E91" s="34">
        <f t="shared" ref="E91" si="100">IFERROR(C91/B91,"")</f>
        <v>4.425404466471166</v>
      </c>
      <c r="F91" s="43">
        <f t="shared" ref="F91" si="101">IFERROR(D91/B91,"")</f>
        <v>5967.9302902374384</v>
      </c>
      <c r="G91" s="43">
        <f t="shared" ref="G91" si="102">IFERROR(F91/E91,"")</f>
        <v>1348.5615462842175</v>
      </c>
      <c r="H91" s="27">
        <v>0.60497607317429225</v>
      </c>
      <c r="I91" s="59">
        <f>(B91/('Consumidores Inadimplentes'!B127*1000000))</f>
        <v>2.1767437199775242E-2</v>
      </c>
    </row>
    <row r="92" spans="1:16" x14ac:dyDescent="0.35">
      <c r="A92" s="5">
        <v>46143</v>
      </c>
      <c r="B92" s="30">
        <v>1814950</v>
      </c>
      <c r="C92" s="30">
        <v>8033395</v>
      </c>
      <c r="D92" s="30">
        <v>10994817989</v>
      </c>
      <c r="E92" s="34">
        <f t="shared" ref="E92" si="103">IFERROR(C92/B92,"")</f>
        <v>4.4262348825036506</v>
      </c>
      <c r="F92" s="43">
        <f t="shared" ref="F92" si="104">IFERROR(D92/B92,"")</f>
        <v>6057.9178429157828</v>
      </c>
      <c r="G92" s="43">
        <f t="shared" ref="G92" si="105">IFERROR(F92/E92,"")</f>
        <v>1368.6390360488933</v>
      </c>
      <c r="H92" s="27">
        <v>0.60398715718208773</v>
      </c>
      <c r="I92" s="59">
        <f>(B92/('Consumidores Inadimplentes'!B128*1000000))</f>
        <v>2.1735187325232004E-2</v>
      </c>
    </row>
    <row r="93" spans="1:16" x14ac:dyDescent="0.35">
      <c r="A93" s="5">
        <v>46174</v>
      </c>
      <c r="B93" s="30">
        <v>1812345</v>
      </c>
      <c r="C93" s="30">
        <v>8022582</v>
      </c>
      <c r="D93" s="30">
        <v>11099523387</v>
      </c>
      <c r="E93" s="34">
        <f t="shared" ref="E93" si="106">IFERROR(C93/B93,"")</f>
        <v>4.4266306911763484</v>
      </c>
      <c r="F93" s="43">
        <f t="shared" ref="F93" si="107">IFERROR(D93/B93,"")</f>
        <v>6124.3987138210441</v>
      </c>
      <c r="G93" s="43">
        <f t="shared" ref="G93" si="108">IFERROR(F93/E93,"")</f>
        <v>1383.5350498131402</v>
      </c>
      <c r="H93" s="27">
        <v>0.6022070074646827</v>
      </c>
      <c r="I93" s="59">
        <f>(B93/('Consumidores Inadimplentes'!B129*1000000))</f>
        <v>2.164314658530966E-2</v>
      </c>
    </row>
    <row r="94" spans="1:16" x14ac:dyDescent="0.35">
      <c r="A94" s="5">
        <v>46204</v>
      </c>
      <c r="B94" s="30">
        <v>1831625</v>
      </c>
      <c r="C94" s="30">
        <v>8149691</v>
      </c>
      <c r="D94" s="30">
        <v>11287585886</v>
      </c>
      <c r="E94" s="34">
        <f t="shared" ref="E94" si="109">IFERROR(C94/B94,"")</f>
        <v>4.4494320616938507</v>
      </c>
      <c r="F94" s="43">
        <f t="shared" ref="F94" si="110">IFERROR(D94/B94,"")</f>
        <v>6162.6074584044227</v>
      </c>
      <c r="G94" s="43">
        <f t="shared" ref="G94" si="111">IFERROR(F94/E94,"")</f>
        <v>1385.0323755833199</v>
      </c>
      <c r="H94" s="27">
        <v>0.60769179471339241</v>
      </c>
      <c r="I94" s="59">
        <f>(B94/('Consumidores Inadimplentes'!B130*1000000))</f>
        <v>2.1822746860139668E-2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30E1-6A2D-4A54-8A51-653C576E8C01}">
  <sheetPr codeName="Planilha7"/>
  <dimension ref="A1:P99"/>
  <sheetViews>
    <sheetView zoomScale="90" zoomScaleNormal="90" workbookViewId="0">
      <pane xSplit="1" ySplit="3" topLeftCell="B4" activePane="bottomRight" state="frozen"/>
      <selection activeCell="H93" sqref="H93"/>
      <selection pane="topRight" activeCell="H93" sqref="H93"/>
      <selection pane="bottomLeft" activeCell="H93" sqref="H93"/>
      <selection pane="bottomRight" activeCell="I4" sqref="I4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23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269548</v>
      </c>
      <c r="C4" s="29">
        <v>1116041</v>
      </c>
      <c r="D4" s="29">
        <v>1051203923.6599991</v>
      </c>
      <c r="E4" s="33">
        <f t="shared" ref="E4:E33" si="0">C4/B4</f>
        <v>4.1404165491860452</v>
      </c>
      <c r="F4" s="45">
        <f>D4/B4</f>
        <v>3899.8765476278777</v>
      </c>
      <c r="G4" s="45">
        <f t="shared" ref="G4" si="1">F4/E4</f>
        <v>941.90439568080296</v>
      </c>
      <c r="H4" s="26">
        <v>0.53976522831237139</v>
      </c>
      <c r="I4" s="58">
        <f>(B4/('Consumidores Inadimplentes'!B40*1000000))</f>
        <v>4.3352147709961094E-3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269239</v>
      </c>
      <c r="C5" s="30">
        <v>1134180</v>
      </c>
      <c r="D5" s="30">
        <v>1040979219.3299999</v>
      </c>
      <c r="E5" s="34">
        <f t="shared" si="0"/>
        <v>4.2125397880693365</v>
      </c>
      <c r="F5" s="43">
        <f t="shared" ref="F5:F45" si="2">D5/B5</f>
        <v>3866.3760425866976</v>
      </c>
      <c r="G5" s="43">
        <f t="shared" ref="G5:G45" si="3">F5/E5</f>
        <v>917.8254063111674</v>
      </c>
      <c r="H5" s="27">
        <v>0.53823287824173016</v>
      </c>
      <c r="I5" s="59">
        <f>(B5/('Consumidores Inadimplentes'!B41*1000000))</f>
        <v>4.3304878332607374E-3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270498</v>
      </c>
      <c r="C6" s="30">
        <v>1175882</v>
      </c>
      <c r="D6" s="30">
        <v>1072207385.1999993</v>
      </c>
      <c r="E6" s="34">
        <f t="shared" si="0"/>
        <v>4.3471005330908179</v>
      </c>
      <c r="F6" s="43">
        <f t="shared" si="2"/>
        <v>3963.8274042691605</v>
      </c>
      <c r="G6" s="43">
        <f t="shared" si="3"/>
        <v>911.83246720334125</v>
      </c>
      <c r="H6" s="27">
        <v>0.53975180255682387</v>
      </c>
      <c r="I6" s="59">
        <f>(B6/('Consumidores Inadimplentes'!B42*1000000))</f>
        <v>4.2963413595354175E-3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271852</v>
      </c>
      <c r="C7" s="30">
        <v>1203775</v>
      </c>
      <c r="D7" s="30">
        <v>1082132462.5300004</v>
      </c>
      <c r="E7" s="34">
        <f t="shared" si="0"/>
        <v>4.4280527640039438</v>
      </c>
      <c r="F7" s="43">
        <f t="shared" si="2"/>
        <v>3980.5940825522725</v>
      </c>
      <c r="G7" s="43">
        <f t="shared" si="3"/>
        <v>898.94910803929326</v>
      </c>
      <c r="H7" s="27">
        <v>0.54138433435830979</v>
      </c>
      <c r="I7" s="59">
        <f>(B7/('Consumidores Inadimplentes'!B43*1000000))</f>
        <v>4.3010879259627859E-3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272756</v>
      </c>
      <c r="C8" s="30">
        <v>1200510</v>
      </c>
      <c r="D8" s="30">
        <v>1091652250.21</v>
      </c>
      <c r="E8" s="34">
        <f t="shared" si="0"/>
        <v>4.4014063851940932</v>
      </c>
      <c r="F8" s="43">
        <f t="shared" si="2"/>
        <v>4002.3033414846973</v>
      </c>
      <c r="G8" s="43">
        <f t="shared" si="3"/>
        <v>909.3237459163189</v>
      </c>
      <c r="H8" s="27">
        <v>0.53929555968808862</v>
      </c>
      <c r="I8" s="59">
        <f>(B8/('Consumidores Inadimplentes'!B44*1000000))</f>
        <v>4.303868083214828E-3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273961</v>
      </c>
      <c r="C9" s="30">
        <v>1194670</v>
      </c>
      <c r="D9" s="30">
        <v>1092186213.3000002</v>
      </c>
      <c r="E9" s="34">
        <f t="shared" si="0"/>
        <v>4.3607301769229929</v>
      </c>
      <c r="F9" s="43">
        <f t="shared" si="2"/>
        <v>3986.648513109531</v>
      </c>
      <c r="G9" s="43">
        <f t="shared" si="3"/>
        <v>914.21581968242288</v>
      </c>
      <c r="H9" s="27">
        <v>0.54333738917447116</v>
      </c>
      <c r="I9" s="59">
        <f>(B9/('Consumidores Inadimplentes'!B45*1000000))</f>
        <v>4.3177067204475247E-3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271423</v>
      </c>
      <c r="C10" s="30">
        <v>1179862</v>
      </c>
      <c r="D10" s="30">
        <v>1087629859.0900011</v>
      </c>
      <c r="E10" s="34">
        <f t="shared" si="0"/>
        <v>4.3469492268525514</v>
      </c>
      <c r="F10" s="43">
        <f t="shared" si="2"/>
        <v>4007.1396274081458</v>
      </c>
      <c r="G10" s="43">
        <f t="shared" si="3"/>
        <v>921.82802657429522</v>
      </c>
      <c r="H10" s="27">
        <v>0.53710050179665358</v>
      </c>
      <c r="I10" s="59">
        <f>(B10/('Consumidores Inadimplentes'!B46*1000000))</f>
        <v>4.2768451872897762E-3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273740</v>
      </c>
      <c r="C11" s="30">
        <v>1183483</v>
      </c>
      <c r="D11" s="30">
        <v>1095966972.130002</v>
      </c>
      <c r="E11" s="34">
        <f t="shared" si="0"/>
        <v>4.3233835025937024</v>
      </c>
      <c r="F11" s="43">
        <f t="shared" si="2"/>
        <v>4003.6785713816103</v>
      </c>
      <c r="G11" s="43">
        <f t="shared" si="3"/>
        <v>926.05214619052572</v>
      </c>
      <c r="H11" s="27">
        <v>0.54087804261187944</v>
      </c>
      <c r="I11" s="59">
        <f>(B11/('Consumidores Inadimplentes'!B47*1000000))</f>
        <v>4.3157637519957888E-3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272345</v>
      </c>
      <c r="C12" s="30">
        <v>1185109</v>
      </c>
      <c r="D12" s="30">
        <v>1078053028.6900003</v>
      </c>
      <c r="E12" s="34">
        <f t="shared" si="0"/>
        <v>4.3514990177899353</v>
      </c>
      <c r="F12" s="43">
        <f t="shared" si="2"/>
        <v>3958.4094758119309</v>
      </c>
      <c r="G12" s="43">
        <f t="shared" si="3"/>
        <v>909.6657174065848</v>
      </c>
      <c r="H12" s="27">
        <v>0.5373572233304329</v>
      </c>
      <c r="I12" s="59">
        <f>(B12/('Consumidores Inadimplentes'!B48*1000000))</f>
        <v>4.3088057452979325E-3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275380</v>
      </c>
      <c r="C13" s="30">
        <v>1184658</v>
      </c>
      <c r="D13" s="30">
        <v>1077102080.1000009</v>
      </c>
      <c r="E13" s="34">
        <f t="shared" si="0"/>
        <v>4.3019028251870139</v>
      </c>
      <c r="F13" s="43">
        <f t="shared" si="2"/>
        <v>3911.3300896942437</v>
      </c>
      <c r="G13" s="43">
        <f t="shared" si="3"/>
        <v>909.20930774957912</v>
      </c>
      <c r="H13" s="27">
        <v>0.54257364878710024</v>
      </c>
      <c r="I13" s="59">
        <f>(B13/('Consumidores Inadimplentes'!B49*1000000))</f>
        <v>4.3128256682193862E-3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273541</v>
      </c>
      <c r="C14" s="30">
        <v>1192241</v>
      </c>
      <c r="D14" s="30">
        <v>1077670979.1600003</v>
      </c>
      <c r="E14" s="34">
        <f t="shared" si="0"/>
        <v>4.3585458852603445</v>
      </c>
      <c r="F14" s="43">
        <f t="shared" si="2"/>
        <v>3939.7054889760598</v>
      </c>
      <c r="G14" s="43">
        <f t="shared" si="3"/>
        <v>903.9036395829371</v>
      </c>
      <c r="H14" s="27">
        <v>0.53818473004293033</v>
      </c>
      <c r="I14" s="59">
        <f>(B14/('Consumidores Inadimplentes'!B50*1000000))</f>
        <v>4.2847251313607899E-3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272721</v>
      </c>
      <c r="C15" s="31">
        <v>1177641</v>
      </c>
      <c r="D15" s="31">
        <v>1061965874.6000006</v>
      </c>
      <c r="E15" s="35">
        <f t="shared" si="0"/>
        <v>4.3181163166752832</v>
      </c>
      <c r="F15" s="43">
        <f t="shared" si="2"/>
        <v>3893.9644347153339</v>
      </c>
      <c r="G15" s="43">
        <f t="shared" si="3"/>
        <v>901.77386368171676</v>
      </c>
      <c r="H15" s="27">
        <v>0.53580922181029456</v>
      </c>
      <c r="I15" s="59">
        <f>(B15/('Consumidores Inadimplentes'!B51*1000000))</f>
        <v>4.3078888968693567E-3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272896</v>
      </c>
      <c r="C16" s="29">
        <v>1176423</v>
      </c>
      <c r="D16" s="29">
        <v>1060896334.6100011</v>
      </c>
      <c r="E16" s="33">
        <f t="shared" si="0"/>
        <v>4.310883999765478</v>
      </c>
      <c r="F16" s="45">
        <f t="shared" si="2"/>
        <v>3887.5481304599593</v>
      </c>
      <c r="G16" s="45">
        <f t="shared" si="3"/>
        <v>901.79836216225044</v>
      </c>
      <c r="H16" s="26">
        <v>0.53539148501215394</v>
      </c>
      <c r="I16" s="59">
        <f>(B16/('Consumidores Inadimplentes'!B52*1000000))</f>
        <v>4.2785497432205393E-3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274532</v>
      </c>
      <c r="C17" s="30">
        <v>1176573</v>
      </c>
      <c r="D17" s="30">
        <v>1054127313.0599995</v>
      </c>
      <c r="E17" s="34">
        <f t="shared" si="0"/>
        <v>4.2857408243847708</v>
      </c>
      <c r="F17" s="43">
        <f t="shared" si="2"/>
        <v>3839.724742689375</v>
      </c>
      <c r="G17" s="43">
        <f t="shared" si="3"/>
        <v>895.93022537488082</v>
      </c>
      <c r="H17" s="27">
        <v>0.53783613288979271</v>
      </c>
      <c r="I17" s="59">
        <f>(B17/('Consumidores Inadimplentes'!B53*1000000))</f>
        <v>4.296968392164026E-3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272291</v>
      </c>
      <c r="C18" s="30">
        <v>1160923</v>
      </c>
      <c r="D18" s="30">
        <v>1056412208.5299996</v>
      </c>
      <c r="E18" s="34">
        <f t="shared" si="0"/>
        <v>4.2635379061371843</v>
      </c>
      <c r="F18" s="43">
        <f t="shared" si="2"/>
        <v>3879.7176863355735</v>
      </c>
      <c r="G18" s="43">
        <f t="shared" si="3"/>
        <v>909.97612118116331</v>
      </c>
      <c r="H18" s="27">
        <v>0.53268813922733216</v>
      </c>
      <c r="I18" s="59">
        <f>(B18/('Consumidores Inadimplentes'!B54*1000000))</f>
        <v>4.201201787089541E-3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273784</v>
      </c>
      <c r="C19" s="30">
        <v>1149574</v>
      </c>
      <c r="D19" s="30">
        <v>1044379263.1999992</v>
      </c>
      <c r="E19" s="34">
        <f t="shared" si="0"/>
        <v>4.1988355784121794</v>
      </c>
      <c r="F19" s="43">
        <f t="shared" si="2"/>
        <v>3814.6102884025336</v>
      </c>
      <c r="G19" s="43">
        <f t="shared" si="3"/>
        <v>908.49241823492798</v>
      </c>
      <c r="H19" s="27">
        <v>0.53484823917591828</v>
      </c>
      <c r="I19" s="59">
        <f>(B19/('Consumidores Inadimplentes'!B55*1000000))</f>
        <v>4.1539943217132223E-3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281643</v>
      </c>
      <c r="C20" s="30">
        <v>1181642</v>
      </c>
      <c r="D20" s="30">
        <v>1044160884.8099988</v>
      </c>
      <c r="E20" s="34">
        <f t="shared" si="0"/>
        <v>4.1955312221500272</v>
      </c>
      <c r="F20" s="43">
        <f t="shared" si="2"/>
        <v>3707.3915730552462</v>
      </c>
      <c r="G20" s="43">
        <f t="shared" si="3"/>
        <v>883.65248087830207</v>
      </c>
      <c r="H20" s="27">
        <v>0.54941974448859676</v>
      </c>
      <c r="I20" s="59">
        <f>(B20/('Consumidores Inadimplentes'!B56*1000000))</f>
        <v>4.3175626395184951E-3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280314</v>
      </c>
      <c r="C21" s="30">
        <v>1178244</v>
      </c>
      <c r="D21" s="30">
        <v>1041745295.3899999</v>
      </c>
      <c r="E21" s="34">
        <f t="shared" si="0"/>
        <v>4.2033005843446993</v>
      </c>
      <c r="F21" s="43">
        <f t="shared" si="2"/>
        <v>3716.3512895895315</v>
      </c>
      <c r="G21" s="43">
        <f t="shared" si="3"/>
        <v>884.15073226767959</v>
      </c>
      <c r="H21" s="27">
        <v>0.54527098789687245</v>
      </c>
      <c r="I21" s="59">
        <f>(B21/('Consumidores Inadimplentes'!B57*1000000))</f>
        <v>4.3798589612102784E-3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273454</v>
      </c>
      <c r="C22" s="30">
        <v>1142050</v>
      </c>
      <c r="D22" s="30">
        <v>1042872478.1100001</v>
      </c>
      <c r="E22" s="34">
        <f t="shared" si="0"/>
        <v>4.1763879848164587</v>
      </c>
      <c r="F22" s="43">
        <f t="shared" si="2"/>
        <v>3813.7035044651025</v>
      </c>
      <c r="G22" s="43">
        <f t="shared" si="3"/>
        <v>913.15833642134783</v>
      </c>
      <c r="H22" s="27">
        <v>0.53124787513671978</v>
      </c>
      <c r="I22" s="59">
        <f>(B22/('Consumidores Inadimplentes'!B58*1000000))</f>
        <v>4.3061501522594315E-3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267231</v>
      </c>
      <c r="C23" s="30">
        <v>1111925</v>
      </c>
      <c r="D23" s="30">
        <v>1032135886.0299981</v>
      </c>
      <c r="E23" s="34">
        <f t="shared" si="0"/>
        <v>4.1609132174036692</v>
      </c>
      <c r="F23" s="43">
        <f t="shared" si="2"/>
        <v>3862.3359042551128</v>
      </c>
      <c r="G23" s="43">
        <f t="shared" si="3"/>
        <v>928.2423598983728</v>
      </c>
      <c r="H23" s="27">
        <v>0.51849545107945916</v>
      </c>
      <c r="I23" s="59">
        <f>(B23/('Consumidores Inadimplentes'!B59*1000000))</f>
        <v>4.2383691239160602E-3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261011</v>
      </c>
      <c r="C24" s="30">
        <v>1079286</v>
      </c>
      <c r="D24" s="30">
        <v>1014535170.8399981</v>
      </c>
      <c r="E24" s="34">
        <f t="shared" si="0"/>
        <v>4.1350211293776891</v>
      </c>
      <c r="F24" s="43">
        <f t="shared" si="2"/>
        <v>3886.94411668473</v>
      </c>
      <c r="G24" s="43">
        <f t="shared" si="3"/>
        <v>940.00586576681076</v>
      </c>
      <c r="H24" s="27">
        <v>0.50578038042383</v>
      </c>
      <c r="I24" s="59">
        <f>(B24/('Consumidores Inadimplentes'!B60*1000000))</f>
        <v>4.1586569423413926E-3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259710</v>
      </c>
      <c r="C25" s="30">
        <v>1118922</v>
      </c>
      <c r="D25" s="30">
        <v>1024952573.1299983</v>
      </c>
      <c r="E25" s="34">
        <f t="shared" si="0"/>
        <v>4.308351622964075</v>
      </c>
      <c r="F25" s="43">
        <f t="shared" si="2"/>
        <v>3946.5271769666101</v>
      </c>
      <c r="G25" s="43">
        <f t="shared" si="3"/>
        <v>916.01789323116213</v>
      </c>
      <c r="H25" s="27">
        <v>0.50261652435767423</v>
      </c>
      <c r="I25" s="59">
        <f>(B25/('Consumidores Inadimplentes'!B61*1000000))</f>
        <v>4.1700528643434966E-3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258667</v>
      </c>
      <c r="C26" s="30">
        <v>1105539</v>
      </c>
      <c r="D26" s="30">
        <v>1018171793.2299978</v>
      </c>
      <c r="E26" s="34">
        <f t="shared" si="0"/>
        <v>4.2739854716682064</v>
      </c>
      <c r="F26" s="43">
        <f t="shared" si="2"/>
        <v>3936.2260869380234</v>
      </c>
      <c r="G26" s="43">
        <f t="shared" si="3"/>
        <v>920.97320241981311</v>
      </c>
      <c r="H26" s="27">
        <v>0.49995844422925645</v>
      </c>
      <c r="I26" s="59">
        <f>(B26/('Consumidores Inadimplentes'!B62*1000000))</f>
        <v>4.1755034815340831E-3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254294</v>
      </c>
      <c r="C27" s="31">
        <v>1072578</v>
      </c>
      <c r="D27" s="31">
        <v>994189873.74999762</v>
      </c>
      <c r="E27" s="35">
        <f t="shared" si="0"/>
        <v>4.2178659347054985</v>
      </c>
      <c r="F27" s="46">
        <f t="shared" si="2"/>
        <v>3909.6080668438799</v>
      </c>
      <c r="G27" s="46">
        <f t="shared" si="3"/>
        <v>926.91615318419508</v>
      </c>
      <c r="H27" s="28">
        <v>0.49087809991139664</v>
      </c>
      <c r="I27" s="59">
        <f>(B27/('Consumidores Inadimplentes'!B63*1000000))</f>
        <v>4.1442093054019098E-3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253758</v>
      </c>
      <c r="C28" s="29">
        <v>1048392</v>
      </c>
      <c r="D28" s="29">
        <v>996387702.96999824</v>
      </c>
      <c r="E28" s="33">
        <f t="shared" si="0"/>
        <v>4.1314638356229167</v>
      </c>
      <c r="F28" s="45">
        <f t="shared" si="2"/>
        <v>3926.5272541949348</v>
      </c>
      <c r="G28" s="45">
        <f t="shared" si="3"/>
        <v>950.39613328792871</v>
      </c>
      <c r="H28" s="26">
        <v>0.48921825868853153</v>
      </c>
      <c r="I28" s="59">
        <f>(B28/('Consumidores Inadimplentes'!B64*1000000))</f>
        <v>4.114815611236629E-3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252661</v>
      </c>
      <c r="C29" s="30">
        <v>1047126</v>
      </c>
      <c r="D29" s="30">
        <v>999114847.05999708</v>
      </c>
      <c r="E29" s="34">
        <f t="shared" si="0"/>
        <v>4.1443911011196821</v>
      </c>
      <c r="F29" s="43">
        <f t="shared" si="2"/>
        <v>3954.3690837129475</v>
      </c>
      <c r="G29" s="43">
        <f t="shared" si="3"/>
        <v>954.14959332496471</v>
      </c>
      <c r="H29" s="27">
        <v>0.48648154281005229</v>
      </c>
      <c r="I29" s="59">
        <f>(B29/('Consumidores Inadimplentes'!B65*1000000))</f>
        <v>4.1046367281720201E-3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258685</v>
      </c>
      <c r="C30" s="30">
        <v>1075052</v>
      </c>
      <c r="D30" s="30">
        <v>1026374723.5899985</v>
      </c>
      <c r="E30" s="34">
        <f t="shared" si="0"/>
        <v>4.1558343158667874</v>
      </c>
      <c r="F30" s="43">
        <f t="shared" si="2"/>
        <v>3967.6623058546052</v>
      </c>
      <c r="G30" s="43">
        <f t="shared" si="3"/>
        <v>954.72100288171976</v>
      </c>
      <c r="H30" s="27">
        <v>0.49744436838016415</v>
      </c>
      <c r="I30" s="59">
        <f>(B30/('Consumidores Inadimplentes'!B66*1000000))</f>
        <v>4.1351666958052702E-3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259377</v>
      </c>
      <c r="C31" s="30">
        <v>1064583</v>
      </c>
      <c r="D31" s="30">
        <v>1029323771.6799983</v>
      </c>
      <c r="E31" s="34">
        <f t="shared" si="0"/>
        <v>4.104384737274315</v>
      </c>
      <c r="F31" s="43">
        <f t="shared" si="2"/>
        <v>3968.446591949164</v>
      </c>
      <c r="G31" s="43">
        <f t="shared" si="3"/>
        <v>966.87977516078911</v>
      </c>
      <c r="H31" s="27">
        <v>0.49813805831843333</v>
      </c>
      <c r="I31" s="59">
        <f>(B31/('Consumidores Inadimplentes'!B67*1000000))</f>
        <v>4.1182998734931543E-3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258811</v>
      </c>
      <c r="C32" s="30">
        <v>1067565</v>
      </c>
      <c r="D32" s="30">
        <v>1034113256.6800001</v>
      </c>
      <c r="E32" s="34">
        <f t="shared" si="0"/>
        <v>4.1248826363639877</v>
      </c>
      <c r="F32" s="43">
        <f t="shared" si="2"/>
        <v>3995.6310074919538</v>
      </c>
      <c r="G32" s="43">
        <f t="shared" si="3"/>
        <v>968.66538026256012</v>
      </c>
      <c r="H32" s="27">
        <v>0.4964160971614569</v>
      </c>
      <c r="I32" s="59">
        <f>(B32/('Consumidores Inadimplentes'!B68*1000000))</f>
        <v>4.1370835008756957E-3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254309</v>
      </c>
      <c r="C33" s="30">
        <v>1054331</v>
      </c>
      <c r="D33" s="30">
        <v>1006254053.9100001</v>
      </c>
      <c r="E33" s="34">
        <f t="shared" si="0"/>
        <v>4.1458658561041881</v>
      </c>
      <c r="F33" s="43">
        <f t="shared" si="2"/>
        <v>3956.8165259979005</v>
      </c>
      <c r="G33" s="43">
        <f t="shared" si="3"/>
        <v>954.40051929612252</v>
      </c>
      <c r="H33" s="27">
        <v>0.48715772777601113</v>
      </c>
      <c r="I33" s="59">
        <f>(B33/('Consumidores Inadimplentes'!B69*1000000))</f>
        <v>4.0683300401769765E-3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253982</v>
      </c>
      <c r="C34" s="30">
        <v>1049076</v>
      </c>
      <c r="D34" s="30">
        <v>1001922378.3099993</v>
      </c>
      <c r="E34" s="34">
        <f>C34/B34</f>
        <v>4.1305131859738093</v>
      </c>
      <c r="F34" s="43">
        <f t="shared" si="2"/>
        <v>3944.8558492727807</v>
      </c>
      <c r="G34" s="43">
        <f t="shared" si="3"/>
        <v>955.0522348333194</v>
      </c>
      <c r="H34" s="27">
        <v>0.48653132219467998</v>
      </c>
      <c r="I34" s="59">
        <f>(B34/('Consumidores Inadimplentes'!B70*1000000))</f>
        <v>4.0817538745901846E-3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257267</v>
      </c>
      <c r="C35" s="30">
        <v>1111123</v>
      </c>
      <c r="D35" s="30">
        <v>1020118275.7299987</v>
      </c>
      <c r="E35" s="34">
        <f>C35/B35</f>
        <v>4.3189487963866338</v>
      </c>
      <c r="F35" s="43">
        <f t="shared" si="2"/>
        <v>3965.2123114507444</v>
      </c>
      <c r="G35" s="43">
        <f t="shared" si="3"/>
        <v>918.09662452311636</v>
      </c>
      <c r="H35" s="27">
        <v>0.49222818745718999</v>
      </c>
      <c r="I35" s="59">
        <f>(B35/('Consumidores Inadimplentes'!B71*1000000))</f>
        <v>4.1328858705688169E-3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258714</v>
      </c>
      <c r="C36" s="30">
        <v>1204838</v>
      </c>
      <c r="D36" s="30">
        <v>1020666011.6699998</v>
      </c>
      <c r="E36" s="34">
        <f>C36/B36</f>
        <v>4.6570266781078722</v>
      </c>
      <c r="F36" s="43">
        <f t="shared" si="2"/>
        <v>3945.1518343421685</v>
      </c>
      <c r="G36" s="43">
        <f t="shared" si="3"/>
        <v>847.13962513632521</v>
      </c>
      <c r="H36" s="27">
        <v>0.49439795448421625</v>
      </c>
      <c r="I36" s="59">
        <f>(B36/('Consumidores Inadimplentes'!B72*1000000))</f>
        <v>4.1587024136046993E-3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266390</v>
      </c>
      <c r="C37" s="30">
        <v>1249106</v>
      </c>
      <c r="D37" s="30">
        <v>1068980898.3700011</v>
      </c>
      <c r="E37" s="34">
        <f>C37/B37</f>
        <v>4.6890123503134502</v>
      </c>
      <c r="F37" s="43">
        <f t="shared" si="2"/>
        <v>4012.8416921431026</v>
      </c>
      <c r="G37" s="43">
        <f t="shared" si="3"/>
        <v>855.79678455631552</v>
      </c>
      <c r="H37" s="27">
        <v>0.50845063701865723</v>
      </c>
      <c r="I37" s="59">
        <f>(B37/('Consumidores Inadimplentes'!B73*1000000))</f>
        <v>4.2014008254832348E-3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277376</v>
      </c>
      <c r="C38" s="30">
        <v>1292541</v>
      </c>
      <c r="D38" s="30">
        <v>1092960072.28</v>
      </c>
      <c r="E38" s="34">
        <f t="shared" ref="E38:E45" si="4">C38/B38</f>
        <v>4.6598876615136131</v>
      </c>
      <c r="F38" s="43">
        <f t="shared" si="2"/>
        <v>3940.3555905341486</v>
      </c>
      <c r="G38" s="43">
        <f t="shared" si="3"/>
        <v>845.59025383334074</v>
      </c>
      <c r="H38" s="27">
        <v>0.52877840475827365</v>
      </c>
      <c r="I38" s="59">
        <f>(B38/('Consumidores Inadimplentes'!B74*1000000))</f>
        <v>4.3158149092721336E-3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272192</v>
      </c>
      <c r="C39" s="31">
        <v>1249755</v>
      </c>
      <c r="D39" s="31">
        <v>1054611018.4300004</v>
      </c>
      <c r="E39" s="35">
        <f t="shared" si="4"/>
        <v>4.5914464789560308</v>
      </c>
      <c r="F39" s="46">
        <f t="shared" si="2"/>
        <v>3874.5114420335663</v>
      </c>
      <c r="G39" s="46">
        <f t="shared" si="3"/>
        <v>843.85421016919361</v>
      </c>
      <c r="H39" s="28">
        <v>0.51826845266996069</v>
      </c>
      <c r="I39" s="59">
        <f>(B39/('Consumidores Inadimplentes'!B75*1000000))</f>
        <v>4.2549377252334318E-3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286784</v>
      </c>
      <c r="C40" s="29">
        <v>2399561</v>
      </c>
      <c r="D40" s="29">
        <v>1170832626.2900019</v>
      </c>
      <c r="E40" s="33">
        <f t="shared" si="4"/>
        <v>8.3671369392992627</v>
      </c>
      <c r="F40" s="45">
        <f t="shared" si="2"/>
        <v>4082.628829676697</v>
      </c>
      <c r="G40" s="45">
        <f t="shared" si="3"/>
        <v>487.9361792802942</v>
      </c>
      <c r="H40" s="26">
        <v>0.54539196053484862</v>
      </c>
      <c r="I40" s="59">
        <f>(B40/('Consumidores Inadimplentes'!B76*1000000))</f>
        <v>4.4244880876354239E-3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283539</v>
      </c>
      <c r="C41" s="30">
        <v>2359543</v>
      </c>
      <c r="D41" s="30">
        <v>1178887568.4400005</v>
      </c>
      <c r="E41" s="34">
        <f t="shared" si="4"/>
        <v>8.3217582061021584</v>
      </c>
      <c r="F41" s="43">
        <f t="shared" si="2"/>
        <v>4157.7616075389997</v>
      </c>
      <c r="G41" s="43">
        <f t="shared" si="3"/>
        <v>499.62538018590908</v>
      </c>
      <c r="H41" s="27">
        <v>0.53856834603432691</v>
      </c>
      <c r="I41" s="59">
        <f>(B41/('Consumidores Inadimplentes'!B77*1000000))</f>
        <v>4.3508165658638518E-3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284655</v>
      </c>
      <c r="C42" s="30">
        <v>2325193</v>
      </c>
      <c r="D42" s="30">
        <v>1193671998.6299989</v>
      </c>
      <c r="E42" s="34">
        <f t="shared" si="4"/>
        <v>8.1684600656935586</v>
      </c>
      <c r="F42" s="43">
        <f t="shared" si="2"/>
        <v>4193.3990220793557</v>
      </c>
      <c r="G42" s="43">
        <f t="shared" si="3"/>
        <v>513.36469644885346</v>
      </c>
      <c r="H42" s="27">
        <v>0.54003369341271013</v>
      </c>
      <c r="I42" s="59">
        <f>(B42/('Consumidores Inadimplentes'!B78*1000000))</f>
        <v>4.3330453008618049E-3</v>
      </c>
    </row>
    <row r="43" spans="1:16" x14ac:dyDescent="0.35">
      <c r="A43" s="5">
        <v>44652</v>
      </c>
      <c r="B43" s="30">
        <v>291318</v>
      </c>
      <c r="C43" s="30">
        <v>2332036</v>
      </c>
      <c r="D43" s="30">
        <v>1214441457.5899992</v>
      </c>
      <c r="E43" s="34">
        <f t="shared" si="4"/>
        <v>8.0051215510198475</v>
      </c>
      <c r="F43" s="43">
        <f t="shared" si="2"/>
        <v>4168.7827651913003</v>
      </c>
      <c r="G43" s="43">
        <f t="shared" si="3"/>
        <v>520.76445543293471</v>
      </c>
      <c r="H43" s="27">
        <v>0.55200627577007033</v>
      </c>
      <c r="I43" s="59">
        <f>(B43/('Consumidores Inadimplentes'!B79*1000000))</f>
        <v>4.4050542644051716E-3</v>
      </c>
    </row>
    <row r="44" spans="1:16" x14ac:dyDescent="0.35">
      <c r="A44" s="5">
        <v>44682</v>
      </c>
      <c r="B44" s="30">
        <v>295261</v>
      </c>
      <c r="C44" s="30">
        <v>2528218</v>
      </c>
      <c r="D44" s="30">
        <v>1248058072.4799986</v>
      </c>
      <c r="E44" s="34">
        <f t="shared" si="4"/>
        <v>8.5626547359793541</v>
      </c>
      <c r="F44" s="43">
        <f t="shared" si="2"/>
        <v>4226.9655405895073</v>
      </c>
      <c r="G44" s="43">
        <f t="shared" si="3"/>
        <v>493.65128817214276</v>
      </c>
      <c r="H44" s="27">
        <v>0.55880109693158186</v>
      </c>
      <c r="I44" s="59">
        <f>(B44/('Consumidores Inadimplentes'!B80*1000000))</f>
        <v>4.4346922065782758E-3</v>
      </c>
    </row>
    <row r="45" spans="1:16" x14ac:dyDescent="0.35">
      <c r="A45" s="5">
        <v>44713</v>
      </c>
      <c r="B45" s="30">
        <v>295979</v>
      </c>
      <c r="C45" s="30">
        <v>2493206</v>
      </c>
      <c r="D45" s="30">
        <v>1241707651.1199901</v>
      </c>
      <c r="E45" s="34">
        <f t="shared" si="4"/>
        <v>8.4235908628652716</v>
      </c>
      <c r="F45" s="43">
        <f t="shared" si="2"/>
        <v>4195.2559172103092</v>
      </c>
      <c r="G45" s="43">
        <f t="shared" si="3"/>
        <v>498.03652450699622</v>
      </c>
      <c r="H45" s="27">
        <v>0.5594822909400915</v>
      </c>
      <c r="I45" s="59">
        <f>(B45/('Consumidores Inadimplentes'!B81*1000000))</f>
        <v>4.4295883071523842E-3</v>
      </c>
    </row>
    <row r="46" spans="1:16" x14ac:dyDescent="0.35">
      <c r="A46" s="5">
        <v>44743</v>
      </c>
      <c r="B46" s="30">
        <v>304461</v>
      </c>
      <c r="C46" s="30">
        <v>2520845</v>
      </c>
      <c r="D46" s="30">
        <v>1286195708.1700001</v>
      </c>
      <c r="E46" s="34">
        <f t="shared" ref="E46:E47" si="5">C46/B46</f>
        <v>8.2796975638915988</v>
      </c>
      <c r="F46" s="43">
        <f t="shared" ref="F46:F47" si="6">D46/B46</f>
        <v>4224.5007017976031</v>
      </c>
      <c r="G46" s="43">
        <f t="shared" ref="G46:G47" si="7">F46/E46</f>
        <v>510.22403526198559</v>
      </c>
      <c r="H46" s="27">
        <v>0.5748191306186563</v>
      </c>
      <c r="I46" s="59">
        <f>(B46/('Consumidores Inadimplentes'!B82*1000000))</f>
        <v>4.5017107139461157E-3</v>
      </c>
    </row>
    <row r="47" spans="1:16" x14ac:dyDescent="0.35">
      <c r="A47" s="5">
        <v>44774</v>
      </c>
      <c r="B47" s="30">
        <v>306192</v>
      </c>
      <c r="C47" s="30">
        <v>2481981</v>
      </c>
      <c r="D47" s="30">
        <v>1294179509.55</v>
      </c>
      <c r="E47" s="34">
        <f t="shared" si="5"/>
        <v>8.1059629252233893</v>
      </c>
      <c r="F47" s="43">
        <f t="shared" si="6"/>
        <v>4226.6927599349428</v>
      </c>
      <c r="G47" s="43">
        <f t="shared" si="7"/>
        <v>521.43006314311026</v>
      </c>
      <c r="H47" s="27">
        <v>0.57739719440238202</v>
      </c>
      <c r="I47" s="59">
        <f>(B47/('Consumidores Inadimplentes'!B83*1000000))</f>
        <v>4.5043973525985348E-3</v>
      </c>
    </row>
    <row r="48" spans="1:16" x14ac:dyDescent="0.35">
      <c r="A48" s="5">
        <v>44805</v>
      </c>
      <c r="B48" s="30">
        <v>306667</v>
      </c>
      <c r="C48" s="30">
        <v>2435746</v>
      </c>
      <c r="D48" s="30">
        <v>1313171205.0999999</v>
      </c>
      <c r="E48" s="34">
        <f t="shared" ref="E48" si="8">C48/B48</f>
        <v>7.9426413666941666</v>
      </c>
      <c r="F48" s="43">
        <f t="shared" ref="F48" si="9">D48/B48</f>
        <v>4282.0753622006932</v>
      </c>
      <c r="G48" s="43">
        <f t="shared" ref="G48" si="10">F48/E48</f>
        <v>539.12485337141061</v>
      </c>
      <c r="H48" s="27">
        <v>0.57760236264222653</v>
      </c>
      <c r="I48" s="59">
        <f>(B48/('Consumidores Inadimplentes'!B84*1000000))</f>
        <v>4.4842191652521039E-3</v>
      </c>
    </row>
    <row r="49" spans="1:16" x14ac:dyDescent="0.35">
      <c r="A49" s="5">
        <v>44835</v>
      </c>
      <c r="B49" s="30">
        <v>307272</v>
      </c>
      <c r="C49" s="30">
        <v>2394967</v>
      </c>
      <c r="D49" s="30">
        <v>1318227576.6399901</v>
      </c>
      <c r="E49" s="34">
        <f t="shared" ref="E49" si="11">C49/B49</f>
        <v>7.7942897497982244</v>
      </c>
      <c r="F49" s="43">
        <f t="shared" ref="F49" si="12">D49/B49</f>
        <v>4290.0999005441108</v>
      </c>
      <c r="G49" s="43">
        <f t="shared" ref="G49" si="13">F49/E49</f>
        <v>550.41575797912458</v>
      </c>
      <c r="H49" s="27">
        <v>0.57805051489372905</v>
      </c>
      <c r="I49" s="59">
        <f>(B49/('Consumidores Inadimplentes'!B85*1000000))</f>
        <v>4.4495648789167844E-3</v>
      </c>
    </row>
    <row r="50" spans="1:16" x14ac:dyDescent="0.35">
      <c r="A50" s="5">
        <v>44866</v>
      </c>
      <c r="B50" s="30">
        <v>309973</v>
      </c>
      <c r="C50" s="30">
        <v>2354624</v>
      </c>
      <c r="D50" s="30">
        <v>1345773413.2399938</v>
      </c>
      <c r="E50" s="34">
        <f t="shared" ref="E50" si="14">C50/B50</f>
        <v>7.5962228968329502</v>
      </c>
      <c r="F50" s="43">
        <f t="shared" ref="F50" si="15">D50/B50</f>
        <v>4341.5826966864661</v>
      </c>
      <c r="G50" s="43">
        <f t="shared" ref="G50" si="16">F50/E50</f>
        <v>571.54493169185139</v>
      </c>
      <c r="H50" s="27">
        <v>0.58243486495729069</v>
      </c>
      <c r="I50" s="59">
        <f>(B50/('Consumidores Inadimplentes'!B86*1000000))</f>
        <v>4.4386640685523454E-3</v>
      </c>
    </row>
    <row r="51" spans="1:16" ht="15" thickBot="1" x14ac:dyDescent="0.4">
      <c r="A51" s="12">
        <v>44896</v>
      </c>
      <c r="B51" s="31">
        <v>311009</v>
      </c>
      <c r="C51" s="31">
        <v>2322005</v>
      </c>
      <c r="D51" s="31">
        <v>1363388478.2699966</v>
      </c>
      <c r="E51" s="35">
        <f t="shared" ref="E51" si="17">C51/B51</f>
        <v>7.4660379603162612</v>
      </c>
      <c r="F51" s="46">
        <f t="shared" ref="F51" si="18">D51/B51</f>
        <v>4383.7589210279984</v>
      </c>
      <c r="G51" s="46">
        <f t="shared" ref="G51" si="19">F51/E51</f>
        <v>587.16000967698028</v>
      </c>
      <c r="H51" s="28">
        <v>0.58368397148851991</v>
      </c>
      <c r="I51" s="59">
        <f>(B51/('Consumidores Inadimplentes'!B87*1000000))</f>
        <v>4.479505458472326E-3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314662</v>
      </c>
      <c r="C52" s="29">
        <v>2319372</v>
      </c>
      <c r="D52" s="29">
        <v>1406639390.9799974</v>
      </c>
      <c r="E52" s="33">
        <f t="shared" ref="E52" si="20">C52/B52</f>
        <v>7.3709949088228006</v>
      </c>
      <c r="F52" s="45">
        <f t="shared" ref="F52" si="21">D52/B52</f>
        <v>4470.3185989410777</v>
      </c>
      <c r="G52" s="45">
        <f t="shared" ref="G52" si="22">F52/E52</f>
        <v>606.47424862419541</v>
      </c>
      <c r="H52" s="26">
        <v>0.58983457519096494</v>
      </c>
      <c r="I52" s="59">
        <f>(B52/('Consumidores Inadimplentes'!B88*1000000))</f>
        <v>4.4892086692223101E-3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320103</v>
      </c>
      <c r="C53" s="30">
        <v>2321702</v>
      </c>
      <c r="D53" s="30">
        <v>1425254853.7799981</v>
      </c>
      <c r="E53" s="34">
        <f t="shared" ref="E53" si="23">C53/B53</f>
        <v>7.2529841957120054</v>
      </c>
      <c r="F53" s="43">
        <f t="shared" ref="F53" si="24">D53/B53</f>
        <v>4452.4882733994937</v>
      </c>
      <c r="G53" s="43">
        <f t="shared" ref="G53" si="25">F53/E53</f>
        <v>613.88363096555804</v>
      </c>
      <c r="H53" s="27">
        <v>0.59931699846287212</v>
      </c>
      <c r="I53" s="59">
        <f>(B53/('Consumidores Inadimplentes'!B89*1000000))</f>
        <v>4.5387334519981469E-3</v>
      </c>
    </row>
    <row r="54" spans="1:16" x14ac:dyDescent="0.35">
      <c r="A54" s="5">
        <v>44986</v>
      </c>
      <c r="B54" s="30">
        <v>320989</v>
      </c>
      <c r="C54" s="30">
        <v>2296145</v>
      </c>
      <c r="D54" s="30">
        <v>1507889008.3099942</v>
      </c>
      <c r="E54" s="34">
        <f t="shared" ref="E54" si="26">C54/B54</f>
        <v>7.1533448186697983</v>
      </c>
      <c r="F54" s="43">
        <f t="shared" ref="F54" si="27">D54/B54</f>
        <v>4697.6345242671687</v>
      </c>
      <c r="G54" s="43">
        <f t="shared" ref="G54" si="28">F54/E54</f>
        <v>656.7046106887824</v>
      </c>
      <c r="H54" s="27">
        <v>0.60025768954580816</v>
      </c>
      <c r="I54" s="59">
        <f>(B54/('Consumidores Inadimplentes'!B90*1000000))</f>
        <v>4.5396806220995524E-3</v>
      </c>
    </row>
    <row r="55" spans="1:16" x14ac:dyDescent="0.35">
      <c r="A55" s="5">
        <v>45017</v>
      </c>
      <c r="B55" s="30">
        <v>324901</v>
      </c>
      <c r="C55" s="30">
        <v>2277208</v>
      </c>
      <c r="D55" s="30">
        <v>1496869347.5199969</v>
      </c>
      <c r="E55" s="34">
        <f t="shared" ref="E55" si="29">C55/B55</f>
        <v>7.0089288737184559</v>
      </c>
      <c r="F55" s="43">
        <f t="shared" ref="F55" si="30">D55/B55</f>
        <v>4607.1552488911911</v>
      </c>
      <c r="G55" s="43">
        <f t="shared" ref="G55" si="31">F55/E55</f>
        <v>657.32658040899071</v>
      </c>
      <c r="H55" s="27">
        <v>0.60684807925422724</v>
      </c>
      <c r="I55" s="59">
        <f>(B55/('Consumidores Inadimplentes'!B91*1000000))</f>
        <v>4.5479133302806837E-3</v>
      </c>
    </row>
    <row r="56" spans="1:16" x14ac:dyDescent="0.35">
      <c r="A56" s="5">
        <v>45047</v>
      </c>
      <c r="B56" s="30">
        <v>327243</v>
      </c>
      <c r="C56" s="30">
        <v>2259616</v>
      </c>
      <c r="D56" s="30">
        <v>1501048703.5100007</v>
      </c>
      <c r="E56" s="34">
        <f t="shared" ref="E56" si="32">C56/B56</f>
        <v>6.9050094272451972</v>
      </c>
      <c r="F56" s="43">
        <f t="shared" ref="F56" si="33">D56/B56</f>
        <v>4586.9543535232251</v>
      </c>
      <c r="G56" s="43">
        <f t="shared" ref="G56" si="34">F56/E56</f>
        <v>664.29371340528689</v>
      </c>
      <c r="H56" s="27">
        <v>0.61049267672951746</v>
      </c>
      <c r="I56" s="59">
        <f>(B56/('Consumidores Inadimplentes'!B92*1000000))</f>
        <v>4.5511367765947207E-3</v>
      </c>
    </row>
    <row r="57" spans="1:16" x14ac:dyDescent="0.35">
      <c r="A57" s="5">
        <v>45078</v>
      </c>
      <c r="B57" s="30">
        <v>324813</v>
      </c>
      <c r="C57" s="30">
        <v>2212703</v>
      </c>
      <c r="D57" s="30">
        <v>1486621261.1399972</v>
      </c>
      <c r="E57" s="34">
        <f t="shared" ref="E57" si="35">C57/B57</f>
        <v>6.812236579200956</v>
      </c>
      <c r="F57" s="43">
        <f t="shared" ref="F57" si="36">D57/B57</f>
        <v>4576.8527156856326</v>
      </c>
      <c r="G57" s="43">
        <f t="shared" ref="G57" si="37">F57/E57</f>
        <v>671.85757019355844</v>
      </c>
      <c r="H57" s="27">
        <v>0.60523560014310418</v>
      </c>
      <c r="I57" s="59">
        <f>(B57/('Consumidores Inadimplentes'!B93*1000000))</f>
        <v>4.545793354321705E-3</v>
      </c>
    </row>
    <row r="58" spans="1:16" x14ac:dyDescent="0.35">
      <c r="A58" s="5">
        <v>45108</v>
      </c>
      <c r="B58" s="30">
        <v>323163</v>
      </c>
      <c r="C58" s="30">
        <v>2173699</v>
      </c>
      <c r="D58" s="30">
        <v>1516047975.8699999</v>
      </c>
      <c r="E58" s="34">
        <f t="shared" ref="E58" si="38">C58/B58</f>
        <v>6.7263238675219625</v>
      </c>
      <c r="F58" s="43">
        <f t="shared" ref="F58" si="39">D58/B58</f>
        <v>4691.2795582105618</v>
      </c>
      <c r="G58" s="43">
        <f t="shared" ref="G58" si="40">F58/E58</f>
        <v>697.45073990005051</v>
      </c>
      <c r="H58" s="27">
        <v>0.60144273449553609</v>
      </c>
      <c r="I58" s="59">
        <f>(B58/('Consumidores Inadimplentes'!B94*1000000))</f>
        <v>4.5248858641181097E-3</v>
      </c>
    </row>
    <row r="59" spans="1:16" x14ac:dyDescent="0.35">
      <c r="A59" s="5">
        <v>45139</v>
      </c>
      <c r="B59" s="30">
        <v>327086</v>
      </c>
      <c r="C59" s="30">
        <v>2150103</v>
      </c>
      <c r="D59" s="30">
        <v>1531204076.1399982</v>
      </c>
      <c r="E59" s="34">
        <f t="shared" ref="E59" si="41">C59/B59</f>
        <v>6.57350971915643</v>
      </c>
      <c r="F59" s="43">
        <f t="shared" ref="F59" si="42">D59/B59</f>
        <v>4681.3500918412838</v>
      </c>
      <c r="G59" s="43">
        <f t="shared" ref="G59" si="43">F59/E59</f>
        <v>712.15382525395205</v>
      </c>
      <c r="H59" s="27">
        <v>0.6080648729441378</v>
      </c>
      <c r="I59" s="59">
        <f>(B59/('Consumidores Inadimplentes'!B95*1000000))</f>
        <v>4.5593845741068173E-3</v>
      </c>
    </row>
    <row r="60" spans="1:16" x14ac:dyDescent="0.35">
      <c r="A60" s="5">
        <v>45170</v>
      </c>
      <c r="B60" s="30">
        <v>329570</v>
      </c>
      <c r="C60" s="30">
        <v>2127974</v>
      </c>
      <c r="D60" s="30">
        <v>1550085155.9699976</v>
      </c>
      <c r="E60" s="34">
        <f t="shared" ref="E60" si="44">C60/B60</f>
        <v>6.4568194920654189</v>
      </c>
      <c r="F60" s="43">
        <f t="shared" ref="F60" si="45">D60/B60</f>
        <v>4703.3563612282596</v>
      </c>
      <c r="G60" s="43">
        <f t="shared" ref="G60" si="46">F60/E60</f>
        <v>728.43237556943711</v>
      </c>
      <c r="H60" s="27">
        <v>0.61199894524562037</v>
      </c>
      <c r="I60" s="59">
        <f>(B60/('Consumidores Inadimplentes'!B96*1000000))</f>
        <v>4.5886958910126736E-3</v>
      </c>
    </row>
    <row r="61" spans="1:16" x14ac:dyDescent="0.35">
      <c r="A61" s="5">
        <v>45200</v>
      </c>
      <c r="B61" s="30">
        <v>330678</v>
      </c>
      <c r="C61" s="30">
        <v>2096734</v>
      </c>
      <c r="D61" s="30">
        <v>1700692072.4900019</v>
      </c>
      <c r="E61" s="34">
        <f t="shared" ref="E61" si="47">C61/B61</f>
        <v>6.3407121126896859</v>
      </c>
      <c r="F61" s="43">
        <f t="shared" ref="F61" si="48">D61/B61</f>
        <v>5143.0457196729203</v>
      </c>
      <c r="G61" s="43">
        <f t="shared" ref="G61" si="49">F61/E61</f>
        <v>811.114844558252</v>
      </c>
      <c r="H61" s="27">
        <v>0.61337077734661927</v>
      </c>
      <c r="I61" s="59">
        <f>(B61/('Consumidores Inadimplentes'!B97*1000000))</f>
        <v>4.5957810452599331E-3</v>
      </c>
    </row>
    <row r="62" spans="1:16" x14ac:dyDescent="0.35">
      <c r="A62" s="5">
        <v>45231</v>
      </c>
      <c r="B62" s="30">
        <v>328411</v>
      </c>
      <c r="C62" s="30">
        <v>2050582</v>
      </c>
      <c r="D62" s="30">
        <v>1625158890.9999995</v>
      </c>
      <c r="E62" s="34">
        <f t="shared" ref="E62" si="50">C62/B62</f>
        <v>6.2439504157899703</v>
      </c>
      <c r="F62" s="43">
        <f t="shared" ref="F62" si="51">D62/B62</f>
        <v>4948.5519394904541</v>
      </c>
      <c r="G62" s="43">
        <f t="shared" ref="G62" si="52">F62/E62</f>
        <v>792.53543189201878</v>
      </c>
      <c r="H62" s="27">
        <v>0.60848628357772017</v>
      </c>
      <c r="I62" s="59">
        <f>(B62/('Consumidores Inadimplentes'!B98*1000000))</f>
        <v>4.5734011874847859E-3</v>
      </c>
    </row>
    <row r="63" spans="1:16" ht="15" thickBot="1" x14ac:dyDescent="0.4">
      <c r="A63" s="12">
        <v>45261</v>
      </c>
      <c r="B63" s="31">
        <v>325603</v>
      </c>
      <c r="C63" s="31">
        <v>1993971</v>
      </c>
      <c r="D63" s="31">
        <v>1571134572.1299963</v>
      </c>
      <c r="E63" s="35">
        <f t="shared" ref="E63" si="53">C63/B63</f>
        <v>6.1239331332942264</v>
      </c>
      <c r="F63" s="46">
        <f t="shared" ref="F63" si="54">D63/B63</f>
        <v>4825.3074207854233</v>
      </c>
      <c r="G63" s="46">
        <f t="shared" ref="G63" si="55">F63/E63</f>
        <v>787.94253884835643</v>
      </c>
      <c r="H63" s="28">
        <v>0.60261030017341544</v>
      </c>
      <c r="I63" s="59">
        <f>(B63/('Consumidores Inadimplentes'!B99*1000000))</f>
        <v>4.5793506464665724E-3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325872</v>
      </c>
      <c r="C64" s="29">
        <v>1964152</v>
      </c>
      <c r="D64" s="29">
        <v>1610428950.9999962</v>
      </c>
      <c r="E64" s="33">
        <f t="shared" ref="E64" si="56">C64/B64</f>
        <v>6.0273727107575983</v>
      </c>
      <c r="F64" s="45">
        <f t="shared" ref="F64" si="57">D64/B64</f>
        <v>4941.9064878234285</v>
      </c>
      <c r="G64" s="45">
        <f t="shared" ref="G64" si="58">F64/E64</f>
        <v>819.91055223831768</v>
      </c>
      <c r="H64" s="26">
        <v>0.60243471830660444</v>
      </c>
      <c r="I64" s="59">
        <f>(B64/('Consumidores Inadimplentes'!B100*1000000))</f>
        <v>4.5216155401312528E-3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327523</v>
      </c>
      <c r="C65" s="30">
        <v>1940246</v>
      </c>
      <c r="D65" s="30">
        <v>1603703409.7099991</v>
      </c>
      <c r="E65" s="34">
        <f t="shared" ref="E65" si="59">C65/B65</f>
        <v>5.923999230588386</v>
      </c>
      <c r="F65" s="43">
        <f t="shared" ref="F65" si="60">D65/B65</f>
        <v>4896.4604309010329</v>
      </c>
      <c r="G65" s="43">
        <f t="shared" ref="G65" si="61">F65/E65</f>
        <v>826.54643262246077</v>
      </c>
      <c r="H65" s="27">
        <v>0.60481156133835856</v>
      </c>
      <c r="I65" s="59">
        <f>(B65/('Consumidores Inadimplentes'!B101*1000000))</f>
        <v>4.5464512872653903E-3</v>
      </c>
    </row>
    <row r="66" spans="1:16" x14ac:dyDescent="0.35">
      <c r="A66" s="5">
        <v>45352</v>
      </c>
      <c r="B66" s="30">
        <v>328683</v>
      </c>
      <c r="C66" s="30">
        <v>1916875</v>
      </c>
      <c r="D66" s="30">
        <v>1625496073.3899989</v>
      </c>
      <c r="E66" s="34">
        <f t="shared" ref="E66" si="62">C66/B66</f>
        <v>5.8319870513534315</v>
      </c>
      <c r="F66" s="43">
        <f t="shared" ref="F66" si="63">D66/B66</f>
        <v>4945.4826486006241</v>
      </c>
      <c r="G66" s="43">
        <f t="shared" ref="G66" si="64">F66/E66</f>
        <v>847.99273473231119</v>
      </c>
      <c r="H66" s="27">
        <v>0.60627630807143618</v>
      </c>
      <c r="I66" s="59">
        <f>(B66/('Consumidores Inadimplentes'!B102*1000000))</f>
        <v>4.5090034585584622E-3</v>
      </c>
    </row>
    <row r="67" spans="1:16" x14ac:dyDescent="0.35">
      <c r="A67" s="5">
        <v>45383</v>
      </c>
      <c r="B67" s="30">
        <v>330620</v>
      </c>
      <c r="C67" s="30">
        <v>1894197</v>
      </c>
      <c r="D67" s="30">
        <v>1676376321.1699984</v>
      </c>
      <c r="E67" s="34">
        <f t="shared" ref="E67" si="65">C67/B67</f>
        <v>5.7292269070231683</v>
      </c>
      <c r="F67" s="43">
        <f t="shared" ref="F67" si="66">D67/B67</f>
        <v>5070.4020360837167</v>
      </c>
      <c r="G67" s="43">
        <f t="shared" ref="G67" si="67">F67/E67</f>
        <v>885.00632255779021</v>
      </c>
      <c r="H67" s="27">
        <v>0.60916829421085605</v>
      </c>
      <c r="I67" s="59">
        <f>(B67/('Consumidores Inadimplentes'!B103*1000000))</f>
        <v>4.5031459095548412E-3</v>
      </c>
    </row>
    <row r="68" spans="1:16" x14ac:dyDescent="0.35">
      <c r="A68" s="5">
        <v>45413</v>
      </c>
      <c r="B68" s="30">
        <v>329178</v>
      </c>
      <c r="C68" s="30">
        <v>1861827</v>
      </c>
      <c r="D68" s="30">
        <v>1657083378.1400065</v>
      </c>
      <c r="E68" s="34">
        <f t="shared" ref="E68" si="68">C68/B68</f>
        <v>5.6559885533055061</v>
      </c>
      <c r="F68" s="43">
        <f t="shared" ref="F68" si="69">D68/B68</f>
        <v>5034.0040286410594</v>
      </c>
      <c r="G68" s="43">
        <f t="shared" ref="G68" si="70">F68/E68</f>
        <v>890.03080207774769</v>
      </c>
      <c r="H68" s="27">
        <v>0.6058349559948909</v>
      </c>
      <c r="I68" s="59">
        <f>(B68/('Consumidores Inadimplentes'!B104*1000000))</f>
        <v>4.5381732684198831E-3</v>
      </c>
    </row>
    <row r="69" spans="1:16" x14ac:dyDescent="0.35">
      <c r="A69" s="5">
        <v>45444</v>
      </c>
      <c r="B69" s="30">
        <v>330490</v>
      </c>
      <c r="C69" s="30">
        <v>1836084</v>
      </c>
      <c r="D69" s="30">
        <v>1656507148.0899999</v>
      </c>
      <c r="E69" s="34">
        <f t="shared" ref="E69" si="71">C69/B69</f>
        <v>5.5556416230445702</v>
      </c>
      <c r="F69" s="43">
        <f t="shared" ref="F69" si="72">D69/B69</f>
        <v>5012.2761599140667</v>
      </c>
      <c r="G69" s="43">
        <f t="shared" ref="G69" si="73">F69/E69</f>
        <v>902.19573183470902</v>
      </c>
      <c r="H69" s="27">
        <v>0.60757087468954118</v>
      </c>
      <c r="I69" s="59">
        <f>(B69/('Consumidores Inadimplentes'!B105*1000000))</f>
        <v>4.5584115845253284E-3</v>
      </c>
    </row>
    <row r="70" spans="1:16" x14ac:dyDescent="0.35">
      <c r="A70" s="5">
        <v>45474</v>
      </c>
      <c r="B70" s="30">
        <v>330282</v>
      </c>
      <c r="C70" s="30">
        <v>1791976</v>
      </c>
      <c r="D70" s="30">
        <v>1596068059.6300001</v>
      </c>
      <c r="E70" s="34">
        <f t="shared" ref="E70" si="74">C70/B70</f>
        <v>5.425593886436439</v>
      </c>
      <c r="F70" s="43">
        <f t="shared" ref="F70" si="75">D70/B70</f>
        <v>4832.4403377416875</v>
      </c>
      <c r="G70" s="43">
        <f t="shared" ref="G70" si="76">F70/E70</f>
        <v>890.67490838604988</v>
      </c>
      <c r="H70" s="27">
        <v>0.60651056539120507</v>
      </c>
      <c r="I70" s="59">
        <f>(B70/('Consumidores Inadimplentes'!B106*1000000))</f>
        <v>4.5453228061057786E-3</v>
      </c>
    </row>
    <row r="71" spans="1:16" x14ac:dyDescent="0.35">
      <c r="A71" s="5">
        <v>45505</v>
      </c>
      <c r="B71" s="30">
        <v>330728</v>
      </c>
      <c r="C71" s="30">
        <v>1762205</v>
      </c>
      <c r="D71" s="30">
        <v>1605054092.1299953</v>
      </c>
      <c r="E71" s="34">
        <f t="shared" ref="E71" si="77">C71/B71</f>
        <v>5.3282606855180088</v>
      </c>
      <c r="F71" s="43">
        <f t="shared" ref="F71" si="78">D71/B71</f>
        <v>4853.094059559503</v>
      </c>
      <c r="G71" s="43">
        <f t="shared" ref="G71" si="79">F71/E71</f>
        <v>910.82143798819959</v>
      </c>
      <c r="H71" s="27">
        <v>0.60667339264422637</v>
      </c>
      <c r="I71" s="59">
        <f>(B71/('Consumidores Inadimplentes'!B107*1000000))</f>
        <v>4.5641237527693623E-3</v>
      </c>
    </row>
    <row r="72" spans="1:16" x14ac:dyDescent="0.35">
      <c r="A72" s="5">
        <v>45536</v>
      </c>
      <c r="B72" s="30">
        <v>332281</v>
      </c>
      <c r="C72" s="30">
        <v>1736010</v>
      </c>
      <c r="D72" s="30">
        <v>1619230507.6399949</v>
      </c>
      <c r="E72" s="34">
        <f t="shared" ref="E72" si="80">C72/B72</f>
        <v>5.2245238217051231</v>
      </c>
      <c r="F72" s="43">
        <f t="shared" ref="F72" si="81">D72/B72</f>
        <v>4873.0758232941243</v>
      </c>
      <c r="G72" s="43">
        <f t="shared" ref="G72" si="82">F72/E72</f>
        <v>932.7310946595901</v>
      </c>
      <c r="H72" s="27">
        <v>0.60886319492798768</v>
      </c>
      <c r="I72" s="59">
        <f>(B72/('Consumidores Inadimplentes'!B108*1000000))</f>
        <v>4.5742316909383705E-3</v>
      </c>
    </row>
    <row r="73" spans="1:16" x14ac:dyDescent="0.35">
      <c r="A73" s="5">
        <v>45566</v>
      </c>
      <c r="B73" s="30">
        <v>333808</v>
      </c>
      <c r="C73" s="30">
        <v>1715381</v>
      </c>
      <c r="D73" s="30">
        <v>1639175680.1699939</v>
      </c>
      <c r="E73" s="34">
        <f t="shared" ref="E73" si="83">C73/B73</f>
        <v>5.1388253127546371</v>
      </c>
      <c r="F73" s="43">
        <f t="shared" ref="F73" si="84">D73/B73</f>
        <v>4910.5344394681788</v>
      </c>
      <c r="G73" s="43">
        <f t="shared" ref="G73" si="85">F73/E73</f>
        <v>955.57528045955621</v>
      </c>
      <c r="H73" s="27">
        <v>0.6109995588754803</v>
      </c>
      <c r="I73" s="59">
        <f>(B73/('Consumidores Inadimplentes'!B109*1000000))</f>
        <v>4.5662076721120146E-3</v>
      </c>
    </row>
    <row r="74" spans="1:16" x14ac:dyDescent="0.35">
      <c r="A74" s="5">
        <v>45597</v>
      </c>
      <c r="B74" s="30">
        <v>334521</v>
      </c>
      <c r="C74" s="30">
        <v>1674479</v>
      </c>
      <c r="D74" s="30">
        <v>1617388988.0999937</v>
      </c>
      <c r="E74" s="34">
        <f t="shared" ref="E74" si="86">C74/B74</f>
        <v>5.0056020399317234</v>
      </c>
      <c r="F74" s="43">
        <f t="shared" ref="F74" si="87">D74/B74</f>
        <v>4834.9400728205219</v>
      </c>
      <c r="G74" s="43">
        <f t="shared" ref="G74" si="88">F74/E74</f>
        <v>965.90580598502208</v>
      </c>
      <c r="H74" s="27">
        <v>0.61164297651219002</v>
      </c>
      <c r="I74" s="59">
        <f>(B74/('Consumidores Inadimplentes'!B110*1000000))</f>
        <v>4.5334932564421639E-3</v>
      </c>
    </row>
    <row r="75" spans="1:16" ht="15" thickBot="1" x14ac:dyDescent="0.4">
      <c r="A75" s="12">
        <v>45627</v>
      </c>
      <c r="B75" s="31">
        <v>333388</v>
      </c>
      <c r="C75" s="31">
        <v>1629865</v>
      </c>
      <c r="D75" s="31">
        <v>1595746333.1699958</v>
      </c>
      <c r="E75" s="35">
        <f t="shared" ref="E75" si="89">C75/B75</f>
        <v>4.8887932379089829</v>
      </c>
      <c r="F75" s="46">
        <f t="shared" ref="F75" si="90">D75/B75</f>
        <v>4786.4540210505347</v>
      </c>
      <c r="G75" s="46">
        <f t="shared" ref="G75" si="91">F75/E75</f>
        <v>979.0665688078434</v>
      </c>
      <c r="H75" s="28">
        <v>0.60891228352151727</v>
      </c>
      <c r="I75" s="59">
        <f>(B75/('Consumidores Inadimplentes'!B111*1000000))</f>
        <v>4.5351351771946808E-3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338864</v>
      </c>
      <c r="C76" s="29">
        <v>1627274</v>
      </c>
      <c r="D76" s="29">
        <v>1653051427.5799954</v>
      </c>
      <c r="E76" s="33">
        <f t="shared" ref="E76:E77" si="92">C76/B76</f>
        <v>4.8021448132584164</v>
      </c>
      <c r="F76" s="45">
        <f t="shared" ref="F76:F77" si="93">D76/B76</f>
        <v>4878.2149404480715</v>
      </c>
      <c r="G76" s="45">
        <f t="shared" ref="G76:G77" si="94">F76/E76</f>
        <v>1015.8408648942927</v>
      </c>
      <c r="H76" s="26">
        <v>0.61824537589444373</v>
      </c>
      <c r="I76" s="59">
        <f>(B76/('Consumidores Inadimplentes'!B112*1000000))</f>
        <v>4.5422354413662712E-3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340298</v>
      </c>
      <c r="C77" s="30">
        <v>1620864</v>
      </c>
      <c r="D77" s="30">
        <v>1710331716.4599965</v>
      </c>
      <c r="E77" s="34">
        <f t="shared" si="92"/>
        <v>4.7630723659851073</v>
      </c>
      <c r="F77" s="43">
        <f t="shared" si="93"/>
        <v>5025.9822757112779</v>
      </c>
      <c r="G77" s="43">
        <f t="shared" si="94"/>
        <v>1055.1975467775189</v>
      </c>
      <c r="H77" s="27">
        <v>0.62019066920114674</v>
      </c>
      <c r="I77" s="59">
        <f>(B77/('Consumidores Inadimplentes'!B113*1000000))</f>
        <v>4.5371017711506815E-3</v>
      </c>
    </row>
    <row r="78" spans="1:16" x14ac:dyDescent="0.35">
      <c r="A78" s="5">
        <v>45717</v>
      </c>
      <c r="B78" s="30">
        <v>342306</v>
      </c>
      <c r="C78" s="30">
        <v>1582299</v>
      </c>
      <c r="D78" s="30">
        <v>1690757409.9599967</v>
      </c>
      <c r="E78" s="34">
        <f t="shared" ref="E78" si="95">C78/B78</f>
        <v>4.6224693695114896</v>
      </c>
      <c r="F78" s="43">
        <f t="shared" ref="F78" si="96">D78/B78</f>
        <v>4939.3157290844938</v>
      </c>
      <c r="G78" s="43">
        <f t="shared" ref="G78" si="97">F78/E78</f>
        <v>1068.5448262054117</v>
      </c>
      <c r="H78" s="27">
        <v>0.623175609374232</v>
      </c>
      <c r="I78" s="59">
        <f>(B78/('Consumidores Inadimplentes'!B114*1000000))</f>
        <v>4.5177262612328961E-3</v>
      </c>
    </row>
    <row r="79" spans="1:16" x14ac:dyDescent="0.35">
      <c r="A79" s="5">
        <v>45748</v>
      </c>
      <c r="B79" s="30">
        <v>342242</v>
      </c>
      <c r="C79" s="30">
        <v>1587701</v>
      </c>
      <c r="D79" s="30">
        <v>1836653493</v>
      </c>
      <c r="E79" s="34">
        <f t="shared" ref="E79" si="98">C79/B79</f>
        <v>4.6391179340934192</v>
      </c>
      <c r="F79" s="43">
        <f t="shared" ref="F79" si="99">D79/B79</f>
        <v>5366.5344785268908</v>
      </c>
      <c r="G79" s="43">
        <f t="shared" ref="G79" si="100">F79/E79</f>
        <v>1156.800614851285</v>
      </c>
      <c r="H79" s="27">
        <v>0.62238605386197532</v>
      </c>
      <c r="I79" s="59">
        <f>(B79/('Consumidores Inadimplentes'!B115*1000000))</f>
        <v>4.4656649277371981E-3</v>
      </c>
    </row>
    <row r="80" spans="1:16" x14ac:dyDescent="0.35">
      <c r="A80" s="5">
        <v>45778</v>
      </c>
      <c r="B80" s="30">
        <v>347594</v>
      </c>
      <c r="C80" s="30">
        <v>1572445</v>
      </c>
      <c r="D80" s="30">
        <v>1785436083</v>
      </c>
      <c r="E80" s="34">
        <f t="shared" ref="E80" si="101">C80/B80</f>
        <v>4.523797879134853</v>
      </c>
      <c r="F80" s="43">
        <f t="shared" ref="F80" si="102">D80/B80</f>
        <v>5136.556105686519</v>
      </c>
      <c r="G80" s="43">
        <f t="shared" ref="G80" si="103">F80/E80</f>
        <v>1135.452167166419</v>
      </c>
      <c r="H80" s="27">
        <v>0.631435723602225</v>
      </c>
      <c r="I80" s="59">
        <f>(B80/('Consumidores Inadimplentes'!B116*1000000))</f>
        <v>4.5099742735001478E-3</v>
      </c>
    </row>
    <row r="81" spans="1:16" x14ac:dyDescent="0.35">
      <c r="A81" s="5">
        <v>45809</v>
      </c>
      <c r="B81" s="30">
        <v>349852</v>
      </c>
      <c r="C81" s="30">
        <v>1560935</v>
      </c>
      <c r="D81" s="30">
        <v>1824743222</v>
      </c>
      <c r="E81" s="34">
        <f t="shared" ref="E81" si="104">C81/B81</f>
        <v>4.4617009478293674</v>
      </c>
      <c r="F81" s="43">
        <f t="shared" ref="F81" si="105">D81/B81</f>
        <v>5215.7575832066132</v>
      </c>
      <c r="G81" s="43">
        <f t="shared" ref="G81" si="106">F81/E81</f>
        <v>1169.0065390294922</v>
      </c>
      <c r="H81" s="27">
        <v>0.63485023898613269</v>
      </c>
      <c r="I81" s="59">
        <f>(B81/('Consumidores Inadimplentes'!B117*1000000))</f>
        <v>4.4925046740850634E-3</v>
      </c>
    </row>
    <row r="82" spans="1:16" x14ac:dyDescent="0.35">
      <c r="A82" s="5">
        <v>45839</v>
      </c>
      <c r="B82" s="30">
        <v>353169</v>
      </c>
      <c r="C82" s="30">
        <v>1548752</v>
      </c>
      <c r="D82" s="30">
        <v>1876525214</v>
      </c>
      <c r="E82" s="34">
        <f t="shared" ref="E82" si="107">C82/B82</f>
        <v>4.3852999555453618</v>
      </c>
      <c r="F82" s="43">
        <f t="shared" ref="F82" si="108">D82/B82</f>
        <v>5313.3916453595866</v>
      </c>
      <c r="G82" s="43">
        <f t="shared" ref="G82" si="109">F82/E82</f>
        <v>1211.6369915906484</v>
      </c>
      <c r="H82" s="27">
        <v>0.64017698858383754</v>
      </c>
      <c r="I82" s="59">
        <f>(B82/('Consumidores Inadimplentes'!B118*1000000))</f>
        <v>4.5184703891068181E-3</v>
      </c>
    </row>
    <row r="83" spans="1:16" x14ac:dyDescent="0.35">
      <c r="A83" s="5">
        <v>45870</v>
      </c>
      <c r="B83" s="30">
        <v>356905</v>
      </c>
      <c r="C83" s="30">
        <v>1539095</v>
      </c>
      <c r="D83" s="30">
        <v>1912587369</v>
      </c>
      <c r="E83" s="34">
        <f t="shared" ref="E83" si="110">C83/B83</f>
        <v>4.3123380171194015</v>
      </c>
      <c r="F83" s="43">
        <f t="shared" ref="F83" si="111">D83/B83</f>
        <v>5358.8136030596379</v>
      </c>
      <c r="G83" s="43">
        <f t="shared" ref="G83" si="112">F83/E83</f>
        <v>1242.6701204279138</v>
      </c>
      <c r="H83" s="27">
        <v>0.64624273688746769</v>
      </c>
      <c r="I83" s="59">
        <f>(B83/('Consumidores Inadimplentes'!B119*1000000))</f>
        <v>4.5264456195000854E-3</v>
      </c>
    </row>
    <row r="84" spans="1:16" x14ac:dyDescent="0.35">
      <c r="A84" s="5">
        <v>45901</v>
      </c>
      <c r="B84" s="30">
        <v>355848</v>
      </c>
      <c r="C84" s="30">
        <v>1507045</v>
      </c>
      <c r="D84" s="30">
        <v>1935647610</v>
      </c>
      <c r="E84" s="34">
        <f>IFERROR(C84/B84,"")</f>
        <v>4.2350807086171622</v>
      </c>
      <c r="F84" s="43">
        <f>IFERROR(D84/B84,"")</f>
        <v>5439.5348856815272</v>
      </c>
      <c r="G84" s="43">
        <f>IFERROR(F84/E84,"")</f>
        <v>1284.3993444124098</v>
      </c>
      <c r="H84" s="27">
        <v>0.64362610331355807</v>
      </c>
      <c r="I84" s="59">
        <f>(B84/('Consumidores Inadimplentes'!B120*1000000))</f>
        <v>4.4949059046759813E-3</v>
      </c>
    </row>
    <row r="85" spans="1:16" x14ac:dyDescent="0.35">
      <c r="A85" s="5">
        <v>45931</v>
      </c>
      <c r="B85" s="30">
        <v>362516</v>
      </c>
      <c r="C85" s="30">
        <v>1535015</v>
      </c>
      <c r="D85" s="30">
        <v>1998837014</v>
      </c>
      <c r="E85" s="34">
        <f t="shared" ref="E85:E87" si="113">IFERROR(C85/B85,"")</f>
        <v>4.2343372430458244</v>
      </c>
      <c r="F85" s="43">
        <f t="shared" ref="F85:F87" si="114">IFERROR(D85/B85,"")</f>
        <v>5513.789774796147</v>
      </c>
      <c r="G85" s="43">
        <f t="shared" ref="G85:G87" si="115">IFERROR(F85/E85,"")</f>
        <v>1302.1612257860672</v>
      </c>
      <c r="H85" s="27">
        <v>0.65497105607388828</v>
      </c>
      <c r="I85" s="59">
        <f>(B85/('Consumidores Inadimplentes'!B121*1000000))</f>
        <v>4.5068576551758844E-3</v>
      </c>
    </row>
    <row r="86" spans="1:16" x14ac:dyDescent="0.35">
      <c r="A86" s="5">
        <v>45962</v>
      </c>
      <c r="B86" s="30">
        <v>361262</v>
      </c>
      <c r="C86" s="30">
        <v>1498734</v>
      </c>
      <c r="D86" s="30">
        <v>2032514356</v>
      </c>
      <c r="E86" s="34">
        <f t="shared" si="113"/>
        <v>4.1486068282852884</v>
      </c>
      <c r="F86" s="43">
        <f t="shared" si="114"/>
        <v>5626.1504282210699</v>
      </c>
      <c r="G86" s="43">
        <f t="shared" si="115"/>
        <v>1356.1541647817428</v>
      </c>
      <c r="H86" s="27">
        <v>0.6519927304097356</v>
      </c>
      <c r="I86" s="59">
        <f>(B86/('Consumidores Inadimplentes'!B122*1000000))</f>
        <v>4.4816102287032703E-3</v>
      </c>
    </row>
    <row r="87" spans="1:16" ht="15" thickBot="1" x14ac:dyDescent="0.4">
      <c r="A87" s="12">
        <v>45992</v>
      </c>
      <c r="B87" s="31">
        <v>366222</v>
      </c>
      <c r="C87" s="31">
        <v>1493283</v>
      </c>
      <c r="D87" s="31">
        <v>2086155204</v>
      </c>
      <c r="E87" s="35">
        <f t="shared" si="113"/>
        <v>4.0775349378245984</v>
      </c>
      <c r="F87" s="46">
        <f t="shared" si="114"/>
        <v>5696.4223995281554</v>
      </c>
      <c r="G87" s="46">
        <f t="shared" si="115"/>
        <v>1397.0260185108918</v>
      </c>
      <c r="H87" s="28">
        <v>0.66022347456435437</v>
      </c>
      <c r="I87" s="59">
        <f>(B87/('Consumidores Inadimplentes'!B123*1000000))</f>
        <v>4.5074577574915802E-3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354990</v>
      </c>
      <c r="C88" s="29">
        <v>1396176</v>
      </c>
      <c r="D88" s="29">
        <v>1881937728</v>
      </c>
      <c r="E88" s="33">
        <f t="shared" ref="E88:E89" si="116">IFERROR(C88/B88,"")</f>
        <v>3.9330009296036508</v>
      </c>
      <c r="F88" s="45">
        <f t="shared" ref="F88:F89" si="117">IFERROR(D88/B88,"")</f>
        <v>5301.3823713344036</v>
      </c>
      <c r="G88" s="45">
        <f t="shared" ref="G88:G89" si="118">IFERROR(F88/E88,"")</f>
        <v>1347.9229896517345</v>
      </c>
      <c r="H88" s="26">
        <v>0.63927606699081574</v>
      </c>
      <c r="I88" s="59">
        <f>(B88/('Consumidores Inadimplentes'!B124*1000000))</f>
        <v>4.3653825837454913E-3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357306</v>
      </c>
      <c r="C89" s="30">
        <v>1392072</v>
      </c>
      <c r="D89" s="30">
        <v>1949371011</v>
      </c>
      <c r="E89" s="34">
        <f t="shared" si="116"/>
        <v>3.8960218971973601</v>
      </c>
      <c r="F89" s="43">
        <f t="shared" si="117"/>
        <v>5455.7466457322298</v>
      </c>
      <c r="G89" s="43">
        <f t="shared" si="118"/>
        <v>1400.3377777873559</v>
      </c>
      <c r="H89" s="27">
        <v>0.64274420001906796</v>
      </c>
      <c r="I89" s="59">
        <f>(B89/('Consumidores Inadimplentes'!B125*1000000))</f>
        <v>4.3716826606634302E-3</v>
      </c>
    </row>
    <row r="90" spans="1:16" x14ac:dyDescent="0.35">
      <c r="A90" s="5">
        <v>46082</v>
      </c>
      <c r="B90" s="30">
        <v>362350</v>
      </c>
      <c r="C90" s="30">
        <v>1400017</v>
      </c>
      <c r="D90" s="30">
        <v>2052942059</v>
      </c>
      <c r="E90" s="34">
        <f t="shared" ref="E90" si="119">IFERROR(C90/B90,"")</f>
        <v>3.8637146405409135</v>
      </c>
      <c r="F90" s="43">
        <f t="shared" ref="F90" si="120">IFERROR(D90/B90,"")</f>
        <v>5665.632838415896</v>
      </c>
      <c r="G90" s="43">
        <f t="shared" ref="G90" si="121">IFERROR(F90/E90,"")</f>
        <v>1466.3693790861109</v>
      </c>
      <c r="H90" s="27">
        <v>0.65110671070269566</v>
      </c>
      <c r="I90" s="59">
        <f>(B90/('Consumidores Inadimplentes'!B126*1000000))</f>
        <v>4.3744911643427455E-3</v>
      </c>
    </row>
    <row r="91" spans="1:16" x14ac:dyDescent="0.35">
      <c r="A91" s="5">
        <v>46113</v>
      </c>
      <c r="B91" s="30">
        <v>365598</v>
      </c>
      <c r="C91" s="30">
        <v>1396887</v>
      </c>
      <c r="D91" s="30">
        <v>2069178238</v>
      </c>
      <c r="E91" s="34">
        <f t="shared" ref="E91" si="122">IFERROR(C91/B91,"")</f>
        <v>3.8208277944627707</v>
      </c>
      <c r="F91" s="43">
        <f t="shared" ref="F91" si="123">IFERROR(D91/B91,"")</f>
        <v>5659.7088550812641</v>
      </c>
      <c r="G91" s="43">
        <f t="shared" ref="G91" si="124">IFERROR(F91/E91,"")</f>
        <v>1481.2781835610181</v>
      </c>
      <c r="H91" s="27">
        <v>0.65622610487469535</v>
      </c>
      <c r="I91" s="59">
        <f>(B91/('Consumidores Inadimplentes'!B127*1000000))</f>
        <v>4.3842372282489562E-3</v>
      </c>
    </row>
    <row r="92" spans="1:16" x14ac:dyDescent="0.35">
      <c r="A92" s="5">
        <v>46143</v>
      </c>
      <c r="B92" s="30">
        <v>363407</v>
      </c>
      <c r="C92" s="30">
        <v>1359718</v>
      </c>
      <c r="D92" s="30">
        <v>2051593735</v>
      </c>
      <c r="E92" s="34">
        <f t="shared" ref="E92" si="125">IFERROR(C92/B92,"")</f>
        <v>3.7415845044261666</v>
      </c>
      <c r="F92" s="43">
        <f t="shared" ref="F92" si="126">IFERROR(D92/B92,"")</f>
        <v>5645.4436348226645</v>
      </c>
      <c r="G92" s="43">
        <f t="shared" ref="G92" si="127">IFERROR(F92/E92,"")</f>
        <v>1508.8376670750847</v>
      </c>
      <c r="H92" s="27">
        <v>0.65158113857755795</v>
      </c>
      <c r="I92" s="59">
        <f>(B92/('Consumidores Inadimplentes'!B128*1000000))</f>
        <v>4.3520313068131835E-3</v>
      </c>
    </row>
    <row r="93" spans="1:16" x14ac:dyDescent="0.35">
      <c r="A93" s="5">
        <v>46174</v>
      </c>
      <c r="B93" s="30">
        <v>363606</v>
      </c>
      <c r="C93" s="30">
        <v>1335692</v>
      </c>
      <c r="D93" s="30">
        <v>2074133837</v>
      </c>
      <c r="E93" s="34">
        <f t="shared" ref="E93" si="128">IFERROR(C93/B93,"")</f>
        <v>3.6734597338877797</v>
      </c>
      <c r="F93" s="43">
        <f t="shared" ref="F93" si="129">IFERROR(D93/B93,"")</f>
        <v>5704.3443645044363</v>
      </c>
      <c r="G93" s="43">
        <f t="shared" ref="G93" si="130">IFERROR(F93/E93,"")</f>
        <v>1552.8533801205667</v>
      </c>
      <c r="H93" s="27">
        <v>0.6512268510226743</v>
      </c>
      <c r="I93" s="59">
        <f>(B93/('Consumidores Inadimplentes'!B129*1000000))</f>
        <v>4.342207447973815E-3</v>
      </c>
    </row>
    <row r="94" spans="1:16" x14ac:dyDescent="0.35">
      <c r="A94" s="5">
        <v>46204</v>
      </c>
      <c r="B94" s="30">
        <v>362541</v>
      </c>
      <c r="C94" s="30">
        <v>1315232</v>
      </c>
      <c r="D94" s="30">
        <v>2089119501</v>
      </c>
      <c r="E94" s="34">
        <f t="shared" ref="E94" si="131">IFERROR(C94/B94,"")</f>
        <v>3.6278158884098626</v>
      </c>
      <c r="F94" s="43">
        <f t="shared" ref="F94" si="132">IFERROR(D94/B94,"")</f>
        <v>5762.4365271789948</v>
      </c>
      <c r="G94" s="43">
        <f t="shared" ref="G94" si="133">IFERROR(F94/E94,"")</f>
        <v>1588.4037956801537</v>
      </c>
      <c r="H94" s="27">
        <v>0.64861078808480188</v>
      </c>
      <c r="I94" s="59">
        <f>(B94/('Consumidores Inadimplentes'!B130*1000000))</f>
        <v>4.3194652122688299E-3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9589-CF75-4F5B-966A-4274B8A32836}">
  <sheetPr codeName="Planilha8"/>
  <dimension ref="A1:P99"/>
  <sheetViews>
    <sheetView zoomScale="90" zoomScaleNormal="90" workbookViewId="0">
      <pane xSplit="1" ySplit="3" topLeftCell="B4" activePane="bottomRight" state="frozen"/>
      <selection activeCell="H93" sqref="H93"/>
      <selection pane="topRight" activeCell="H93" sqref="H93"/>
      <selection pane="bottomLeft" activeCell="H93" sqref="H93"/>
      <selection pane="bottomRight" activeCell="K8" sqref="K8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24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3982920</v>
      </c>
      <c r="C4" s="29">
        <v>13242724</v>
      </c>
      <c r="D4" s="29">
        <v>10036048085.160286</v>
      </c>
      <c r="E4" s="33">
        <f t="shared" ref="E4:E33" si="0">C4/B4</f>
        <v>3.3248782300422803</v>
      </c>
      <c r="F4" s="45">
        <f>D4/B4</f>
        <v>2519.7714453617664</v>
      </c>
      <c r="G4" s="45">
        <f t="shared" ref="G4" si="1">F4/E4</f>
        <v>757.85375313721613</v>
      </c>
      <c r="H4" s="26">
        <v>0.37123184615675459</v>
      </c>
      <c r="I4" s="58">
        <f>(B4/('Consumidores Inadimplentes'!B40*1000000))</f>
        <v>6.4058400046358432E-2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3958677</v>
      </c>
      <c r="C5" s="30">
        <v>13092028</v>
      </c>
      <c r="D5" s="30">
        <v>10008015952.19035</v>
      </c>
      <c r="E5" s="34">
        <f t="shared" si="0"/>
        <v>3.3071725730591308</v>
      </c>
      <c r="F5" s="43">
        <f t="shared" ref="F5:F45" si="2">D5/B5</f>
        <v>2528.1213779730829</v>
      </c>
      <c r="G5" s="43">
        <f t="shared" ref="G5:G45" si="3">F5/E5</f>
        <v>764.4358805366403</v>
      </c>
      <c r="H5" s="27">
        <v>0.36857522286375</v>
      </c>
      <c r="I5" s="59">
        <f>(B5/('Consumidores Inadimplentes'!B41*1000000))</f>
        <v>6.367206305293481E-2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3997409</v>
      </c>
      <c r="C6" s="30">
        <v>13214788</v>
      </c>
      <c r="D6" s="30">
        <v>10356342319.560394</v>
      </c>
      <c r="E6" s="34">
        <f t="shared" si="0"/>
        <v>3.3058383567956144</v>
      </c>
      <c r="F6" s="43">
        <f t="shared" si="2"/>
        <v>2590.7637471072871</v>
      </c>
      <c r="G6" s="43">
        <f t="shared" si="3"/>
        <v>783.69341373924374</v>
      </c>
      <c r="H6" s="27">
        <v>0.37168370976404724</v>
      </c>
      <c r="I6" s="59">
        <f>(B6/('Consumidores Inadimplentes'!B42*1000000))</f>
        <v>6.3491166728327428E-2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4057562</v>
      </c>
      <c r="C7" s="30">
        <v>13238374</v>
      </c>
      <c r="D7" s="30">
        <v>10318722650.160353</v>
      </c>
      <c r="E7" s="34">
        <f t="shared" si="0"/>
        <v>3.2626424439109001</v>
      </c>
      <c r="F7" s="43">
        <f t="shared" si="2"/>
        <v>2543.084406389934</v>
      </c>
      <c r="G7" s="43">
        <f t="shared" si="3"/>
        <v>779.45544144321298</v>
      </c>
      <c r="H7" s="27">
        <v>0.37660785894724313</v>
      </c>
      <c r="I7" s="59">
        <f>(B7/('Consumidores Inadimplentes'!B43*1000000))</f>
        <v>6.4196441177719554E-2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4073306</v>
      </c>
      <c r="C8" s="30">
        <v>13209493</v>
      </c>
      <c r="D8" s="30">
        <v>10584385261.450315</v>
      </c>
      <c r="E8" s="34">
        <f t="shared" si="0"/>
        <v>3.242941482913388</v>
      </c>
      <c r="F8" s="43">
        <f t="shared" si="2"/>
        <v>2598.4753567373323</v>
      </c>
      <c r="G8" s="43">
        <f t="shared" si="3"/>
        <v>801.27112081064092</v>
      </c>
      <c r="H8" s="27">
        <v>0.37517322220025506</v>
      </c>
      <c r="I8" s="59">
        <f>(B8/('Consumidores Inadimplentes'!B44*1000000))</f>
        <v>6.4273459379692685E-2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4086651</v>
      </c>
      <c r="C9" s="30">
        <v>13120269</v>
      </c>
      <c r="D9" s="30">
        <v>10624394041.88035</v>
      </c>
      <c r="E9" s="34">
        <f t="shared" si="0"/>
        <v>3.210518588448096</v>
      </c>
      <c r="F9" s="43">
        <f t="shared" si="2"/>
        <v>2599.7801235976231</v>
      </c>
      <c r="G9" s="43">
        <f t="shared" si="3"/>
        <v>809.7695284967366</v>
      </c>
      <c r="H9" s="27">
        <v>0.37756309704880681</v>
      </c>
      <c r="I9" s="59">
        <f>(B9/('Consumidores Inadimplentes'!B45*1000000))</f>
        <v>6.4406833406300878E-2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4046120</v>
      </c>
      <c r="C10" s="30">
        <v>12964607</v>
      </c>
      <c r="D10" s="30">
        <v>10621966063.490326</v>
      </c>
      <c r="E10" s="34">
        <f t="shared" si="0"/>
        <v>3.2042072405168409</v>
      </c>
      <c r="F10" s="43">
        <f t="shared" si="2"/>
        <v>2625.222698162765</v>
      </c>
      <c r="G10" s="43">
        <f t="shared" si="3"/>
        <v>819.30490168273718</v>
      </c>
      <c r="H10" s="27">
        <v>0.37172254522386605</v>
      </c>
      <c r="I10" s="59">
        <f>(B10/('Consumidores Inadimplentes'!B46*1000000))</f>
        <v>6.3755204419658276E-2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4016549</v>
      </c>
      <c r="C11" s="30">
        <v>12882357</v>
      </c>
      <c r="D11" s="30">
        <v>10729448482.550371</v>
      </c>
      <c r="E11" s="34">
        <f t="shared" si="0"/>
        <v>3.2073197662968882</v>
      </c>
      <c r="F11" s="43">
        <f t="shared" si="2"/>
        <v>2671.3102423374821</v>
      </c>
      <c r="G11" s="43">
        <f t="shared" si="3"/>
        <v>832.87930015837719</v>
      </c>
      <c r="H11" s="27">
        <v>0.36992311697937907</v>
      </c>
      <c r="I11" s="59">
        <f>(B11/('Consumidores Inadimplentes'!B47*1000000))</f>
        <v>6.3324602112643139E-2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3966676</v>
      </c>
      <c r="C12" s="30">
        <v>12597163</v>
      </c>
      <c r="D12" s="30">
        <v>10515063365.390371</v>
      </c>
      <c r="E12" s="34">
        <f t="shared" si="0"/>
        <v>3.175747905803247</v>
      </c>
      <c r="F12" s="43">
        <f t="shared" si="2"/>
        <v>2650.8500733083247</v>
      </c>
      <c r="G12" s="43">
        <f t="shared" si="3"/>
        <v>834.71678229378881</v>
      </c>
      <c r="H12" s="27">
        <v>0.36778064987517267</v>
      </c>
      <c r="I12" s="59">
        <f>(B12/('Consumidores Inadimplentes'!B48*1000000))</f>
        <v>6.2757298054069002E-2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4009454</v>
      </c>
      <c r="C13" s="30">
        <v>12718545</v>
      </c>
      <c r="D13" s="30">
        <v>10699057142.790419</v>
      </c>
      <c r="E13" s="34">
        <f t="shared" si="0"/>
        <v>3.172138899710534</v>
      </c>
      <c r="F13" s="43">
        <f t="shared" si="2"/>
        <v>2668.4573866642236</v>
      </c>
      <c r="G13" s="43">
        <f t="shared" si="3"/>
        <v>841.21706868123817</v>
      </c>
      <c r="H13" s="27">
        <v>0.36864362872696826</v>
      </c>
      <c r="I13" s="59">
        <f>(B13/('Consumidores Inadimplentes'!B49*1000000))</f>
        <v>6.2793507614005706E-2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4030634</v>
      </c>
      <c r="C14" s="30">
        <v>12652731</v>
      </c>
      <c r="D14" s="30">
        <v>10848011561.810379</v>
      </c>
      <c r="E14" s="34">
        <f t="shared" si="0"/>
        <v>3.1391416337975615</v>
      </c>
      <c r="F14" s="43">
        <f t="shared" si="2"/>
        <v>2691.3908734482911</v>
      </c>
      <c r="G14" s="43">
        <f t="shared" si="3"/>
        <v>857.36522508938026</v>
      </c>
      <c r="H14" s="27">
        <v>0.37027672867229178</v>
      </c>
      <c r="I14" s="59">
        <f>(B14/('Consumidores Inadimplentes'!B50*1000000))</f>
        <v>6.3135540175393329E-2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3951191</v>
      </c>
      <c r="C15" s="31">
        <v>12395578</v>
      </c>
      <c r="D15" s="31">
        <v>10851224757.160391</v>
      </c>
      <c r="E15" s="35">
        <f t="shared" si="0"/>
        <v>3.1371750948005297</v>
      </c>
      <c r="F15" s="43">
        <f t="shared" si="2"/>
        <v>2746.3174412880549</v>
      </c>
      <c r="G15" s="43">
        <f t="shared" si="3"/>
        <v>875.41095358041321</v>
      </c>
      <c r="H15" s="27">
        <v>0.36267083187123139</v>
      </c>
      <c r="I15" s="59">
        <f>(B15/('Consumidores Inadimplentes'!B51*1000000))</f>
        <v>6.2412838902431905E-2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3968967</v>
      </c>
      <c r="C16" s="29">
        <v>12427871</v>
      </c>
      <c r="D16" s="29">
        <v>10938837053.950386</v>
      </c>
      <c r="E16" s="33">
        <f t="shared" si="0"/>
        <v>3.1312608545246157</v>
      </c>
      <c r="F16" s="45">
        <f t="shared" si="2"/>
        <v>2756.0917120123158</v>
      </c>
      <c r="G16" s="45">
        <f t="shared" si="3"/>
        <v>880.18591872657714</v>
      </c>
      <c r="H16" s="26">
        <v>0.36399350694014554</v>
      </c>
      <c r="I16" s="59">
        <f>(B16/('Consumidores Inadimplentes'!B52*1000000))</f>
        <v>6.2226719111679152E-2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3983642</v>
      </c>
      <c r="C17" s="30">
        <v>12352586</v>
      </c>
      <c r="D17" s="30">
        <v>10935378758.870407</v>
      </c>
      <c r="E17" s="34">
        <f t="shared" si="0"/>
        <v>3.1008273333798568</v>
      </c>
      <c r="F17" s="43">
        <f t="shared" si="2"/>
        <v>2745.0706561659927</v>
      </c>
      <c r="G17" s="43">
        <f t="shared" si="3"/>
        <v>885.27040077846107</v>
      </c>
      <c r="H17" s="27">
        <v>0.36502952157500934</v>
      </c>
      <c r="I17" s="59">
        <f>(B17/('Consumidores Inadimplentes'!B53*1000000))</f>
        <v>6.2351870673353502E-2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4052294</v>
      </c>
      <c r="C18" s="30">
        <v>12471441</v>
      </c>
      <c r="D18" s="30">
        <v>11219292498.640463</v>
      </c>
      <c r="E18" s="34">
        <f t="shared" si="0"/>
        <v>3.0776249206005288</v>
      </c>
      <c r="F18" s="43">
        <f t="shared" si="2"/>
        <v>2768.6274733867936</v>
      </c>
      <c r="G18" s="43">
        <f t="shared" si="3"/>
        <v>899.59873110416538</v>
      </c>
      <c r="H18" s="27">
        <v>0.37100534421341402</v>
      </c>
      <c r="I18" s="59">
        <f>(B18/('Consumidores Inadimplentes'!B54*1000000))</f>
        <v>6.2523200526687348E-2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4148840</v>
      </c>
      <c r="C19" s="30">
        <v>12626739</v>
      </c>
      <c r="D19" s="30">
        <v>11263509459.850435</v>
      </c>
      <c r="E19" s="34">
        <f t="shared" si="0"/>
        <v>3.0434384068799956</v>
      </c>
      <c r="F19" s="43">
        <f t="shared" si="2"/>
        <v>2714.8575167638269</v>
      </c>
      <c r="G19" s="43">
        <f t="shared" si="3"/>
        <v>892.03629376123433</v>
      </c>
      <c r="H19" s="27">
        <v>0.37952241633284511</v>
      </c>
      <c r="I19" s="59">
        <f>(B19/('Consumidores Inadimplentes'!B55*1000000))</f>
        <v>6.294837463729322E-2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4001560</v>
      </c>
      <c r="C20" s="30">
        <v>12113312</v>
      </c>
      <c r="D20" s="30">
        <v>11021654433.660439</v>
      </c>
      <c r="E20" s="34">
        <f t="shared" si="0"/>
        <v>3.0271474125091213</v>
      </c>
      <c r="F20" s="43">
        <f t="shared" si="2"/>
        <v>2754.3394160428529</v>
      </c>
      <c r="G20" s="43">
        <f t="shared" si="3"/>
        <v>909.87951384893233</v>
      </c>
      <c r="H20" s="27">
        <v>0.36573930924337289</v>
      </c>
      <c r="I20" s="59">
        <f>(B20/('Consumidores Inadimplentes'!B56*1000000))</f>
        <v>6.1343565988828508E-2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3899049</v>
      </c>
      <c r="C21" s="30">
        <v>11782322</v>
      </c>
      <c r="D21" s="30">
        <v>10876656883.26041</v>
      </c>
      <c r="E21" s="34">
        <f t="shared" si="0"/>
        <v>3.0218450704261475</v>
      </c>
      <c r="F21" s="43">
        <f t="shared" si="2"/>
        <v>2789.5666054108092</v>
      </c>
      <c r="G21" s="43">
        <f t="shared" si="3"/>
        <v>923.13356257454268</v>
      </c>
      <c r="H21" s="27">
        <v>0.35576572751717056</v>
      </c>
      <c r="I21" s="59">
        <f>(B21/('Consumidores Inadimplentes'!B57*1000000))</f>
        <v>6.0921982857966329E-2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3836175</v>
      </c>
      <c r="C22" s="30">
        <v>11550431</v>
      </c>
      <c r="D22" s="30">
        <v>11060130251.94042</v>
      </c>
      <c r="E22" s="34">
        <f t="shared" si="0"/>
        <v>3.0109239020639049</v>
      </c>
      <c r="F22" s="43">
        <f t="shared" si="2"/>
        <v>2883.1141050500614</v>
      </c>
      <c r="G22" s="43">
        <f t="shared" si="3"/>
        <v>957.55130279904006</v>
      </c>
      <c r="H22" s="27">
        <v>0.34977377434548285</v>
      </c>
      <c r="I22" s="59">
        <f>(B22/('Consumidores Inadimplentes'!B58*1000000))</f>
        <v>6.0409229926582986E-2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3881856</v>
      </c>
      <c r="C23" s="30">
        <v>11962478</v>
      </c>
      <c r="D23" s="30">
        <v>11210422379.910404</v>
      </c>
      <c r="E23" s="34">
        <f t="shared" si="0"/>
        <v>3.0816387830975698</v>
      </c>
      <c r="F23" s="43">
        <f t="shared" si="2"/>
        <v>2887.9026887938153</v>
      </c>
      <c r="G23" s="43">
        <f t="shared" si="3"/>
        <v>937.13212094604523</v>
      </c>
      <c r="H23" s="27">
        <v>0.35368094663182936</v>
      </c>
      <c r="I23" s="59">
        <f>(B23/('Consumidores Inadimplentes'!B59*1000000))</f>
        <v>6.1567477627551825E-2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3918749</v>
      </c>
      <c r="C24" s="30">
        <v>11821486</v>
      </c>
      <c r="D24" s="30">
        <v>11141704731.970423</v>
      </c>
      <c r="E24" s="34">
        <f t="shared" si="0"/>
        <v>3.0166479149340772</v>
      </c>
      <c r="F24" s="43">
        <f t="shared" si="2"/>
        <v>2843.1789665452989</v>
      </c>
      <c r="G24" s="43">
        <f t="shared" si="3"/>
        <v>942.49612375046786</v>
      </c>
      <c r="H24" s="27">
        <v>0.35678216320893258</v>
      </c>
      <c r="I24" s="59">
        <f>(B24/('Consumidores Inadimplentes'!B60*1000000))</f>
        <v>6.2436957577049972E-2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3924050</v>
      </c>
      <c r="C25" s="30">
        <v>11778118</v>
      </c>
      <c r="D25" s="30">
        <v>11085385833.900387</v>
      </c>
      <c r="E25" s="34">
        <f t="shared" si="0"/>
        <v>3.0015208776646576</v>
      </c>
      <c r="F25" s="43">
        <f t="shared" si="2"/>
        <v>2824.9858778304015</v>
      </c>
      <c r="G25" s="43">
        <f t="shared" si="3"/>
        <v>941.18481695466005</v>
      </c>
      <c r="H25" s="27">
        <v>0.3570044722337487</v>
      </c>
      <c r="I25" s="59">
        <f>(B25/('Consumidores Inadimplentes'!B61*1000000))</f>
        <v>6.3006799670120892E-2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3932059</v>
      </c>
      <c r="C26" s="30">
        <v>11759000</v>
      </c>
      <c r="D26" s="30">
        <v>10920918015.390369</v>
      </c>
      <c r="E26" s="34">
        <f t="shared" si="0"/>
        <v>2.9905451571301449</v>
      </c>
      <c r="F26" s="43">
        <f t="shared" si="2"/>
        <v>2777.4044121388742</v>
      </c>
      <c r="G26" s="43">
        <f t="shared" si="3"/>
        <v>928.7284646135189</v>
      </c>
      <c r="H26" s="27">
        <v>0.35747245312426418</v>
      </c>
      <c r="I26" s="59">
        <f>(B26/('Consumidores Inadimplentes'!B62*1000000))</f>
        <v>6.3472828169412507E-2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3888590</v>
      </c>
      <c r="C27" s="31">
        <v>11571740</v>
      </c>
      <c r="D27" s="31">
        <v>10723532206.500404</v>
      </c>
      <c r="E27" s="35">
        <f t="shared" si="0"/>
        <v>2.9758189986601828</v>
      </c>
      <c r="F27" s="46">
        <f t="shared" si="2"/>
        <v>2757.6916585447179</v>
      </c>
      <c r="G27" s="46">
        <f t="shared" si="3"/>
        <v>926.70006468347924</v>
      </c>
      <c r="H27" s="28">
        <v>0.35326298519164201</v>
      </c>
      <c r="I27" s="59">
        <f>(B27/('Consumidores Inadimplentes'!B63*1000000))</f>
        <v>6.3372045203161739E-2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3916164</v>
      </c>
      <c r="C28" s="29">
        <v>11682710</v>
      </c>
      <c r="D28" s="29">
        <v>10898214310.410364</v>
      </c>
      <c r="E28" s="33">
        <f t="shared" si="0"/>
        <v>2.9832024399386747</v>
      </c>
      <c r="F28" s="45">
        <f t="shared" si="2"/>
        <v>2782.8799586560635</v>
      </c>
      <c r="G28" s="45">
        <f t="shared" si="3"/>
        <v>932.84985336538909</v>
      </c>
      <c r="H28" s="26">
        <v>0.35550872929833904</v>
      </c>
      <c r="I28" s="59">
        <f>(B28/('Consumidores Inadimplentes'!B64*1000000))</f>
        <v>6.3502599970692089E-2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3839692</v>
      </c>
      <c r="C29" s="30">
        <v>11205825</v>
      </c>
      <c r="D29" s="30">
        <v>11037553029.090427</v>
      </c>
      <c r="E29" s="34">
        <f t="shared" si="0"/>
        <v>2.9184176751676958</v>
      </c>
      <c r="F29" s="43">
        <f t="shared" si="2"/>
        <v>2874.5933343326569</v>
      </c>
      <c r="G29" s="43">
        <f t="shared" si="3"/>
        <v>984.98352678989966</v>
      </c>
      <c r="H29" s="27">
        <v>0.34831261205974945</v>
      </c>
      <c r="I29" s="59">
        <f>(B29/('Consumidores Inadimplentes'!B65*1000000))</f>
        <v>6.2378209569614151E-2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3912574</v>
      </c>
      <c r="C30" s="30">
        <v>11272594</v>
      </c>
      <c r="D30" s="30">
        <v>11187363438.690475</v>
      </c>
      <c r="E30" s="34">
        <f t="shared" si="0"/>
        <v>2.8811196925604472</v>
      </c>
      <c r="F30" s="43">
        <f t="shared" si="2"/>
        <v>2859.335935547922</v>
      </c>
      <c r="G30" s="43">
        <f t="shared" si="3"/>
        <v>992.43913501102554</v>
      </c>
      <c r="H30" s="27">
        <v>0.35466540025941529</v>
      </c>
      <c r="I30" s="59">
        <f>(B30/('Consumidores Inadimplentes'!B66*1000000))</f>
        <v>6.2543810811116263E-2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3953786</v>
      </c>
      <c r="C31" s="30">
        <v>11335042</v>
      </c>
      <c r="D31" s="30">
        <v>11381472960.20039</v>
      </c>
      <c r="E31" s="34">
        <f t="shared" si="0"/>
        <v>2.8668830331231887</v>
      </c>
      <c r="F31" s="43">
        <f t="shared" si="2"/>
        <v>2878.626450748824</v>
      </c>
      <c r="G31" s="43">
        <f t="shared" si="3"/>
        <v>1004.0962318622543</v>
      </c>
      <c r="H31" s="27">
        <v>0.358140024024036</v>
      </c>
      <c r="I31" s="59">
        <f>(B31/('Consumidores Inadimplentes'!B67*1000000))</f>
        <v>6.2776870669407875E-2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3917246</v>
      </c>
      <c r="C32" s="30">
        <v>11447529</v>
      </c>
      <c r="D32" s="30">
        <v>11405503579.920404</v>
      </c>
      <c r="E32" s="34">
        <f t="shared" si="0"/>
        <v>2.9223411039286273</v>
      </c>
      <c r="F32" s="43">
        <f t="shared" si="2"/>
        <v>2911.6127963166991</v>
      </c>
      <c r="G32" s="43">
        <f t="shared" si="3"/>
        <v>996.32886537526178</v>
      </c>
      <c r="H32" s="27">
        <v>0.35457162752458016</v>
      </c>
      <c r="I32" s="59">
        <f>(B32/('Consumidores Inadimplentes'!B68*1000000))</f>
        <v>6.261702089737807E-2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3982713</v>
      </c>
      <c r="C33" s="30">
        <v>11883891</v>
      </c>
      <c r="D33" s="30">
        <v>11327106038.360363</v>
      </c>
      <c r="E33" s="34">
        <f t="shared" si="0"/>
        <v>2.9838682827509793</v>
      </c>
      <c r="F33" s="43">
        <f t="shared" si="2"/>
        <v>2844.0678598634559</v>
      </c>
      <c r="G33" s="43">
        <f t="shared" si="3"/>
        <v>953.14792422451228</v>
      </c>
      <c r="H33" s="27">
        <v>0.36023472752018088</v>
      </c>
      <c r="I33" s="59">
        <f>(B33/('Consumidores Inadimplentes'!B69*1000000))</f>
        <v>6.3713792824097323E-2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3979995</v>
      </c>
      <c r="C34" s="30">
        <v>11802645</v>
      </c>
      <c r="D34" s="30">
        <v>11370360496.86042</v>
      </c>
      <c r="E34" s="34">
        <f>C34/B34</f>
        <v>2.9654924189603253</v>
      </c>
      <c r="F34" s="43">
        <f t="shared" si="2"/>
        <v>2856.8780857414195</v>
      </c>
      <c r="G34" s="43">
        <f t="shared" si="3"/>
        <v>963.37392989964712</v>
      </c>
      <c r="H34" s="27">
        <v>0.35998888555531927</v>
      </c>
      <c r="I34" s="59">
        <f>(B34/('Consumidores Inadimplentes'!B70*1000000))</f>
        <v>6.3962643069585878E-2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3972222</v>
      </c>
      <c r="C35" s="30">
        <v>11687895</v>
      </c>
      <c r="D35" s="30">
        <v>11430843206.150391</v>
      </c>
      <c r="E35" s="34">
        <f>C35/B35</f>
        <v>2.9424072974773314</v>
      </c>
      <c r="F35" s="43">
        <f t="shared" si="2"/>
        <v>2877.6949541466693</v>
      </c>
      <c r="G35" s="43">
        <f t="shared" si="3"/>
        <v>978.0070069204412</v>
      </c>
      <c r="H35" s="27">
        <v>0.35905747798455273</v>
      </c>
      <c r="I35" s="59">
        <f>(B35/('Consumidores Inadimplentes'!B71*1000000))</f>
        <v>6.381207142215134E-2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4000297</v>
      </c>
      <c r="C36" s="30">
        <v>11702827</v>
      </c>
      <c r="D36" s="30">
        <v>11550122836.550367</v>
      </c>
      <c r="E36" s="34">
        <f>C36/B36</f>
        <v>2.925489532402219</v>
      </c>
      <c r="F36" s="43">
        <f t="shared" si="2"/>
        <v>2887.3163259003936</v>
      </c>
      <c r="G36" s="43">
        <f t="shared" si="3"/>
        <v>986.95151492458763</v>
      </c>
      <c r="H36" s="27">
        <v>0.36136544079832705</v>
      </c>
      <c r="I36" s="59">
        <f>(B36/('Consumidores Inadimplentes'!B72*1000000))</f>
        <v>6.4302839386487148E-2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4033139</v>
      </c>
      <c r="C37" s="30">
        <v>11885328</v>
      </c>
      <c r="D37" s="30">
        <v>11785787032.110416</v>
      </c>
      <c r="E37" s="34">
        <f>C37/B37</f>
        <v>2.9469175250344706</v>
      </c>
      <c r="F37" s="43">
        <f t="shared" si="2"/>
        <v>2922.2367570545962</v>
      </c>
      <c r="G37" s="43">
        <f t="shared" si="3"/>
        <v>991.62488676041733</v>
      </c>
      <c r="H37" s="27">
        <v>0.36410069235427539</v>
      </c>
      <c r="I37" s="59">
        <f>(B37/('Consumidores Inadimplentes'!B73*1000000))</f>
        <v>6.3609120176765746E-2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4066507</v>
      </c>
      <c r="C38" s="30">
        <v>11920519</v>
      </c>
      <c r="D38" s="30">
        <v>12147808635.650442</v>
      </c>
      <c r="E38" s="34">
        <f t="shared" ref="E38:E45" si="4">C38/B38</f>
        <v>2.9313902570436987</v>
      </c>
      <c r="F38" s="43">
        <f t="shared" si="2"/>
        <v>2987.2833455470363</v>
      </c>
      <c r="G38" s="43">
        <f t="shared" si="3"/>
        <v>1019.0670922675802</v>
      </c>
      <c r="H38" s="27">
        <v>0.36687976000069289</v>
      </c>
      <c r="I38" s="59">
        <f>(B38/('Consumidores Inadimplentes'!B74*1000000))</f>
        <v>6.3272566982217268E-2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4081070</v>
      </c>
      <c r="C39" s="31">
        <v>11853401</v>
      </c>
      <c r="D39" s="31">
        <v>11937815196.240419</v>
      </c>
      <c r="E39" s="35">
        <f t="shared" si="4"/>
        <v>2.904483628068129</v>
      </c>
      <c r="F39" s="46">
        <f t="shared" si="2"/>
        <v>2925.1679574818418</v>
      </c>
      <c r="G39" s="46">
        <f t="shared" si="3"/>
        <v>1007.1215169587548</v>
      </c>
      <c r="H39" s="28">
        <v>0.36795965767084898</v>
      </c>
      <c r="I39" s="59">
        <f>(B39/('Consumidores Inadimplentes'!B75*1000000))</f>
        <v>6.3795771743175411E-2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4138037</v>
      </c>
      <c r="C40" s="29">
        <v>12050488</v>
      </c>
      <c r="D40" s="29">
        <v>12399457241.120445</v>
      </c>
      <c r="E40" s="33">
        <f t="shared" si="4"/>
        <v>2.9121266919556303</v>
      </c>
      <c r="F40" s="45">
        <f t="shared" si="2"/>
        <v>2996.4587656225513</v>
      </c>
      <c r="G40" s="45">
        <f t="shared" si="3"/>
        <v>1028.958930220954</v>
      </c>
      <c r="H40" s="26">
        <v>0.37285884031124877</v>
      </c>
      <c r="I40" s="59">
        <f>(B40/('Consumidores Inadimplentes'!B76*1000000))</f>
        <v>6.3841411699030029E-2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4122924</v>
      </c>
      <c r="C41" s="30">
        <v>12070736</v>
      </c>
      <c r="D41" s="30">
        <v>12628201316.03047</v>
      </c>
      <c r="E41" s="34">
        <f t="shared" si="4"/>
        <v>2.9277124681415421</v>
      </c>
      <c r="F41" s="43">
        <f t="shared" si="2"/>
        <v>3062.9236231447558</v>
      </c>
      <c r="G41" s="43">
        <f t="shared" si="3"/>
        <v>1046.1832083835211</v>
      </c>
      <c r="H41" s="27">
        <v>0.37126100498955894</v>
      </c>
      <c r="I41" s="59">
        <f>(B41/('Consumidores Inadimplentes'!B77*1000000))</f>
        <v>6.3264968977804314E-2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4129847</v>
      </c>
      <c r="C42" s="30">
        <v>12073358</v>
      </c>
      <c r="D42" s="30">
        <v>12701983582.580435</v>
      </c>
      <c r="E42" s="34">
        <f t="shared" si="4"/>
        <v>2.9234395366220589</v>
      </c>
      <c r="F42" s="43">
        <f t="shared" si="2"/>
        <v>3075.6547597478634</v>
      </c>
      <c r="G42" s="43">
        <f t="shared" si="3"/>
        <v>1052.0671699274083</v>
      </c>
      <c r="H42" s="27">
        <v>0.37164806917625698</v>
      </c>
      <c r="I42" s="59">
        <f>(B42/('Consumidores Inadimplentes'!B78*1000000))</f>
        <v>6.2864921173449342E-2</v>
      </c>
    </row>
    <row r="43" spans="1:16" x14ac:dyDescent="0.35">
      <c r="A43" s="5">
        <v>44652</v>
      </c>
      <c r="B43" s="30">
        <v>4150154</v>
      </c>
      <c r="C43" s="30">
        <v>12138819</v>
      </c>
      <c r="D43" s="30">
        <v>12905709976.970621</v>
      </c>
      <c r="E43" s="34">
        <f t="shared" si="4"/>
        <v>2.9249080877480691</v>
      </c>
      <c r="F43" s="43">
        <f t="shared" si="2"/>
        <v>3109.694237122435</v>
      </c>
      <c r="G43" s="43">
        <f t="shared" si="3"/>
        <v>1063.1767371249725</v>
      </c>
      <c r="H43" s="27">
        <v>0.37323817881636268</v>
      </c>
      <c r="I43" s="59">
        <f>(B43/('Consumidores Inadimplentes'!B79*1000000))</f>
        <v>6.2754974205638442E-2</v>
      </c>
    </row>
    <row r="44" spans="1:16" x14ac:dyDescent="0.35">
      <c r="A44" s="5">
        <v>44682</v>
      </c>
      <c r="B44" s="30">
        <v>4173874</v>
      </c>
      <c r="C44" s="30">
        <v>12288112</v>
      </c>
      <c r="D44" s="30">
        <v>13300616895.200426</v>
      </c>
      <c r="E44" s="34">
        <f t="shared" si="4"/>
        <v>2.9440543725086097</v>
      </c>
      <c r="F44" s="43">
        <f t="shared" si="2"/>
        <v>3186.6359394654523</v>
      </c>
      <c r="G44" s="43">
        <f t="shared" si="3"/>
        <v>1082.3971082946205</v>
      </c>
      <c r="H44" s="27">
        <v>0.37513284858187146</v>
      </c>
      <c r="I44" s="59">
        <f>(B44/('Consumidores Inadimplentes'!B80*1000000))</f>
        <v>6.2689777854304143E-2</v>
      </c>
    </row>
    <row r="45" spans="1:16" x14ac:dyDescent="0.35">
      <c r="A45" s="5">
        <v>44713</v>
      </c>
      <c r="B45" s="30">
        <v>4187295</v>
      </c>
      <c r="C45" s="30">
        <v>12450841</v>
      </c>
      <c r="D45" s="30">
        <v>13524856434.600599</v>
      </c>
      <c r="E45" s="34">
        <f t="shared" si="4"/>
        <v>2.9734807315940244</v>
      </c>
      <c r="F45" s="43">
        <f t="shared" si="2"/>
        <v>3229.9745861231654</v>
      </c>
      <c r="G45" s="43">
        <f t="shared" si="3"/>
        <v>1086.2604730556434</v>
      </c>
      <c r="H45" s="27">
        <v>0.37609992721043511</v>
      </c>
      <c r="I45" s="59">
        <f>(B45/('Consumidores Inadimplentes'!B81*1000000))</f>
        <v>6.2666584354287444E-2</v>
      </c>
    </row>
    <row r="46" spans="1:16" x14ac:dyDescent="0.35">
      <c r="A46" s="5">
        <v>44743</v>
      </c>
      <c r="B46" s="30">
        <v>4273777</v>
      </c>
      <c r="C46" s="30">
        <v>12765575</v>
      </c>
      <c r="D46" s="30">
        <v>13965180111.530199</v>
      </c>
      <c r="E46" s="34">
        <f t="shared" ref="E46:E47" si="5">C46/B46</f>
        <v>2.9869539285741862</v>
      </c>
      <c r="F46" s="43">
        <f t="shared" ref="F46:F47" si="6">D46/B46</f>
        <v>3267.6436116180603</v>
      </c>
      <c r="G46" s="43">
        <f t="shared" ref="G46:G47" si="7">F46/E46</f>
        <v>1093.9718823108399</v>
      </c>
      <c r="H46" s="27">
        <v>0.38362369165960913</v>
      </c>
      <c r="I46" s="59">
        <f>(B46/('Consumidores Inadimplentes'!B82*1000000))</f>
        <v>6.3191370027413971E-2</v>
      </c>
    </row>
    <row r="47" spans="1:16" x14ac:dyDescent="0.35">
      <c r="A47" s="5">
        <v>44774</v>
      </c>
      <c r="B47" s="30">
        <v>4335111</v>
      </c>
      <c r="C47" s="30">
        <v>12930720</v>
      </c>
      <c r="D47" s="30">
        <v>14115290994.8402</v>
      </c>
      <c r="E47" s="34">
        <f t="shared" si="5"/>
        <v>2.9827886759992999</v>
      </c>
      <c r="F47" s="43">
        <f t="shared" si="6"/>
        <v>3256.039117531293</v>
      </c>
      <c r="G47" s="43">
        <f t="shared" si="7"/>
        <v>1091.6090515331089</v>
      </c>
      <c r="H47" s="27">
        <v>0.38888513120747042</v>
      </c>
      <c r="I47" s="59">
        <f>(B47/('Consumidores Inadimplentes'!B83*1000000))</f>
        <v>6.3773914771191889E-2</v>
      </c>
    </row>
    <row r="48" spans="1:16" x14ac:dyDescent="0.35">
      <c r="A48" s="5">
        <v>44805</v>
      </c>
      <c r="B48" s="30">
        <v>4388017</v>
      </c>
      <c r="C48" s="30">
        <v>13166311</v>
      </c>
      <c r="D48" s="30">
        <v>14531441897.070301</v>
      </c>
      <c r="E48" s="34">
        <f t="shared" ref="E48" si="8">C48/B48</f>
        <v>3.000515039025601</v>
      </c>
      <c r="F48" s="43">
        <f t="shared" ref="F48" si="9">D48/B48</f>
        <v>3311.619325328571</v>
      </c>
      <c r="G48" s="43">
        <f t="shared" ref="G48" si="10">F48/E48</f>
        <v>1103.6836283960101</v>
      </c>
      <c r="H48" s="27">
        <v>0.39338423162890207</v>
      </c>
      <c r="I48" s="59">
        <f>(B48/('Consumidores Inadimplentes'!B84*1000000))</f>
        <v>6.4163506112010882E-2</v>
      </c>
    </row>
    <row r="49" spans="1:16" x14ac:dyDescent="0.35">
      <c r="A49" s="5">
        <v>44835</v>
      </c>
      <c r="B49" s="30">
        <v>4414033</v>
      </c>
      <c r="C49" s="30">
        <v>13218008</v>
      </c>
      <c r="D49" s="30">
        <v>14684609255.950306</v>
      </c>
      <c r="E49" s="34">
        <f t="shared" ref="E49" si="11">C49/B49</f>
        <v>2.9945421794535747</v>
      </c>
      <c r="F49" s="43">
        <f t="shared" ref="F49" si="12">D49/B49</f>
        <v>3326.8009677205191</v>
      </c>
      <c r="G49" s="43">
        <f t="shared" ref="G49" si="13">F49/E49</f>
        <v>1110.9547865268582</v>
      </c>
      <c r="H49" s="27">
        <v>0.39546838193896683</v>
      </c>
      <c r="I49" s="59">
        <f>(B49/('Consumidores Inadimplentes'!B85*1000000))</f>
        <v>6.3919023572534081E-2</v>
      </c>
    </row>
    <row r="50" spans="1:16" x14ac:dyDescent="0.35">
      <c r="A50" s="5">
        <v>44866</v>
      </c>
      <c r="B50" s="30">
        <v>4411301</v>
      </c>
      <c r="C50" s="30">
        <v>13214618</v>
      </c>
      <c r="D50" s="30">
        <v>15066851797.8601</v>
      </c>
      <c r="E50" s="34">
        <f t="shared" ref="E50" si="14">C50/B50</f>
        <v>2.9956282738357687</v>
      </c>
      <c r="F50" s="43">
        <f t="shared" ref="F50" si="15">D50/B50</f>
        <v>3415.5120672699732</v>
      </c>
      <c r="G50" s="43">
        <f t="shared" ref="G50" si="16">F50/E50</f>
        <v>1140.1655195678075</v>
      </c>
      <c r="H50" s="27">
        <v>0.39497572511063894</v>
      </c>
      <c r="I50" s="59">
        <f>(B50/('Consumidores Inadimplentes'!B86*1000000))</f>
        <v>6.3167705717172243E-2</v>
      </c>
    </row>
    <row r="51" spans="1:16" ht="15" thickBot="1" x14ac:dyDescent="0.4">
      <c r="A51" s="12">
        <v>44896</v>
      </c>
      <c r="B51" s="31">
        <v>4424217</v>
      </c>
      <c r="C51" s="31">
        <v>13151405</v>
      </c>
      <c r="D51" s="31">
        <v>15131440838.109932</v>
      </c>
      <c r="E51" s="35">
        <f t="shared" ref="E51" si="17">C51/B51</f>
        <v>2.9725949247064509</v>
      </c>
      <c r="F51" s="46">
        <f t="shared" ref="F51" si="18">D51/B51</f>
        <v>3420.1398435270989</v>
      </c>
      <c r="G51" s="46">
        <f t="shared" ref="G51" si="19">F51/E51</f>
        <v>1150.5569814107262</v>
      </c>
      <c r="H51" s="28">
        <v>0.39588374474052546</v>
      </c>
      <c r="I51" s="59">
        <f>(B51/('Consumidores Inadimplentes'!B87*1000000))</f>
        <v>6.3722606744390217E-2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4468660</v>
      </c>
      <c r="C52" s="29">
        <v>13313796</v>
      </c>
      <c r="D52" s="29">
        <v>15712509867.559801</v>
      </c>
      <c r="E52" s="33">
        <f t="shared" ref="E52" si="20">C52/B52</f>
        <v>2.9793709971221798</v>
      </c>
      <c r="F52" s="45">
        <f t="shared" ref="F52" si="21">D52/B52</f>
        <v>3516.1569391181697</v>
      </c>
      <c r="G52" s="45">
        <f t="shared" ref="G52" si="22">F52/E52</f>
        <v>1180.1675395627062</v>
      </c>
      <c r="H52" s="26">
        <v>0.39960978520211698</v>
      </c>
      <c r="I52" s="59">
        <f>(B52/('Consumidores Inadimplentes'!B88*1000000))</f>
        <v>6.3753320107947473E-2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4508100</v>
      </c>
      <c r="C53" s="30">
        <v>13440661</v>
      </c>
      <c r="D53" s="30">
        <v>15994921862.409695</v>
      </c>
      <c r="E53" s="34">
        <f t="shared" ref="E53" si="23">C53/B53</f>
        <v>2.9814469510436767</v>
      </c>
      <c r="F53" s="43">
        <f t="shared" ref="F53" si="24">D53/B53</f>
        <v>3548.0406074420921</v>
      </c>
      <c r="G53" s="43">
        <f t="shared" ref="G53" si="25">F53/E53</f>
        <v>1190.0398248575495</v>
      </c>
      <c r="H53" s="27">
        <v>0.40288386236584278</v>
      </c>
      <c r="I53" s="59">
        <f>(B53/('Consumidores Inadimplentes'!B89*1000000))</f>
        <v>6.3920251528266983E-2</v>
      </c>
    </row>
    <row r="54" spans="1:16" x14ac:dyDescent="0.35">
      <c r="A54" s="5">
        <v>44986</v>
      </c>
      <c r="B54" s="30">
        <v>4559304</v>
      </c>
      <c r="C54" s="30">
        <v>13638750</v>
      </c>
      <c r="D54" s="30">
        <v>16534298856.099514</v>
      </c>
      <c r="E54" s="34">
        <f t="shared" ref="E54" si="26">C54/B54</f>
        <v>2.9914105310810597</v>
      </c>
      <c r="F54" s="43">
        <f t="shared" ref="F54" si="27">D54/B54</f>
        <v>3626.4962494493707</v>
      </c>
      <c r="G54" s="43">
        <f t="shared" ref="G54" si="28">F54/E54</f>
        <v>1212.3030964054267</v>
      </c>
      <c r="H54" s="27">
        <v>0.40720436625443135</v>
      </c>
      <c r="I54" s="59">
        <f>(B54/('Consumidores Inadimplentes'!B90*1000000))</f>
        <v>6.4481287580138186E-2</v>
      </c>
    </row>
    <row r="55" spans="1:16" x14ac:dyDescent="0.35">
      <c r="A55" s="5">
        <v>45017</v>
      </c>
      <c r="B55" s="30">
        <v>4668572</v>
      </c>
      <c r="C55" s="30">
        <v>14078019</v>
      </c>
      <c r="D55" s="30">
        <v>16720431008.359257</v>
      </c>
      <c r="E55" s="34">
        <f t="shared" ref="E55" si="29">C55/B55</f>
        <v>3.0154871768069551</v>
      </c>
      <c r="F55" s="43">
        <f t="shared" ref="F55" si="30">D55/B55</f>
        <v>3581.4872317186619</v>
      </c>
      <c r="G55" s="43">
        <f t="shared" ref="G55" si="31">F55/E55</f>
        <v>1187.6977157339577</v>
      </c>
      <c r="H55" s="27">
        <v>0.41670187848112744</v>
      </c>
      <c r="I55" s="59">
        <f>(B55/('Consumidores Inadimplentes'!B91*1000000))</f>
        <v>6.5349939926855102E-2</v>
      </c>
    </row>
    <row r="56" spans="1:16" x14ac:dyDescent="0.35">
      <c r="A56" s="5">
        <v>45047</v>
      </c>
      <c r="B56" s="30">
        <v>4679802</v>
      </c>
      <c r="C56" s="30">
        <v>14251992</v>
      </c>
      <c r="D56" s="30">
        <v>17092828950.299347</v>
      </c>
      <c r="E56" s="34">
        <f t="shared" ref="E56" si="32">C56/B56</f>
        <v>3.0454262808554722</v>
      </c>
      <c r="F56" s="43">
        <f t="shared" ref="F56" si="33">D56/B56</f>
        <v>3652.4684057785666</v>
      </c>
      <c r="G56" s="43">
        <f t="shared" ref="G56" si="34">F56/E56</f>
        <v>1199.3291148563196</v>
      </c>
      <c r="H56" s="27">
        <v>0.41744226052050293</v>
      </c>
      <c r="I56" s="59">
        <f>(B56/('Consumidores Inadimplentes'!B92*1000000))</f>
        <v>6.5084414301853757E-2</v>
      </c>
    </row>
    <row r="57" spans="1:16" x14ac:dyDescent="0.35">
      <c r="A57" s="5">
        <v>45078</v>
      </c>
      <c r="B57" s="30">
        <v>4682050</v>
      </c>
      <c r="C57" s="30">
        <v>14169150</v>
      </c>
      <c r="D57" s="30">
        <v>17080617660.299496</v>
      </c>
      <c r="E57" s="34">
        <f t="shared" ref="E57" si="35">C57/B57</f>
        <v>3.0262705438856909</v>
      </c>
      <c r="F57" s="43">
        <f t="shared" ref="F57" si="36">D57/B57</f>
        <v>3648.106632842344</v>
      </c>
      <c r="G57" s="43">
        <f t="shared" ref="G57" si="37">F57/E57</f>
        <v>1205.4793449359699</v>
      </c>
      <c r="H57" s="27">
        <v>0.41738086586795214</v>
      </c>
      <c r="I57" s="59">
        <f>(B57/('Consumidores Inadimplentes'!B93*1000000))</f>
        <v>6.5525800305412468E-2</v>
      </c>
    </row>
    <row r="58" spans="1:16" x14ac:dyDescent="0.35">
      <c r="A58" s="5">
        <v>45108</v>
      </c>
      <c r="B58" s="30">
        <v>4623195</v>
      </c>
      <c r="C58" s="30">
        <v>13886697</v>
      </c>
      <c r="D58" s="30">
        <v>17310099152.010353</v>
      </c>
      <c r="E58" s="34">
        <f t="shared" ref="E58" si="38">C58/B58</f>
        <v>3.0037013364134544</v>
      </c>
      <c r="F58" s="43">
        <f t="shared" ref="F58" si="39">D58/B58</f>
        <v>3744.1853852174422</v>
      </c>
      <c r="G58" s="43">
        <f t="shared" ref="G58" si="40">F58/E58</f>
        <v>1246.5238603542909</v>
      </c>
      <c r="H58" s="27">
        <v>0.41187572123096378</v>
      </c>
      <c r="I58" s="59">
        <f>(B58/('Consumidores Inadimplentes'!B94*1000000))</f>
        <v>6.4733368927016782E-2</v>
      </c>
    </row>
    <row r="59" spans="1:16" x14ac:dyDescent="0.35">
      <c r="A59" s="5">
        <v>45139</v>
      </c>
      <c r="B59" s="30">
        <v>4610640</v>
      </c>
      <c r="C59" s="30">
        <v>13844651</v>
      </c>
      <c r="D59" s="30">
        <v>17396990105.210423</v>
      </c>
      <c r="E59" s="34">
        <f t="shared" ref="E59" si="41">C59/B59</f>
        <v>3.0027612218694153</v>
      </c>
      <c r="F59" s="43">
        <f t="shared" ref="F59" si="42">D59/B59</f>
        <v>3773.2267332106653</v>
      </c>
      <c r="G59" s="43">
        <f t="shared" ref="G59" si="43">F59/E59</f>
        <v>1256.5856737891349</v>
      </c>
      <c r="H59" s="27">
        <v>0.41049956649784208</v>
      </c>
      <c r="I59" s="59">
        <f>(B59/('Consumidores Inadimplentes'!B95*1000000))</f>
        <v>6.4269583206740297E-2</v>
      </c>
    </row>
    <row r="60" spans="1:16" x14ac:dyDescent="0.35">
      <c r="A60" s="5">
        <v>45170</v>
      </c>
      <c r="B60" s="30">
        <v>4570843</v>
      </c>
      <c r="C60" s="30">
        <v>13893642</v>
      </c>
      <c r="D60" s="30">
        <v>18584166130.86034</v>
      </c>
      <c r="E60" s="34">
        <f t="shared" ref="E60" si="44">C60/B60</f>
        <v>3.039623544278375</v>
      </c>
      <c r="F60" s="43">
        <f t="shared" ref="F60" si="45">D60/B60</f>
        <v>4065.8071456097573</v>
      </c>
      <c r="G60" s="43">
        <f t="shared" ref="G60" si="46">F60/E60</f>
        <v>1337.6022018460199</v>
      </c>
      <c r="H60" s="27">
        <v>0.40670103679849889</v>
      </c>
      <c r="I60" s="59">
        <f>(B60/('Consumidores Inadimplentes'!B96*1000000))</f>
        <v>6.3641133879188155E-2</v>
      </c>
    </row>
    <row r="61" spans="1:16" x14ac:dyDescent="0.35">
      <c r="A61" s="5">
        <v>45200</v>
      </c>
      <c r="B61" s="30">
        <v>4535999</v>
      </c>
      <c r="C61" s="30">
        <v>13766916</v>
      </c>
      <c r="D61" s="30">
        <v>19090770390.769978</v>
      </c>
      <c r="E61" s="34">
        <f t="shared" ref="E61" si="47">C61/B61</f>
        <v>3.0350350606338319</v>
      </c>
      <c r="F61" s="43">
        <f t="shared" ref="F61" si="48">D61/B61</f>
        <v>4208.7245589714585</v>
      </c>
      <c r="G61" s="43">
        <f t="shared" ref="G61" si="49">F61/E61</f>
        <v>1386.7136540071847</v>
      </c>
      <c r="H61" s="27">
        <v>0.40334755424252183</v>
      </c>
      <c r="I61" s="59">
        <f>(B61/('Consumidores Inadimplentes'!B97*1000000))</f>
        <v>6.3041563773574338E-2</v>
      </c>
    </row>
    <row r="62" spans="1:16" x14ac:dyDescent="0.35">
      <c r="A62" s="5">
        <v>45231</v>
      </c>
      <c r="B62" s="30">
        <v>4520429</v>
      </c>
      <c r="C62" s="30">
        <v>13681341</v>
      </c>
      <c r="D62" s="30">
        <v>19053705336.609993</v>
      </c>
      <c r="E62" s="34">
        <f t="shared" ref="E62" si="50">C62/B62</f>
        <v>3.026558098799915</v>
      </c>
      <c r="F62" s="43">
        <f t="shared" ref="F62" si="51">D62/B62</f>
        <v>4215.0214806183203</v>
      </c>
      <c r="G62" s="43">
        <f t="shared" ref="G62" si="52">F62/E62</f>
        <v>1392.6781984755728</v>
      </c>
      <c r="H62" s="27">
        <v>0.40171089495626078</v>
      </c>
      <c r="I62" s="59">
        <f>(B62/('Consumidores Inadimplentes'!B98*1000000))</f>
        <v>6.2950800541214103E-2</v>
      </c>
    </row>
    <row r="63" spans="1:16" ht="15" thickBot="1" x14ac:dyDescent="0.4">
      <c r="A63" s="12">
        <v>45261</v>
      </c>
      <c r="B63" s="31">
        <v>4439869</v>
      </c>
      <c r="C63" s="31">
        <v>13194046</v>
      </c>
      <c r="D63" s="31">
        <v>17968110934.040199</v>
      </c>
      <c r="E63" s="35">
        <f t="shared" ref="E63:E64" si="53">C63/B63</f>
        <v>2.9717196610981089</v>
      </c>
      <c r="F63" s="46">
        <f t="shared" ref="F63:F64" si="54">D63/B63</f>
        <v>4046.9912364622019</v>
      </c>
      <c r="G63" s="46">
        <f t="shared" ref="G63:G64" si="55">F63/E63</f>
        <v>1361.8347953342136</v>
      </c>
      <c r="H63" s="28">
        <v>0.3943043892346752</v>
      </c>
      <c r="I63" s="59">
        <f>(B63/('Consumidores Inadimplentes'!B99*1000000))</f>
        <v>6.2443272867193769E-2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4582346</v>
      </c>
      <c r="C64" s="29">
        <v>13616515</v>
      </c>
      <c r="D64" s="29">
        <v>19022396432.639984</v>
      </c>
      <c r="E64" s="33">
        <f t="shared" si="53"/>
        <v>2.9715161185995123</v>
      </c>
      <c r="F64" s="45">
        <f t="shared" si="54"/>
        <v>4151.2352914074982</v>
      </c>
      <c r="G64" s="45">
        <f t="shared" si="55"/>
        <v>1397.0091783866858</v>
      </c>
      <c r="H64" s="26">
        <v>0.40670246892892847</v>
      </c>
      <c r="I64" s="59">
        <f>(B64/('Consumidores Inadimplentes'!B100*1000000))</f>
        <v>6.3582041058631258E-2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4570611</v>
      </c>
      <c r="C65" s="30">
        <v>13557447</v>
      </c>
      <c r="D65" s="30">
        <v>19077618041.219887</v>
      </c>
      <c r="E65" s="34">
        <f t="shared" ref="E65" si="56">C65/B65</f>
        <v>2.9662220215196613</v>
      </c>
      <c r="F65" s="43">
        <f t="shared" ref="F65" si="57">D65/B65</f>
        <v>4173.9754359362214</v>
      </c>
      <c r="G65" s="43">
        <f t="shared" ref="G65" si="58">F65/E65</f>
        <v>1407.1689191349881</v>
      </c>
      <c r="H65" s="27">
        <v>0.4054064769795383</v>
      </c>
      <c r="I65" s="59">
        <f>(B65/('Consumidores Inadimplentes'!B101*1000000))</f>
        <v>6.3446109935910919E-2</v>
      </c>
    </row>
    <row r="66" spans="1:16" x14ac:dyDescent="0.35">
      <c r="A66" s="5">
        <v>45352</v>
      </c>
      <c r="B66" s="30">
        <v>4663237</v>
      </c>
      <c r="C66" s="30">
        <v>13835923</v>
      </c>
      <c r="D66" s="30">
        <v>19436271848.409946</v>
      </c>
      <c r="E66" s="34">
        <f t="shared" ref="E66" si="59">C66/B66</f>
        <v>2.9670211915028122</v>
      </c>
      <c r="F66" s="43">
        <f t="shared" ref="F66" si="60">D66/B66</f>
        <v>4167.9785626186158</v>
      </c>
      <c r="G66" s="43">
        <f t="shared" ref="G66" si="61">F66/E66</f>
        <v>1404.7687204106257</v>
      </c>
      <c r="H66" s="27">
        <v>0.41336282777926503</v>
      </c>
      <c r="I66" s="59">
        <f>(B66/('Consumidores Inadimplentes'!B102*1000000))</f>
        <v>6.3972130475497019E-2</v>
      </c>
    </row>
    <row r="67" spans="1:16" x14ac:dyDescent="0.35">
      <c r="A67" s="5">
        <v>45383</v>
      </c>
      <c r="B67" s="30">
        <v>4706768</v>
      </c>
      <c r="C67" s="30">
        <v>14061822</v>
      </c>
      <c r="D67" s="30">
        <v>19670719337.749817</v>
      </c>
      <c r="E67" s="34">
        <f t="shared" ref="E67" si="62">C67/B67</f>
        <v>2.9875749134012977</v>
      </c>
      <c r="F67" s="43">
        <f t="shared" ref="F67" si="63">D67/B67</f>
        <v>4179.2413260542726</v>
      </c>
      <c r="G67" s="43">
        <f t="shared" ref="G67" si="64">F67/E67</f>
        <v>1398.8741528480318</v>
      </c>
      <c r="H67" s="27">
        <v>0.41695982415777183</v>
      </c>
      <c r="I67" s="59">
        <f>(B67/('Consumidores Inadimplentes'!B103*1000000))</f>
        <v>6.4107625268960203E-2</v>
      </c>
    </row>
    <row r="68" spans="1:16" x14ac:dyDescent="0.35">
      <c r="A68" s="5">
        <v>45413</v>
      </c>
      <c r="B68" s="30">
        <v>4683944</v>
      </c>
      <c r="C68" s="30">
        <v>14038432</v>
      </c>
      <c r="D68" s="30">
        <v>19547029090.630039</v>
      </c>
      <c r="E68" s="34">
        <f t="shared" ref="E68" si="65">C68/B68</f>
        <v>2.9971391630642894</v>
      </c>
      <c r="F68" s="43">
        <f t="shared" ref="F68" si="66">D68/B68</f>
        <v>4173.1987168569985</v>
      </c>
      <c r="G68" s="43">
        <f t="shared" ref="G68" si="67">F68/E68</f>
        <v>1392.3940430548112</v>
      </c>
      <c r="H68" s="27">
        <v>0.41467763917054273</v>
      </c>
      <c r="I68" s="59">
        <f>(B68/('Consumidores Inadimplentes'!B104*1000000))</f>
        <v>6.4574635764163169E-2</v>
      </c>
    </row>
    <row r="69" spans="1:16" x14ac:dyDescent="0.35">
      <c r="A69" s="5">
        <v>45444</v>
      </c>
      <c r="B69" s="30">
        <v>4677574</v>
      </c>
      <c r="C69" s="30">
        <v>14063669</v>
      </c>
      <c r="D69" s="30">
        <v>19965961007.34</v>
      </c>
      <c r="E69" s="34">
        <f t="shared" ref="E69" si="68">C69/B69</f>
        <v>3.0066160364325611</v>
      </c>
      <c r="F69" s="43">
        <f t="shared" ref="F69" si="69">D69/B69</f>
        <v>4268.4436435083653</v>
      </c>
      <c r="G69" s="43">
        <f t="shared" ref="G69" si="70">F69/E69</f>
        <v>1419.6836549082602</v>
      </c>
      <c r="H69" s="27">
        <v>0.41385392014988576</v>
      </c>
      <c r="I69" s="59">
        <f>(B69/('Consumidores Inadimplentes'!B105*1000000))</f>
        <v>6.4517254709898872E-2</v>
      </c>
    </row>
    <row r="70" spans="1:16" x14ac:dyDescent="0.35">
      <c r="A70" s="5">
        <v>45474</v>
      </c>
      <c r="B70" s="30">
        <v>4659408</v>
      </c>
      <c r="C70" s="30">
        <v>13917446</v>
      </c>
      <c r="D70" s="30">
        <v>19334549630.84</v>
      </c>
      <c r="E70" s="34">
        <f t="shared" ref="E70" si="71">C70/B70</f>
        <v>2.9869558536191723</v>
      </c>
      <c r="F70" s="43">
        <f t="shared" ref="F70" si="72">D70/B70</f>
        <v>4149.5721411046206</v>
      </c>
      <c r="G70" s="43">
        <f t="shared" ref="G70" si="73">F70/E70</f>
        <v>1389.2311585645814</v>
      </c>
      <c r="H70" s="27">
        <v>0.41198807735395776</v>
      </c>
      <c r="I70" s="59">
        <f>(B70/('Consumidores Inadimplentes'!B106*1000000))</f>
        <v>6.4122517864587572E-2</v>
      </c>
    </row>
    <row r="71" spans="1:16" x14ac:dyDescent="0.35">
      <c r="A71" s="5">
        <v>45505</v>
      </c>
      <c r="B71" s="30">
        <v>4630970</v>
      </c>
      <c r="C71" s="30">
        <v>13832314</v>
      </c>
      <c r="D71" s="30">
        <v>19030754686.35984</v>
      </c>
      <c r="E71" s="34">
        <f t="shared" ref="E71" si="74">C71/B71</f>
        <v>2.9869150523540426</v>
      </c>
      <c r="F71" s="43">
        <f t="shared" ref="F71" si="75">D71/B71</f>
        <v>4109.4532433507102</v>
      </c>
      <c r="G71" s="43">
        <f t="shared" ref="G71" si="76">F71/E71</f>
        <v>1375.8185858389159</v>
      </c>
      <c r="H71" s="27">
        <v>0.40923026566824794</v>
      </c>
      <c r="I71" s="59">
        <f>(B71/('Consumidores Inadimplentes'!B107*1000000))</f>
        <v>6.3908469120734654E-2</v>
      </c>
    </row>
    <row r="72" spans="1:16" x14ac:dyDescent="0.35">
      <c r="A72" s="5">
        <v>45536</v>
      </c>
      <c r="B72" s="30">
        <v>4619668</v>
      </c>
      <c r="C72" s="30">
        <v>13791858</v>
      </c>
      <c r="D72" s="30">
        <v>19194615622.019894</v>
      </c>
      <c r="E72" s="34">
        <f t="shared" ref="E72" si="77">C72/B72</f>
        <v>2.9854651892733419</v>
      </c>
      <c r="F72" s="43">
        <f t="shared" ref="F72" si="78">D72/B72</f>
        <v>4154.9772888484395</v>
      </c>
      <c r="G72" s="43">
        <f t="shared" ref="G72" si="79">F72/E72</f>
        <v>1391.7352993352956</v>
      </c>
      <c r="H72" s="27">
        <v>0.4079889626638542</v>
      </c>
      <c r="I72" s="59">
        <f>(B72/('Consumidores Inadimplentes'!B108*1000000))</f>
        <v>6.3595064921599137E-2</v>
      </c>
    </row>
    <row r="73" spans="1:16" x14ac:dyDescent="0.35">
      <c r="A73" s="5">
        <v>45566</v>
      </c>
      <c r="B73" s="30">
        <v>4621949</v>
      </c>
      <c r="C73" s="30">
        <v>13826887</v>
      </c>
      <c r="D73" s="30">
        <v>19537363671.919834</v>
      </c>
      <c r="E73" s="34">
        <f t="shared" ref="E73" si="80">C73/B73</f>
        <v>2.9915706555827422</v>
      </c>
      <c r="F73" s="43">
        <f t="shared" ref="F73" si="81">D73/B73</f>
        <v>4227.0833520490669</v>
      </c>
      <c r="G73" s="43">
        <f t="shared" ref="G73" si="82">F73/E73</f>
        <v>1412.9979996162429</v>
      </c>
      <c r="H73" s="27">
        <v>0.40794786894755175</v>
      </c>
      <c r="I73" s="59">
        <f>(B73/('Consumidores Inadimplentes'!B109*1000000))</f>
        <v>6.3224305540641484E-2</v>
      </c>
    </row>
    <row r="74" spans="1:16" x14ac:dyDescent="0.35">
      <c r="A74" s="5">
        <v>45597</v>
      </c>
      <c r="B74" s="30">
        <v>4637490</v>
      </c>
      <c r="C74" s="30">
        <v>13667957</v>
      </c>
      <c r="D74" s="30">
        <v>19491088448.81002</v>
      </c>
      <c r="E74" s="34">
        <f t="shared" ref="E74" si="83">C74/B74</f>
        <v>2.9472747111044981</v>
      </c>
      <c r="F74" s="43">
        <f t="shared" ref="F74" si="84">D74/B74</f>
        <v>4202.9391866742617</v>
      </c>
      <c r="G74" s="43">
        <f t="shared" ref="G74" si="85">F74/E74</f>
        <v>1426.0425642844812</v>
      </c>
      <c r="H74" s="27">
        <v>0.40907635432131112</v>
      </c>
      <c r="I74" s="59">
        <f>(B74/('Consumidores Inadimplentes'!B110*1000000))</f>
        <v>6.2848160928067207E-2</v>
      </c>
    </row>
    <row r="75" spans="1:16" ht="15" thickBot="1" x14ac:dyDescent="0.4">
      <c r="A75" s="12">
        <v>45627</v>
      </c>
      <c r="B75" s="31">
        <v>4605483</v>
      </c>
      <c r="C75" s="31">
        <v>13443471</v>
      </c>
      <c r="D75" s="31">
        <v>19073505279.659763</v>
      </c>
      <c r="E75" s="35">
        <f t="shared" ref="E75" si="86">C75/B75</f>
        <v>2.9190143574517591</v>
      </c>
      <c r="F75" s="46">
        <f t="shared" ref="F75" si="87">D75/B75</f>
        <v>4141.4777298406625</v>
      </c>
      <c r="G75" s="46">
        <f t="shared" ref="G75" si="88">F75/E75</f>
        <v>1418.7932030098302</v>
      </c>
      <c r="H75" s="28">
        <v>0.40601160339691605</v>
      </c>
      <c r="I75" s="59">
        <f>(B75/('Consumidores Inadimplentes'!B111*1000000))</f>
        <v>6.2649189416751919E-2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4698698</v>
      </c>
      <c r="C76" s="29">
        <v>13826421</v>
      </c>
      <c r="D76" s="29">
        <v>19878330750.5298</v>
      </c>
      <c r="E76" s="33">
        <f t="shared" ref="E76:E77" si="89">C76/B76</f>
        <v>2.9426068668384304</v>
      </c>
      <c r="F76" s="45">
        <f t="shared" ref="F76:F77" si="90">D76/B76</f>
        <v>4230.6040419132705</v>
      </c>
      <c r="G76" s="45">
        <f t="shared" ref="G76:G77" si="91">F76/E76</f>
        <v>1437.7061678166606</v>
      </c>
      <c r="H76" s="26">
        <v>0.41398315097461896</v>
      </c>
      <c r="I76" s="59">
        <f>(B76/('Consumidores Inadimplentes'!B112*1000000))</f>
        <v>6.2982767670442474E-2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4783126</v>
      </c>
      <c r="C77" s="30">
        <v>14067758</v>
      </c>
      <c r="D77" s="30">
        <v>20330118001.709728</v>
      </c>
      <c r="E77" s="34">
        <f t="shared" si="89"/>
        <v>2.9411221866202144</v>
      </c>
      <c r="F77" s="43">
        <f t="shared" si="90"/>
        <v>4250.383118008961</v>
      </c>
      <c r="G77" s="43">
        <f t="shared" si="91"/>
        <v>1445.1569327329721</v>
      </c>
      <c r="H77" s="27">
        <v>0.42117135560771851</v>
      </c>
      <c r="I77" s="59">
        <f>(B77/('Consumidores Inadimplentes'!B113*1000000))</f>
        <v>6.3772133383789717E-2</v>
      </c>
    </row>
    <row r="78" spans="1:16" x14ac:dyDescent="0.35">
      <c r="A78" s="5">
        <v>45717</v>
      </c>
      <c r="B78" s="30">
        <v>4866291</v>
      </c>
      <c r="C78" s="30">
        <v>14302362</v>
      </c>
      <c r="D78" s="30">
        <v>20590297214.039764</v>
      </c>
      <c r="E78" s="34">
        <f t="shared" ref="E78" si="92">C78/B78</f>
        <v>2.93906837877143</v>
      </c>
      <c r="F78" s="43">
        <f t="shared" ref="F78" si="93">D78/B78</f>
        <v>4231.2096037906003</v>
      </c>
      <c r="G78" s="43">
        <f t="shared" ref="G78" si="94">F78/E78</f>
        <v>1439.6431312562054</v>
      </c>
      <c r="H78" s="27">
        <v>0.42823972668921495</v>
      </c>
      <c r="I78" s="59">
        <f>(B78/('Consumidores Inadimplentes'!B114*1000000))</f>
        <v>6.4224905918976852E-2</v>
      </c>
    </row>
    <row r="79" spans="1:16" x14ac:dyDescent="0.35">
      <c r="A79" s="5">
        <v>45748</v>
      </c>
      <c r="B79" s="30">
        <v>4772379</v>
      </c>
      <c r="C79" s="30">
        <v>14219427</v>
      </c>
      <c r="D79" s="30">
        <v>21007412538</v>
      </c>
      <c r="E79" s="34">
        <f t="shared" ref="E79" si="95">C79/B79</f>
        <v>2.9795259345496241</v>
      </c>
      <c r="F79" s="43">
        <f t="shared" ref="F79" si="96">D79/B79</f>
        <v>4401.8743142571029</v>
      </c>
      <c r="G79" s="43">
        <f t="shared" ref="G79" si="97">F79/E79</f>
        <v>1477.3740557900117</v>
      </c>
      <c r="H79" s="27">
        <v>0.41972581029583395</v>
      </c>
      <c r="I79" s="59">
        <f>(B79/('Consumidores Inadimplentes'!B115*1000000))</f>
        <v>6.227127448463228E-2</v>
      </c>
    </row>
    <row r="80" spans="1:16" x14ac:dyDescent="0.35">
      <c r="A80" s="5">
        <v>45778</v>
      </c>
      <c r="B80" s="30">
        <v>4849655</v>
      </c>
      <c r="C80" s="30">
        <v>14464091</v>
      </c>
      <c r="D80" s="30">
        <v>21421274286</v>
      </c>
      <c r="E80" s="34">
        <f t="shared" ref="E80" si="98">C80/B80</f>
        <v>2.9824989612663169</v>
      </c>
      <c r="F80" s="43">
        <f t="shared" ref="F80" si="99">D80/B80</f>
        <v>4417.0717888179679</v>
      </c>
      <c r="G80" s="43">
        <f t="shared" ref="G80" si="100">F80/E80</f>
        <v>1480.9969244524252</v>
      </c>
      <c r="H80" s="27">
        <v>0.42626872309811292</v>
      </c>
      <c r="I80" s="59">
        <f>(B80/('Consumidores Inadimplentes'!B116*1000000))</f>
        <v>6.2923466128159175E-2</v>
      </c>
    </row>
    <row r="81" spans="1:16" x14ac:dyDescent="0.35">
      <c r="A81" s="5">
        <v>45809</v>
      </c>
      <c r="B81" s="30">
        <v>4912983</v>
      </c>
      <c r="C81" s="30">
        <v>14619759</v>
      </c>
      <c r="D81" s="30">
        <v>21664857075</v>
      </c>
      <c r="E81" s="34">
        <f t="shared" ref="E81" si="101">C81/B81</f>
        <v>2.9757397898588294</v>
      </c>
      <c r="F81" s="43">
        <f t="shared" ref="F81" si="102">D81/B81</f>
        <v>4409.7154569840768</v>
      </c>
      <c r="G81" s="43">
        <f t="shared" ref="G81" si="103">F81/E81</f>
        <v>1481.888796867308</v>
      </c>
      <c r="H81" s="27">
        <v>0.43157845821334506</v>
      </c>
      <c r="I81" s="59">
        <f>(B81/('Consumidores Inadimplentes'!B117*1000000))</f>
        <v>6.3088389065091691E-2</v>
      </c>
    </row>
    <row r="82" spans="1:16" x14ac:dyDescent="0.35">
      <c r="A82" s="5">
        <v>45839</v>
      </c>
      <c r="B82" s="30">
        <v>4945442</v>
      </c>
      <c r="C82" s="30">
        <v>14695119</v>
      </c>
      <c r="D82" s="30">
        <v>21768883687</v>
      </c>
      <c r="E82" s="34">
        <f t="shared" ref="E82" si="104">C82/B82</f>
        <v>2.9714470415384509</v>
      </c>
      <c r="F82" s="43">
        <f t="shared" ref="F82" si="105">D82/B82</f>
        <v>4401.8075001182906</v>
      </c>
      <c r="G82" s="43">
        <f t="shared" ref="G82" si="106">F82/E82</f>
        <v>1481.3683160374544</v>
      </c>
      <c r="H82" s="27">
        <v>0.43417174984109591</v>
      </c>
      <c r="I82" s="59">
        <f>(B82/('Consumidores Inadimplentes'!B118*1000000))</f>
        <v>6.3272351871328458E-2</v>
      </c>
    </row>
    <row r="83" spans="1:16" x14ac:dyDescent="0.35">
      <c r="A83" s="5">
        <v>45870</v>
      </c>
      <c r="B83" s="30">
        <v>4949309</v>
      </c>
      <c r="C83" s="30">
        <v>14765495</v>
      </c>
      <c r="D83" s="30">
        <v>22136545939</v>
      </c>
      <c r="E83" s="34">
        <f t="shared" ref="E83" si="107">C83/B83</f>
        <v>2.9833447457008644</v>
      </c>
      <c r="F83" s="43">
        <f t="shared" ref="F83" si="108">D83/B83</f>
        <v>4472.6538470319792</v>
      </c>
      <c r="G83" s="43">
        <f t="shared" ref="G83" si="109">F83/E83</f>
        <v>1499.2078449791218</v>
      </c>
      <c r="H83" s="27">
        <v>0.43425493340801807</v>
      </c>
      <c r="I83" s="59">
        <f>(B83/('Consumidores Inadimplentes'!B119*1000000))</f>
        <v>6.2769583061605613E-2</v>
      </c>
    </row>
    <row r="84" spans="1:16" x14ac:dyDescent="0.35">
      <c r="A84" s="5">
        <v>45901</v>
      </c>
      <c r="B84" s="30">
        <v>4967399</v>
      </c>
      <c r="C84" s="30">
        <v>14714387</v>
      </c>
      <c r="D84" s="30">
        <v>22356785437</v>
      </c>
      <c r="E84" s="34">
        <f>IFERROR(C84/B84,"")</f>
        <v>2.9621914808937233</v>
      </c>
      <c r="F84" s="43">
        <f>IFERROR(D84/B84,"")</f>
        <v>4500.7025682857366</v>
      </c>
      <c r="G84" s="43">
        <f>IFERROR(F84/E84,"")</f>
        <v>1519.3827263752135</v>
      </c>
      <c r="H84" s="27">
        <v>0.43558506379795808</v>
      </c>
      <c r="I84" s="59">
        <f>(B84/('Consumidores Inadimplentes'!B120*1000000))</f>
        <v>6.2745866482266488E-2</v>
      </c>
    </row>
    <row r="85" spans="1:16" x14ac:dyDescent="0.35">
      <c r="A85" s="5">
        <v>45931</v>
      </c>
      <c r="B85" s="30">
        <v>5046908</v>
      </c>
      <c r="C85" s="30">
        <v>15057910</v>
      </c>
      <c r="D85" s="30">
        <v>22768083836</v>
      </c>
      <c r="E85" s="34">
        <f t="shared" ref="E85:E87" si="110">IFERROR(C85/B85,"")</f>
        <v>2.9835911413483265</v>
      </c>
      <c r="F85" s="43">
        <f t="shared" ref="F85:F87" si="111">IFERROR(D85/B85,"")</f>
        <v>4511.2936150213163</v>
      </c>
      <c r="G85" s="43">
        <f t="shared" ref="G85:G87" si="112">IFERROR(F85/E85,"")</f>
        <v>1512.0347934075846</v>
      </c>
      <c r="H85" s="27">
        <v>0.44229605175001957</v>
      </c>
      <c r="I85" s="59">
        <f>(B85/('Consumidores Inadimplentes'!B121*1000000))</f>
        <v>6.2743978072053133E-2</v>
      </c>
    </row>
    <row r="86" spans="1:16" x14ac:dyDescent="0.35">
      <c r="A86" s="5">
        <v>45962</v>
      </c>
      <c r="B86" s="30">
        <v>5020140</v>
      </c>
      <c r="C86" s="30">
        <v>14805866</v>
      </c>
      <c r="D86" s="30">
        <v>22132013092</v>
      </c>
      <c r="E86" s="34">
        <f t="shared" si="110"/>
        <v>2.9492934459995142</v>
      </c>
      <c r="F86" s="43">
        <f t="shared" si="111"/>
        <v>4408.6445979594191</v>
      </c>
      <c r="G86" s="43">
        <f t="shared" si="112"/>
        <v>1494.8138185230096</v>
      </c>
      <c r="H86" s="27">
        <v>0.43969066259710149</v>
      </c>
      <c r="I86" s="59">
        <f>(B86/('Consumidores Inadimplentes'!B122*1000000))</f>
        <v>6.2276992248070477E-2</v>
      </c>
    </row>
    <row r="87" spans="1:16" ht="15" thickBot="1" x14ac:dyDescent="0.4">
      <c r="A87" s="12">
        <v>45992</v>
      </c>
      <c r="B87" s="31">
        <v>5034497</v>
      </c>
      <c r="C87" s="31">
        <v>14765842</v>
      </c>
      <c r="D87" s="31">
        <v>21962567229</v>
      </c>
      <c r="E87" s="35">
        <f t="shared" si="110"/>
        <v>2.9329329225938561</v>
      </c>
      <c r="F87" s="46">
        <f t="shared" si="111"/>
        <v>4362.4153970098705</v>
      </c>
      <c r="G87" s="46">
        <f t="shared" si="112"/>
        <v>1487.3901013569021</v>
      </c>
      <c r="H87" s="28">
        <v>0.44068801467064361</v>
      </c>
      <c r="I87" s="59">
        <f>(B87/('Consumidores Inadimplentes'!B123*1000000))</f>
        <v>6.1964553079056107E-2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4972121</v>
      </c>
      <c r="C88" s="29">
        <v>14345402</v>
      </c>
      <c r="D88" s="29">
        <v>20872160639</v>
      </c>
      <c r="E88" s="33">
        <f t="shared" ref="E88:E89" si="113">IFERROR(C88/B88,"")</f>
        <v>2.8851675170415203</v>
      </c>
      <c r="F88" s="45">
        <f t="shared" ref="F88:F89" si="114">IFERROR(D88/B88,"")</f>
        <v>4197.8384353478123</v>
      </c>
      <c r="G88" s="45">
        <f t="shared" ref="G88:G89" si="115">IFERROR(F88/E88,"")</f>
        <v>1454.9721673188383</v>
      </c>
      <c r="H88" s="26">
        <v>0.43497127702254534</v>
      </c>
      <c r="I88" s="59">
        <f>(B88/('Consumidores Inadimplentes'!B124*1000000))</f>
        <v>6.1143160138807336E-2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4987714</v>
      </c>
      <c r="C89" s="30">
        <v>14508775</v>
      </c>
      <c r="D89" s="30">
        <v>21448409502</v>
      </c>
      <c r="E89" s="34">
        <f t="shared" si="113"/>
        <v>2.9089027558516789</v>
      </c>
      <c r="F89" s="43">
        <f t="shared" si="114"/>
        <v>4300.2484709428009</v>
      </c>
      <c r="G89" s="43">
        <f t="shared" si="115"/>
        <v>1478.3060252846983</v>
      </c>
      <c r="H89" s="27">
        <v>0.43607799319179219</v>
      </c>
      <c r="I89" s="59">
        <f>(B89/('Consumidores Inadimplentes'!B125*1000000))</f>
        <v>6.1025291515250907E-2</v>
      </c>
    </row>
    <row r="90" spans="1:16" x14ac:dyDescent="0.35">
      <c r="A90" s="5">
        <v>46082</v>
      </c>
      <c r="B90" s="30">
        <v>5047365</v>
      </c>
      <c r="C90" s="30">
        <v>14823251</v>
      </c>
      <c r="D90" s="30">
        <v>22106301793</v>
      </c>
      <c r="E90" s="34">
        <f t="shared" ref="E90" si="116">IFERROR(C90/B90,"")</f>
        <v>2.9368296130753375</v>
      </c>
      <c r="F90" s="43">
        <f t="shared" ref="F90" si="117">IFERROR(D90/B90,"")</f>
        <v>4379.7707899072093</v>
      </c>
      <c r="G90" s="43">
        <f t="shared" ref="G90" si="118">IFERROR(F90/E90,"")</f>
        <v>1491.3261465382998</v>
      </c>
      <c r="H90" s="27">
        <v>0.4410329893635464</v>
      </c>
      <c r="I90" s="59">
        <f>(B90/('Consumidores Inadimplentes'!B126*1000000))</f>
        <v>6.0934603548262238E-2</v>
      </c>
    </row>
    <row r="91" spans="1:16" x14ac:dyDescent="0.35">
      <c r="A91" s="5">
        <v>46113</v>
      </c>
      <c r="B91" s="30">
        <v>5117754</v>
      </c>
      <c r="C91" s="30">
        <v>15221666</v>
      </c>
      <c r="D91" s="30">
        <v>22815944944</v>
      </c>
      <c r="E91" s="34">
        <f t="shared" ref="E91" si="119">IFERROR(C91/B91,"")</f>
        <v>2.9742863764065253</v>
      </c>
      <c r="F91" s="43">
        <f t="shared" ref="F91" si="120">IFERROR(D91/B91,"")</f>
        <v>4458.1949316047621</v>
      </c>
      <c r="G91" s="43">
        <f t="shared" ref="G91" si="121">IFERROR(F91/E91,"")</f>
        <v>1498.9124675314777</v>
      </c>
      <c r="H91" s="27">
        <v>0.44691970803684616</v>
      </c>
      <c r="I91" s="59">
        <f>(B91/('Consumidores Inadimplentes'!B127*1000000))</f>
        <v>6.1371910163130011E-2</v>
      </c>
    </row>
    <row r="92" spans="1:16" x14ac:dyDescent="0.35">
      <c r="A92" s="5">
        <v>46143</v>
      </c>
      <c r="B92" s="30">
        <v>5179426</v>
      </c>
      <c r="C92" s="30">
        <v>15493753</v>
      </c>
      <c r="D92" s="30">
        <v>23186532825</v>
      </c>
      <c r="E92" s="34">
        <f t="shared" ref="E92" si="122">IFERROR(C92/B92,"")</f>
        <v>2.9914034875679274</v>
      </c>
      <c r="F92" s="43">
        <f t="shared" ref="F92" si="123">IFERROR(D92/B92,"")</f>
        <v>4476.660700432828</v>
      </c>
      <c r="G92" s="43">
        <f t="shared" ref="G92" si="124">IFERROR(F92/E92,"")</f>
        <v>1496.5084847422054</v>
      </c>
      <c r="H92" s="27">
        <v>0.45203854448403857</v>
      </c>
      <c r="I92" s="59">
        <f>(B92/('Consumidores Inadimplentes'!B128*1000000))</f>
        <v>6.2026939776399954E-2</v>
      </c>
    </row>
    <row r="93" spans="1:16" x14ac:dyDescent="0.35">
      <c r="A93" s="5">
        <v>46174</v>
      </c>
      <c r="B93" s="30">
        <v>5194983</v>
      </c>
      <c r="C93" s="30">
        <v>15551695</v>
      </c>
      <c r="D93" s="30">
        <v>23279304598</v>
      </c>
      <c r="E93" s="34">
        <f t="shared" ref="E93" si="125">IFERROR(C93/B93,"")</f>
        <v>2.9935988240962481</v>
      </c>
      <c r="F93" s="43">
        <f t="shared" ref="F93" si="126">IFERROR(D93/B93,"")</f>
        <v>4481.1127578280812</v>
      </c>
      <c r="G93" s="43">
        <f t="shared" ref="G93" si="127">IFERROR(F93/E93,"")</f>
        <v>1496.8982222195073</v>
      </c>
      <c r="H93" s="27">
        <v>0.45312883650700458</v>
      </c>
      <c r="I93" s="59">
        <f>(B93/('Consumidores Inadimplentes'!B129*1000000))</f>
        <v>6.2038838398423994E-2</v>
      </c>
    </row>
    <row r="94" spans="1:16" x14ac:dyDescent="0.35">
      <c r="A94" s="5">
        <v>46204</v>
      </c>
      <c r="B94" s="30">
        <v>5239780</v>
      </c>
      <c r="C94" s="30">
        <v>15823095</v>
      </c>
      <c r="D94" s="30">
        <v>23833575376</v>
      </c>
      <c r="E94" s="34">
        <f t="shared" ref="E94" si="128">IFERROR(C94/B94,"")</f>
        <v>3.0198014038757353</v>
      </c>
      <c r="F94" s="43">
        <f t="shared" ref="F94" si="129">IFERROR(D94/B94,"")</f>
        <v>4548.5832183793973</v>
      </c>
      <c r="G94" s="43">
        <f t="shared" ref="G94" si="130">IFERROR(F94/E94,"")</f>
        <v>1506.2524351904603</v>
      </c>
      <c r="H94" s="27">
        <v>0.45676665888794094</v>
      </c>
      <c r="I94" s="59">
        <f>(B94/('Consumidores Inadimplentes'!B130*1000000))</f>
        <v>6.2428931982705313E-2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69B8-3B9F-4FF0-99FA-8F794439D760}">
  <sheetPr codeName="Planilha9"/>
  <dimension ref="A1:P99"/>
  <sheetViews>
    <sheetView zoomScale="90" zoomScaleNormal="90" workbookViewId="0">
      <pane xSplit="1" ySplit="3" topLeftCell="B4" activePane="bottomRight" state="frozen"/>
      <selection activeCell="H93" sqref="H93"/>
      <selection pane="topRight" activeCell="H93" sqref="H93"/>
      <selection pane="bottomLeft" activeCell="H93" sqref="H93"/>
      <selection pane="bottomRight" activeCell="J92" sqref="J92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25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2428671</v>
      </c>
      <c r="C4" s="29">
        <v>7984109</v>
      </c>
      <c r="D4" s="29">
        <v>7377251372.7599955</v>
      </c>
      <c r="E4" s="33">
        <f t="shared" ref="E4:E33" si="0">C4/B4</f>
        <v>3.2874395090977742</v>
      </c>
      <c r="F4" s="45">
        <f>D4/B4</f>
        <v>3037.5672014694437</v>
      </c>
      <c r="G4" s="45">
        <f t="shared" ref="G4" si="1">F4/E4</f>
        <v>923.99181583818495</v>
      </c>
      <c r="H4" s="26">
        <v>0.37066881547139402</v>
      </c>
      <c r="I4" s="58">
        <f>(B4/('Consumidores Inadimplentes'!B40*1000000))</f>
        <v>3.9060985030828985E-2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2428001</v>
      </c>
      <c r="C5" s="30">
        <v>8005727</v>
      </c>
      <c r="D5" s="30">
        <v>7314533419.619978</v>
      </c>
      <c r="E5" s="34">
        <f t="shared" si="0"/>
        <v>3.2972502894356306</v>
      </c>
      <c r="F5" s="43">
        <f t="shared" ref="F5:F47" si="2">D5/B5</f>
        <v>3012.5743027370986</v>
      </c>
      <c r="G5" s="43">
        <f t="shared" ref="G5:G47" si="3">F5/E5</f>
        <v>913.66260923211314</v>
      </c>
      <c r="H5" s="27">
        <v>0.37011614723358754</v>
      </c>
      <c r="I5" s="59">
        <f>(B5/('Consumidores Inadimplentes'!B41*1000000))</f>
        <v>3.9052398759633275E-2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2462740</v>
      </c>
      <c r="C6" s="30">
        <v>8106614</v>
      </c>
      <c r="D6" s="30">
        <v>7493889089.0599899</v>
      </c>
      <c r="E6" s="34">
        <f t="shared" si="0"/>
        <v>3.2917051739119843</v>
      </c>
      <c r="F6" s="43">
        <f t="shared" si="2"/>
        <v>3042.9071233910158</v>
      </c>
      <c r="G6" s="43">
        <f t="shared" si="3"/>
        <v>924.41666632455792</v>
      </c>
      <c r="H6" s="27">
        <v>0.37483495887040197</v>
      </c>
      <c r="I6" s="59">
        <f>(B6/('Consumidores Inadimplentes'!B42*1000000))</f>
        <v>3.9115896308964407E-2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2528830</v>
      </c>
      <c r="C7" s="30">
        <v>8185086</v>
      </c>
      <c r="D7" s="30">
        <v>7482365438.6899223</v>
      </c>
      <c r="E7" s="34">
        <f t="shared" si="0"/>
        <v>3.2367086755535168</v>
      </c>
      <c r="F7" s="43">
        <f t="shared" si="2"/>
        <v>2958.8250055123999</v>
      </c>
      <c r="G7" s="43">
        <f t="shared" si="3"/>
        <v>914.14622139460994</v>
      </c>
      <c r="H7" s="27">
        <v>0.38415428779525163</v>
      </c>
      <c r="I7" s="59">
        <f>(B7/('Consumidores Inadimplentes'!B43*1000000))</f>
        <v>4.0009711827805106E-2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2505979</v>
      </c>
      <c r="C8" s="30">
        <v>8132198</v>
      </c>
      <c r="D8" s="30">
        <v>7640082263.2699347</v>
      </c>
      <c r="E8" s="34">
        <f t="shared" si="0"/>
        <v>3.2451181753717808</v>
      </c>
      <c r="F8" s="43">
        <f t="shared" si="2"/>
        <v>3048.7415350527417</v>
      </c>
      <c r="G8" s="43">
        <f t="shared" si="3"/>
        <v>939.48551956924007</v>
      </c>
      <c r="H8" s="27">
        <v>0.37757549311422722</v>
      </c>
      <c r="I8" s="59">
        <f>(B8/('Consumidores Inadimplentes'!B44*1000000))</f>
        <v>3.9542312672522735E-2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2518497</v>
      </c>
      <c r="C9" s="30">
        <v>8144403</v>
      </c>
      <c r="D9" s="30">
        <v>7697663513.4699354</v>
      </c>
      <c r="E9" s="34">
        <f t="shared" si="0"/>
        <v>3.2338347037935722</v>
      </c>
      <c r="F9" s="43">
        <f t="shared" si="2"/>
        <v>3056.4513332634247</v>
      </c>
      <c r="G9" s="43">
        <f t="shared" si="3"/>
        <v>945.14766932210193</v>
      </c>
      <c r="H9" s="27">
        <v>0.38195995649434827</v>
      </c>
      <c r="I9" s="59">
        <f>(B9/('Consumidores Inadimplentes'!B45*1000000))</f>
        <v>3.9692260658732187E-2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2464511</v>
      </c>
      <c r="C10" s="30">
        <v>7977807</v>
      </c>
      <c r="D10" s="30">
        <v>7672458197.0299425</v>
      </c>
      <c r="E10" s="34">
        <f t="shared" si="0"/>
        <v>3.2370750221849285</v>
      </c>
      <c r="F10" s="43">
        <f t="shared" si="2"/>
        <v>3113.1766898301298</v>
      </c>
      <c r="G10" s="43">
        <f t="shared" si="3"/>
        <v>961.72522060635742</v>
      </c>
      <c r="H10" s="27">
        <v>0.37294673103466591</v>
      </c>
      <c r="I10" s="59">
        <f>(B10/('Consumidores Inadimplentes'!B46*1000000))</f>
        <v>3.8833599250515667E-2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2432650</v>
      </c>
      <c r="C11" s="30">
        <v>7723485</v>
      </c>
      <c r="D11" s="30">
        <v>7806192503.2899303</v>
      </c>
      <c r="E11" s="34">
        <f t="shared" si="0"/>
        <v>3.1749265204612254</v>
      </c>
      <c r="F11" s="43">
        <f t="shared" si="2"/>
        <v>3208.9254530203402</v>
      </c>
      <c r="G11" s="43">
        <f t="shared" si="3"/>
        <v>1010.7085730457081</v>
      </c>
      <c r="H11" s="27">
        <v>0.36668706119912314</v>
      </c>
      <c r="I11" s="59">
        <f>(B11/('Consumidores Inadimplentes'!B47*1000000))</f>
        <v>3.8352972496867664E-2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2396269</v>
      </c>
      <c r="C12" s="30">
        <v>7526030</v>
      </c>
      <c r="D12" s="30">
        <v>7687719510.9299564</v>
      </c>
      <c r="E12" s="34">
        <f t="shared" si="0"/>
        <v>3.1407283572921072</v>
      </c>
      <c r="F12" s="43">
        <f t="shared" si="2"/>
        <v>3208.2038831741997</v>
      </c>
      <c r="G12" s="43">
        <f t="shared" si="3"/>
        <v>1021.4840375244261</v>
      </c>
      <c r="H12" s="27">
        <v>0.36085426723258407</v>
      </c>
      <c r="I12" s="59">
        <f>(B12/('Consumidores Inadimplentes'!B48*1000000))</f>
        <v>3.7911684203783186E-2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2413621</v>
      </c>
      <c r="C13" s="30">
        <v>7523278</v>
      </c>
      <c r="D13" s="30">
        <v>7746057622.9799557</v>
      </c>
      <c r="E13" s="34">
        <f t="shared" si="0"/>
        <v>3.1170088427304865</v>
      </c>
      <c r="F13" s="43">
        <f t="shared" si="2"/>
        <v>3209.3098390260757</v>
      </c>
      <c r="G13" s="43">
        <f t="shared" si="3"/>
        <v>1029.6120418493051</v>
      </c>
      <c r="H13" s="27">
        <v>0.36311624929573122</v>
      </c>
      <c r="I13" s="59">
        <f>(B13/('Consumidores Inadimplentes'!B49*1000000))</f>
        <v>3.7800590464642833E-2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2368030</v>
      </c>
      <c r="C14" s="30">
        <v>7326159</v>
      </c>
      <c r="D14" s="30">
        <v>7680355623.4399147</v>
      </c>
      <c r="E14" s="34">
        <f t="shared" si="0"/>
        <v>3.093777950448263</v>
      </c>
      <c r="F14" s="43">
        <f t="shared" si="2"/>
        <v>3243.3523322930514</v>
      </c>
      <c r="G14" s="43">
        <f t="shared" si="3"/>
        <v>1048.3468381507846</v>
      </c>
      <c r="H14" s="27">
        <v>0.35591324784609835</v>
      </c>
      <c r="I14" s="59">
        <f>(B14/('Consumidores Inadimplentes'!B50*1000000))</f>
        <v>3.7092639322135593E-2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2344545</v>
      </c>
      <c r="C15" s="31">
        <v>7160246</v>
      </c>
      <c r="D15" s="31">
        <v>7652473710.0599165</v>
      </c>
      <c r="E15" s="35">
        <f t="shared" si="0"/>
        <v>3.0540023757274866</v>
      </c>
      <c r="F15" s="43">
        <f t="shared" si="2"/>
        <v>3263.9483183559782</v>
      </c>
      <c r="G15" s="43">
        <f t="shared" si="3"/>
        <v>1068.7445249869791</v>
      </c>
      <c r="H15" s="27">
        <v>0.35204313988524921</v>
      </c>
      <c r="I15" s="59">
        <f>(B15/('Consumidores Inadimplentes'!B51*1000000))</f>
        <v>3.7034329493183755E-2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2443710</v>
      </c>
      <c r="C16" s="29">
        <v>7557370</v>
      </c>
      <c r="D16" s="29">
        <v>7784113990.2599382</v>
      </c>
      <c r="E16" s="33">
        <f t="shared" si="0"/>
        <v>3.0925805435178479</v>
      </c>
      <c r="F16" s="45">
        <f t="shared" si="2"/>
        <v>3185.3673268349921</v>
      </c>
      <c r="G16" s="45">
        <f t="shared" si="3"/>
        <v>1030.0030288658538</v>
      </c>
      <c r="H16" s="26">
        <v>0.36657875133020573</v>
      </c>
      <c r="I16" s="59">
        <f>(B16/('Consumidores Inadimplentes'!B52*1000000))</f>
        <v>3.8313257772211624E-2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2451016</v>
      </c>
      <c r="C17" s="30">
        <v>7631731</v>
      </c>
      <c r="D17" s="30">
        <v>7602952528.089941</v>
      </c>
      <c r="E17" s="34">
        <f t="shared" si="0"/>
        <v>3.1137010121516955</v>
      </c>
      <c r="F17" s="43">
        <f t="shared" si="2"/>
        <v>3101.9595661921185</v>
      </c>
      <c r="G17" s="43">
        <f t="shared" si="3"/>
        <v>996.22910295055487</v>
      </c>
      <c r="H17" s="27">
        <v>0.3673195900854031</v>
      </c>
      <c r="I17" s="59">
        <f>(B17/('Consumidores Inadimplentes'!B53*1000000))</f>
        <v>3.8363244651582702E-2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2492985</v>
      </c>
      <c r="C18" s="30">
        <v>7672451</v>
      </c>
      <c r="D18" s="30">
        <v>7739923817.7199593</v>
      </c>
      <c r="E18" s="34">
        <f t="shared" si="0"/>
        <v>3.0776161910320359</v>
      </c>
      <c r="F18" s="43">
        <f t="shared" si="2"/>
        <v>3104.6812627111512</v>
      </c>
      <c r="G18" s="43">
        <f t="shared" si="3"/>
        <v>1008.7941673032464</v>
      </c>
      <c r="H18" s="27">
        <v>0.3732483944832567</v>
      </c>
      <c r="I18" s="59">
        <f>(B18/('Consumidores Inadimplentes'!B54*1000000))</f>
        <v>3.8464484823910516E-2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2561596</v>
      </c>
      <c r="C19" s="30">
        <v>7795499</v>
      </c>
      <c r="D19" s="30">
        <v>7800641435.4199371</v>
      </c>
      <c r="E19" s="34">
        <f t="shared" si="0"/>
        <v>3.0432195396932227</v>
      </c>
      <c r="F19" s="43">
        <f t="shared" si="2"/>
        <v>3045.2270519706999</v>
      </c>
      <c r="G19" s="43">
        <f t="shared" si="3"/>
        <v>1000.6596672541343</v>
      </c>
      <c r="H19" s="27">
        <v>0.38315039080174373</v>
      </c>
      <c r="I19" s="59">
        <f>(B19/('Consumidores Inadimplentes'!B55*1000000))</f>
        <v>3.8865876890261317E-2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2602085</v>
      </c>
      <c r="C20" s="30">
        <v>7968033</v>
      </c>
      <c r="D20" s="30">
        <v>7696992306.9499521</v>
      </c>
      <c r="E20" s="34">
        <f t="shared" si="0"/>
        <v>3.0621724501697676</v>
      </c>
      <c r="F20" s="43">
        <f t="shared" si="2"/>
        <v>2958.0095603909758</v>
      </c>
      <c r="G20" s="43">
        <f t="shared" si="3"/>
        <v>965.98398964336025</v>
      </c>
      <c r="H20" s="27">
        <v>0.38883064423337566</v>
      </c>
      <c r="I20" s="59">
        <f>(B20/('Consumidores Inadimplentes'!B56*1000000))</f>
        <v>3.9889736229380753E-2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2578390</v>
      </c>
      <c r="C21" s="30">
        <v>7906557</v>
      </c>
      <c r="D21" s="30">
        <v>7670504281.3999805</v>
      </c>
      <c r="E21" s="34">
        <f t="shared" si="0"/>
        <v>3.066470549451402</v>
      </c>
      <c r="F21" s="43">
        <f t="shared" si="2"/>
        <v>2974.9201173600504</v>
      </c>
      <c r="G21" s="43">
        <f t="shared" si="3"/>
        <v>970.14468894614686</v>
      </c>
      <c r="H21" s="27">
        <v>0.38454597627092757</v>
      </c>
      <c r="I21" s="59">
        <f>(B21/('Consumidores Inadimplentes'!B57*1000000))</f>
        <v>4.0286908777281798E-2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2581254</v>
      </c>
      <c r="C22" s="30">
        <v>7930915</v>
      </c>
      <c r="D22" s="30">
        <v>7809150894.8499498</v>
      </c>
      <c r="E22" s="34">
        <f t="shared" si="0"/>
        <v>3.0725046818329385</v>
      </c>
      <c r="F22" s="43">
        <f t="shared" si="2"/>
        <v>3025.3322202502932</v>
      </c>
      <c r="G22" s="43">
        <f t="shared" si="3"/>
        <v>984.64690327029734</v>
      </c>
      <c r="H22" s="27">
        <v>0.38466252128400563</v>
      </c>
      <c r="I22" s="59">
        <f>(B22/('Consumidores Inadimplentes'!B58*1000000))</f>
        <v>4.0647667633752903E-2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2528683</v>
      </c>
      <c r="C23" s="30">
        <v>7789309</v>
      </c>
      <c r="D23" s="30">
        <v>7738715318.8499355</v>
      </c>
      <c r="E23" s="34">
        <f t="shared" si="0"/>
        <v>3.0803817639458959</v>
      </c>
      <c r="F23" s="43">
        <f t="shared" si="2"/>
        <v>3060.3738463263035</v>
      </c>
      <c r="G23" s="43">
        <f t="shared" si="3"/>
        <v>993.50472793542224</v>
      </c>
      <c r="H23" s="27">
        <v>0.37652430308213874</v>
      </c>
      <c r="I23" s="59">
        <f>(B23/('Consumidores Inadimplentes'!B59*1000000))</f>
        <v>4.010572108539591E-2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2469630</v>
      </c>
      <c r="C24" s="30">
        <v>7350933</v>
      </c>
      <c r="D24" s="30">
        <v>7645274943.5999584</v>
      </c>
      <c r="E24" s="34">
        <f t="shared" si="0"/>
        <v>2.9765321120977637</v>
      </c>
      <c r="F24" s="43">
        <f t="shared" si="2"/>
        <v>3095.7167444515812</v>
      </c>
      <c r="G24" s="43">
        <f t="shared" si="3"/>
        <v>1040.0414401273904</v>
      </c>
      <c r="H24" s="27">
        <v>0.36743453143367505</v>
      </c>
      <c r="I24" s="59">
        <f>(B24/('Consumidores Inadimplentes'!B60*1000000))</f>
        <v>3.9348318440657955E-2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2470504</v>
      </c>
      <c r="C25" s="30">
        <v>7649931</v>
      </c>
      <c r="D25" s="30">
        <v>7674635212.3799725</v>
      </c>
      <c r="E25" s="34">
        <f t="shared" si="0"/>
        <v>3.0965062189739423</v>
      </c>
      <c r="F25" s="43">
        <f t="shared" si="2"/>
        <v>3106.5058839734616</v>
      </c>
      <c r="G25" s="43">
        <f t="shared" si="3"/>
        <v>1003.2293379352013</v>
      </c>
      <c r="H25" s="27">
        <v>0.36726802093030375</v>
      </c>
      <c r="I25" s="59">
        <f>(B25/('Consumidores Inadimplentes'!B61*1000000))</f>
        <v>3.9667830586315761E-2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2462637</v>
      </c>
      <c r="C26" s="30">
        <v>7744367</v>
      </c>
      <c r="D26" s="30">
        <v>7535835145.1899405</v>
      </c>
      <c r="E26" s="34">
        <f t="shared" si="0"/>
        <v>3.144745652729168</v>
      </c>
      <c r="F26" s="43">
        <f t="shared" si="2"/>
        <v>3060.0673770393041</v>
      </c>
      <c r="G26" s="43">
        <f t="shared" si="3"/>
        <v>973.07309237668369</v>
      </c>
      <c r="H26" s="27">
        <v>0.36580316175978</v>
      </c>
      <c r="I26" s="59">
        <f>(B26/('Consumidores Inadimplentes'!B62*1000000))</f>
        <v>3.9752845810461519E-2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2446230</v>
      </c>
      <c r="C27" s="31">
        <v>7705266</v>
      </c>
      <c r="D27" s="31">
        <v>7403590408.4799538</v>
      </c>
      <c r="E27" s="35">
        <f t="shared" si="0"/>
        <v>3.1498534479586957</v>
      </c>
      <c r="F27" s="46">
        <f t="shared" si="2"/>
        <v>3026.53078757106</v>
      </c>
      <c r="G27" s="46">
        <f t="shared" si="3"/>
        <v>960.84812756366284</v>
      </c>
      <c r="H27" s="28">
        <v>0.36307287505456343</v>
      </c>
      <c r="I27" s="59">
        <f>(B27/('Consumidores Inadimplentes'!B63*1000000))</f>
        <v>3.9866017794966901E-2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2350849</v>
      </c>
      <c r="C28" s="29">
        <v>7098127</v>
      </c>
      <c r="D28" s="29">
        <v>7412202383.5399647</v>
      </c>
      <c r="E28" s="33">
        <f t="shared" si="0"/>
        <v>3.0193887399828743</v>
      </c>
      <c r="F28" s="45">
        <f t="shared" si="2"/>
        <v>3152.9895725076194</v>
      </c>
      <c r="G28" s="45">
        <f t="shared" si="3"/>
        <v>1044.2476421653155</v>
      </c>
      <c r="H28" s="26">
        <v>0.34863480168286787</v>
      </c>
      <c r="I28" s="59">
        <f>(B28/('Consumidores Inadimplentes'!B64*1000000))</f>
        <v>3.8120217549239901E-2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2343379</v>
      </c>
      <c r="C29" s="30">
        <v>7011444</v>
      </c>
      <c r="D29" s="30">
        <v>7442353514.0099459</v>
      </c>
      <c r="E29" s="34">
        <f t="shared" si="0"/>
        <v>2.9920230573031508</v>
      </c>
      <c r="F29" s="43">
        <f t="shared" si="2"/>
        <v>3175.9068908656882</v>
      </c>
      <c r="G29" s="43">
        <f t="shared" si="3"/>
        <v>1061.4580269071457</v>
      </c>
      <c r="H29" s="27">
        <v>0.34724663726834148</v>
      </c>
      <c r="I29" s="59">
        <f>(B29/('Consumidores Inadimplentes'!B65*1000000))</f>
        <v>3.8069664536382823E-2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2375933</v>
      </c>
      <c r="C30" s="30">
        <v>7030743</v>
      </c>
      <c r="D30" s="30">
        <v>7610544811.0099916</v>
      </c>
      <c r="E30" s="34">
        <f t="shared" si="0"/>
        <v>2.9591503632467751</v>
      </c>
      <c r="F30" s="43">
        <f t="shared" si="2"/>
        <v>3203.1815758314697</v>
      </c>
      <c r="G30" s="43">
        <f t="shared" si="3"/>
        <v>1082.4666484054376</v>
      </c>
      <c r="H30" s="27">
        <v>0.35178650694871977</v>
      </c>
      <c r="I30" s="59">
        <f>(B30/('Consumidores Inadimplentes'!B66*1000000))</f>
        <v>3.7980087802016754E-2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2491651</v>
      </c>
      <c r="C31" s="30">
        <v>7503103</v>
      </c>
      <c r="D31" s="30">
        <v>7812098924.8499842</v>
      </c>
      <c r="E31" s="34">
        <f t="shared" si="0"/>
        <v>3.0112977298987698</v>
      </c>
      <c r="F31" s="43">
        <f t="shared" si="2"/>
        <v>3135.3102520577659</v>
      </c>
      <c r="G31" s="43">
        <f t="shared" si="3"/>
        <v>1041.1824181075463</v>
      </c>
      <c r="H31" s="27">
        <v>0.36862237972565148</v>
      </c>
      <c r="I31" s="59">
        <f>(B31/('Consumidores Inadimplentes'!B67*1000000))</f>
        <v>3.9561587951472535E-2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2384536</v>
      </c>
      <c r="C32" s="30">
        <v>6763724</v>
      </c>
      <c r="D32" s="30">
        <v>7793475704.1799889</v>
      </c>
      <c r="E32" s="34">
        <f t="shared" si="0"/>
        <v>2.8364948149241616</v>
      </c>
      <c r="F32" s="43">
        <f t="shared" si="2"/>
        <v>3268.3405510254361</v>
      </c>
      <c r="G32" s="43">
        <f t="shared" si="3"/>
        <v>1152.2462631798678</v>
      </c>
      <c r="H32" s="27">
        <v>0.35249083604183234</v>
      </c>
      <c r="I32" s="59">
        <f>(B32/('Consumidores Inadimplentes'!B68*1000000))</f>
        <v>3.8116712747310308E-2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2582770</v>
      </c>
      <c r="C33" s="30">
        <v>7973386</v>
      </c>
      <c r="D33" s="30">
        <v>7768622601.1999769</v>
      </c>
      <c r="E33" s="34">
        <f t="shared" si="0"/>
        <v>3.0871451968235655</v>
      </c>
      <c r="F33" s="43">
        <f t="shared" si="2"/>
        <v>3007.8646574027021</v>
      </c>
      <c r="G33" s="43">
        <f t="shared" si="3"/>
        <v>974.31914135349484</v>
      </c>
      <c r="H33" s="27">
        <v>0.38148649413118718</v>
      </c>
      <c r="I33" s="59">
        <f>(B33/('Consumidores Inadimplentes'!B69*1000000))</f>
        <v>4.1318084605216056E-2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2570471</v>
      </c>
      <c r="C34" s="30">
        <v>7897362</v>
      </c>
      <c r="D34" s="30">
        <v>7776437133.2299786</v>
      </c>
      <c r="E34" s="34">
        <f>C34/B34</f>
        <v>3.0723404387756172</v>
      </c>
      <c r="F34" s="43">
        <f t="shared" si="2"/>
        <v>3025.2965830892385</v>
      </c>
      <c r="G34" s="43">
        <f t="shared" si="3"/>
        <v>984.68794177473171</v>
      </c>
      <c r="H34" s="27">
        <v>0.37966987771109578</v>
      </c>
      <c r="I34" s="59">
        <f>(B34/('Consumidores Inadimplentes'!B70*1000000))</f>
        <v>4.1310132071452725E-2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2500636</v>
      </c>
      <c r="C35" s="30">
        <v>7670235</v>
      </c>
      <c r="D35" s="30">
        <v>7779103943.0700026</v>
      </c>
      <c r="E35" s="34">
        <f>C35/B35</f>
        <v>3.0673136754009782</v>
      </c>
      <c r="F35" s="43">
        <f t="shared" si="2"/>
        <v>3110.8501769429868</v>
      </c>
      <c r="G35" s="43">
        <f t="shared" si="3"/>
        <v>1014.1936906848359</v>
      </c>
      <c r="H35" s="27">
        <v>0.36907975068952392</v>
      </c>
      <c r="I35" s="59">
        <f>(B35/('Consumidores Inadimplentes'!B71*1000000))</f>
        <v>4.0171662871008422E-2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2466002</v>
      </c>
      <c r="C36" s="30">
        <v>7396643</v>
      </c>
      <c r="D36" s="30">
        <v>7842674820.3299675</v>
      </c>
      <c r="E36" s="34">
        <f>C36/B36</f>
        <v>2.9994472834977426</v>
      </c>
      <c r="F36" s="43">
        <f t="shared" si="2"/>
        <v>3180.3197322345918</v>
      </c>
      <c r="G36" s="43">
        <f t="shared" si="3"/>
        <v>1060.301926202193</v>
      </c>
      <c r="H36" s="27">
        <v>0.36369677860190414</v>
      </c>
      <c r="I36" s="59">
        <f>(B36/('Consumidores Inadimplentes'!B72*1000000))</f>
        <v>3.9639789378827645E-2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2501100</v>
      </c>
      <c r="C37" s="30">
        <v>7498384</v>
      </c>
      <c r="D37" s="30">
        <v>8170603005.2199602</v>
      </c>
      <c r="E37" s="34">
        <f>C37/B37</f>
        <v>2.9980344648354724</v>
      </c>
      <c r="F37" s="43">
        <f t="shared" si="2"/>
        <v>3266.8038084122827</v>
      </c>
      <c r="G37" s="43">
        <f t="shared" si="3"/>
        <v>1089.6485169631164</v>
      </c>
      <c r="H37" s="27">
        <v>0.36859838294794406</v>
      </c>
      <c r="I37" s="59">
        <f>(B37/('Consumidores Inadimplentes'!B73*1000000))</f>
        <v>3.9446389146049469E-2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2551989</v>
      </c>
      <c r="C38" s="30">
        <v>7689191</v>
      </c>
      <c r="D38" s="30">
        <v>8358868540.2299366</v>
      </c>
      <c r="E38" s="34">
        <f t="shared" ref="E38:E47" si="4">C38/B38</f>
        <v>3.0130188648932266</v>
      </c>
      <c r="F38" s="43">
        <f t="shared" si="2"/>
        <v>3275.4328252315886</v>
      </c>
      <c r="G38" s="43">
        <f t="shared" si="3"/>
        <v>1087.0933678497433</v>
      </c>
      <c r="H38" s="27">
        <v>0.37581792662182262</v>
      </c>
      <c r="I38" s="59">
        <f>(B38/('Consumidores Inadimplentes'!B74*1000000))</f>
        <v>3.9707516780465801E-2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2549222</v>
      </c>
      <c r="C39" s="31">
        <v>7706700</v>
      </c>
      <c r="D39" s="31">
        <v>8261887676.8299456</v>
      </c>
      <c r="E39" s="35">
        <f t="shared" si="4"/>
        <v>3.0231576535899971</v>
      </c>
      <c r="F39" s="46">
        <f t="shared" si="2"/>
        <v>3240.9447575887643</v>
      </c>
      <c r="G39" s="46">
        <f t="shared" si="3"/>
        <v>1072.0396118740764</v>
      </c>
      <c r="H39" s="28">
        <v>0.37513074721185435</v>
      </c>
      <c r="I39" s="59">
        <f>(B39/('Consumidores Inadimplentes'!B75*1000000))</f>
        <v>3.9849741571372485E-2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2616702</v>
      </c>
      <c r="C40" s="29">
        <v>7914919</v>
      </c>
      <c r="D40" s="29">
        <v>8621312570.7199554</v>
      </c>
      <c r="E40" s="33">
        <f t="shared" si="4"/>
        <v>3.0247689649031493</v>
      </c>
      <c r="F40" s="45">
        <f t="shared" si="2"/>
        <v>3294.7246460315141</v>
      </c>
      <c r="G40" s="45">
        <f t="shared" si="3"/>
        <v>1089.2483638455371</v>
      </c>
      <c r="H40" s="26">
        <v>0.38477386557084547</v>
      </c>
      <c r="I40" s="59">
        <f>(B40/('Consumidores Inadimplentes'!B76*1000000))</f>
        <v>4.0370337354565765E-2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2635944</v>
      </c>
      <c r="C41" s="30">
        <v>8009411</v>
      </c>
      <c r="D41" s="30">
        <v>8736249587.7398968</v>
      </c>
      <c r="E41" s="34">
        <f t="shared" si="4"/>
        <v>3.0385360994012012</v>
      </c>
      <c r="F41" s="43">
        <f t="shared" si="2"/>
        <v>3314.2773851568536</v>
      </c>
      <c r="G41" s="43">
        <f t="shared" si="3"/>
        <v>1090.7480697069857</v>
      </c>
      <c r="H41" s="27">
        <v>0.38731456150020283</v>
      </c>
      <c r="I41" s="59">
        <f>(B41/('Consumidores Inadimplentes'!B77*1000000))</f>
        <v>4.0447729666428345E-2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2747799</v>
      </c>
      <c r="C42" s="30">
        <v>8565351</v>
      </c>
      <c r="D42" s="30">
        <v>8897415284.2799263</v>
      </c>
      <c r="E42" s="34">
        <f t="shared" si="4"/>
        <v>3.1171679587917458</v>
      </c>
      <c r="F42" s="43">
        <f t="shared" si="2"/>
        <v>3238.0153294618444</v>
      </c>
      <c r="G42" s="43">
        <f t="shared" si="3"/>
        <v>1038.7683218445952</v>
      </c>
      <c r="H42" s="27">
        <v>0.40344927377489204</v>
      </c>
      <c r="I42" s="59">
        <f>(B42/('Consumidores Inadimplentes'!B78*1000000))</f>
        <v>4.1827255957783159E-2</v>
      </c>
    </row>
    <row r="43" spans="1:16" x14ac:dyDescent="0.35">
      <c r="A43" s="5">
        <v>44652</v>
      </c>
      <c r="B43" s="30">
        <v>2775827</v>
      </c>
      <c r="C43" s="30">
        <v>8669825</v>
      </c>
      <c r="D43" s="30">
        <v>9071931426.1499443</v>
      </c>
      <c r="E43" s="34">
        <f t="shared" si="4"/>
        <v>3.123330452510189</v>
      </c>
      <c r="F43" s="43">
        <f t="shared" si="2"/>
        <v>3268.190498237082</v>
      </c>
      <c r="G43" s="43">
        <f t="shared" si="3"/>
        <v>1046.3799933850964</v>
      </c>
      <c r="H43" s="27">
        <v>0.40726087521063054</v>
      </c>
      <c r="I43" s="59">
        <f>(B43/('Consumidores Inadimplentes'!B79*1000000))</f>
        <v>4.1973611529672092E-2</v>
      </c>
    </row>
    <row r="44" spans="1:16" x14ac:dyDescent="0.35">
      <c r="A44" s="5">
        <v>44682</v>
      </c>
      <c r="B44" s="30">
        <v>2785390</v>
      </c>
      <c r="C44" s="30">
        <v>8779663</v>
      </c>
      <c r="D44" s="30">
        <v>9301038292.9499168</v>
      </c>
      <c r="E44" s="34">
        <f t="shared" si="4"/>
        <v>3.1520408273168208</v>
      </c>
      <c r="F44" s="43">
        <f t="shared" si="2"/>
        <v>3339.222978810837</v>
      </c>
      <c r="G44" s="43">
        <f t="shared" si="3"/>
        <v>1059.384431150708</v>
      </c>
      <c r="H44" s="27">
        <v>0.40835945026240567</v>
      </c>
      <c r="I44" s="59">
        <f>(B44/('Consumidores Inadimplentes'!B80*1000000))</f>
        <v>4.1835350165721388E-2</v>
      </c>
    </row>
    <row r="45" spans="1:16" x14ac:dyDescent="0.35">
      <c r="A45" s="5">
        <v>44713</v>
      </c>
      <c r="B45" s="30">
        <v>2794367</v>
      </c>
      <c r="C45" s="30">
        <v>8834243</v>
      </c>
      <c r="D45" s="30">
        <v>9441979313.5101604</v>
      </c>
      <c r="E45" s="34">
        <f t="shared" si="4"/>
        <v>3.1614469395036515</v>
      </c>
      <c r="F45" s="43">
        <f t="shared" si="2"/>
        <v>3378.9331585687064</v>
      </c>
      <c r="G45" s="43">
        <f t="shared" si="3"/>
        <v>1068.7932529714385</v>
      </c>
      <c r="H45" s="27">
        <v>0.40937030152154708</v>
      </c>
      <c r="I45" s="59">
        <f>(B45/('Consumidores Inadimplentes'!B81*1000000))</f>
        <v>4.1820181124649004E-2</v>
      </c>
    </row>
    <row r="46" spans="1:16" x14ac:dyDescent="0.35">
      <c r="A46" s="5">
        <v>44743</v>
      </c>
      <c r="B46" s="30">
        <v>2817354</v>
      </c>
      <c r="C46" s="30">
        <v>8944208</v>
      </c>
      <c r="D46" s="30">
        <v>9754537734.6701393</v>
      </c>
      <c r="E46" s="34">
        <f t="shared" si="4"/>
        <v>3.1746837635597087</v>
      </c>
      <c r="F46" s="43">
        <f t="shared" si="2"/>
        <v>3462.3046073266405</v>
      </c>
      <c r="G46" s="43">
        <f t="shared" si="3"/>
        <v>1090.5982659023739</v>
      </c>
      <c r="H46" s="27">
        <v>0.41243038092536166</v>
      </c>
      <c r="I46" s="59">
        <f>(B46/('Consumidores Inadimplentes'!B82*1000000))</f>
        <v>4.1656936969854737E-2</v>
      </c>
    </row>
    <row r="47" spans="1:16" x14ac:dyDescent="0.35">
      <c r="A47" s="5">
        <v>44774</v>
      </c>
      <c r="B47" s="30">
        <v>2784065</v>
      </c>
      <c r="C47" s="30">
        <v>8831774</v>
      </c>
      <c r="D47" s="30">
        <v>9866478578.9401703</v>
      </c>
      <c r="E47" s="34">
        <f t="shared" si="4"/>
        <v>3.1722585499979346</v>
      </c>
      <c r="F47" s="43">
        <f t="shared" si="2"/>
        <v>3543.9110002604716</v>
      </c>
      <c r="G47" s="43">
        <f t="shared" si="3"/>
        <v>1117.1570489620965</v>
      </c>
      <c r="H47" s="27">
        <v>0.40724317144917549</v>
      </c>
      <c r="I47" s="59">
        <f>(B47/('Consumidores Inadimplentes'!B83*1000000))</f>
        <v>4.0956442413460317E-2</v>
      </c>
    </row>
    <row r="48" spans="1:16" x14ac:dyDescent="0.35">
      <c r="A48" s="5">
        <v>44805</v>
      </c>
      <c r="B48" s="30">
        <v>2904478</v>
      </c>
      <c r="C48" s="30">
        <v>9205923</v>
      </c>
      <c r="D48" s="30">
        <v>10157361260.49012</v>
      </c>
      <c r="E48" s="34">
        <f t="shared" ref="E48" si="5">C48/B48</f>
        <v>3.1695619660400252</v>
      </c>
      <c r="F48" s="43">
        <f t="shared" ref="F48" si="6">D48/B48</f>
        <v>3497.1383017843896</v>
      </c>
      <c r="G48" s="43">
        <f t="shared" ref="G48" si="7">F48/E48</f>
        <v>1103.3506646199539</v>
      </c>
      <c r="H48" s="27">
        <v>0.42452937467350677</v>
      </c>
      <c r="I48" s="59">
        <f>(B48/('Consumidores Inadimplentes'!B84*1000000))</f>
        <v>4.2470549203706631E-2</v>
      </c>
    </row>
    <row r="49" spans="1:16" x14ac:dyDescent="0.35">
      <c r="A49" s="5">
        <v>44835</v>
      </c>
      <c r="B49" s="30">
        <v>3003041</v>
      </c>
      <c r="C49" s="30">
        <v>9422624</v>
      </c>
      <c r="D49" s="30">
        <v>10344242676.390139</v>
      </c>
      <c r="E49" s="34">
        <f t="shared" ref="E49" si="8">C49/B49</f>
        <v>3.1376940907566695</v>
      </c>
      <c r="F49" s="43">
        <f t="shared" ref="F49" si="9">D49/B49</f>
        <v>3444.589226850429</v>
      </c>
      <c r="G49" s="43">
        <f t="shared" ref="G49" si="10">F49/E49</f>
        <v>1097.8091321897318</v>
      </c>
      <c r="H49" s="27">
        <v>0.43859748283826389</v>
      </c>
      <c r="I49" s="59">
        <f>(B49/('Consumidores Inadimplentes'!B85*1000000))</f>
        <v>4.3486636476955727E-2</v>
      </c>
    </row>
    <row r="50" spans="1:16" x14ac:dyDescent="0.35">
      <c r="A50" s="5">
        <v>44866</v>
      </c>
      <c r="B50" s="30">
        <v>3067604</v>
      </c>
      <c r="C50" s="30">
        <v>9627825</v>
      </c>
      <c r="D50" s="30">
        <v>10696524673.610123</v>
      </c>
      <c r="E50" s="34">
        <f t="shared" ref="E50" si="11">C50/B50</f>
        <v>3.1385488478956214</v>
      </c>
      <c r="F50" s="43">
        <f t="shared" ref="F50" si="12">D50/B50</f>
        <v>3486.9313880181803</v>
      </c>
      <c r="G50" s="43">
        <f t="shared" ref="G50" si="13">F50/E50</f>
        <v>1111.0011527640067</v>
      </c>
      <c r="H50" s="27">
        <v>0.44768175116947878</v>
      </c>
      <c r="I50" s="59">
        <f>(B50/('Consumidores Inadimplentes'!B86*1000000))</f>
        <v>4.3926611838280914E-2</v>
      </c>
    </row>
    <row r="51" spans="1:16" ht="15" thickBot="1" x14ac:dyDescent="0.4">
      <c r="A51" s="12">
        <v>44896</v>
      </c>
      <c r="B51" s="31">
        <v>3044301</v>
      </c>
      <c r="C51" s="31">
        <v>9582433</v>
      </c>
      <c r="D51" s="31">
        <v>10736930833.270126</v>
      </c>
      <c r="E51" s="35">
        <f t="shared" ref="E51" si="14">C51/B51</f>
        <v>3.1476627968127988</v>
      </c>
      <c r="F51" s="46">
        <f t="shared" ref="F51" si="15">D51/B51</f>
        <v>3526.895281797078</v>
      </c>
      <c r="G51" s="46">
        <f t="shared" ref="G51" si="16">F51/E51</f>
        <v>1120.4806580197458</v>
      </c>
      <c r="H51" s="28">
        <v>0.44393860603644314</v>
      </c>
      <c r="I51" s="59">
        <f>(B51/('Consumidores Inadimplentes'!B87*1000000))</f>
        <v>4.3847486557407535E-2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2984564</v>
      </c>
      <c r="C52" s="29">
        <v>9726149</v>
      </c>
      <c r="D52" s="29">
        <v>11213047460.080166</v>
      </c>
      <c r="E52" s="33">
        <f t="shared" ref="E52" si="17">C52/B52</f>
        <v>3.2588173682990211</v>
      </c>
      <c r="F52" s="45">
        <f t="shared" ref="F52" si="18">D52/B52</f>
        <v>3757.0135738688014</v>
      </c>
      <c r="G52" s="45">
        <f t="shared" ref="G52" si="19">F52/E52</f>
        <v>1152.8763809890395</v>
      </c>
      <c r="H52" s="26">
        <v>0.43489203339176458</v>
      </c>
      <c r="I52" s="59">
        <f>(B52/('Consumidores Inadimplentes'!B88*1000000))</f>
        <v>4.2580071895077308E-2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3084466</v>
      </c>
      <c r="C53" s="30">
        <v>10280932</v>
      </c>
      <c r="D53" s="30">
        <v>11509509600.120264</v>
      </c>
      <c r="E53" s="34">
        <f t="shared" ref="E53" si="20">C53/B53</f>
        <v>3.3331318938188979</v>
      </c>
      <c r="F53" s="43">
        <f t="shared" ref="F53" si="21">D53/B53</f>
        <v>3731.4431736709903</v>
      </c>
      <c r="G53" s="43">
        <f t="shared" ref="G53" si="22">F53/E53</f>
        <v>1119.5006055988176</v>
      </c>
      <c r="H53" s="27">
        <v>0.44910281823314935</v>
      </c>
      <c r="I53" s="59">
        <f>(B53/('Consumidores Inadimplentes'!B89*1000000))</f>
        <v>4.3734576107536997E-2</v>
      </c>
    </row>
    <row r="54" spans="1:16" x14ac:dyDescent="0.35">
      <c r="A54" s="5">
        <v>44986</v>
      </c>
      <c r="B54" s="30">
        <v>3135250</v>
      </c>
      <c r="C54" s="30">
        <v>10503829</v>
      </c>
      <c r="D54" s="30">
        <v>11828385840.040157</v>
      </c>
      <c r="E54" s="34">
        <f t="shared" ref="E54" si="23">C54/B54</f>
        <v>3.3502365042660074</v>
      </c>
      <c r="F54" s="43">
        <f t="shared" ref="F54" si="24">D54/B54</f>
        <v>3772.7089833474706</v>
      </c>
      <c r="G54" s="43">
        <f t="shared" ref="G54" si="25">F54/E54</f>
        <v>1126.1022851800194</v>
      </c>
      <c r="H54" s="27">
        <v>0.45614530772294998</v>
      </c>
      <c r="I54" s="59">
        <f>(B54/('Consumidores Inadimplentes'!B90*1000000))</f>
        <v>4.4341188235228063E-2</v>
      </c>
    </row>
    <row r="55" spans="1:16" x14ac:dyDescent="0.35">
      <c r="A55" s="5">
        <v>45017</v>
      </c>
      <c r="B55" s="30">
        <v>3160708</v>
      </c>
      <c r="C55" s="30">
        <v>10709846</v>
      </c>
      <c r="D55" s="30">
        <v>12137455215.250225</v>
      </c>
      <c r="E55" s="34">
        <f t="shared" ref="E55" si="26">C55/B55</f>
        <v>3.3884325916851541</v>
      </c>
      <c r="F55" s="43">
        <f t="shared" ref="F55" si="27">D55/B55</f>
        <v>3840.1064619858034</v>
      </c>
      <c r="G55" s="43">
        <f t="shared" ref="G55" si="28">F55/E55</f>
        <v>1133.2987622091134</v>
      </c>
      <c r="H55" s="27">
        <v>0.45949486077080731</v>
      </c>
      <c r="I55" s="59">
        <f>(B55/('Consumidores Inadimplentes'!B91*1000000))</f>
        <v>4.424309573169919E-2</v>
      </c>
    </row>
    <row r="56" spans="1:16" x14ac:dyDescent="0.35">
      <c r="A56" s="5">
        <v>45047</v>
      </c>
      <c r="B56" s="30">
        <v>3241167</v>
      </c>
      <c r="C56" s="30">
        <v>11149742</v>
      </c>
      <c r="D56" s="30">
        <v>12338608077.460167</v>
      </c>
      <c r="E56" s="34">
        <f t="shared" ref="E56" si="29">C56/B56</f>
        <v>3.4400393438536181</v>
      </c>
      <c r="F56" s="43">
        <f t="shared" ref="F56" si="30">D56/B56</f>
        <v>3806.8412017832366</v>
      </c>
      <c r="G56" s="43">
        <f t="shared" ref="G56" si="31">F56/E56</f>
        <v>1106.6272275591818</v>
      </c>
      <c r="H56" s="27">
        <v>0.47082871753214212</v>
      </c>
      <c r="I56" s="59">
        <f>(B56/('Consumidores Inadimplentes'!B92*1000000))</f>
        <v>4.5076577139267097E-2</v>
      </c>
    </row>
    <row r="57" spans="1:16" x14ac:dyDescent="0.35">
      <c r="A57" s="5">
        <v>45078</v>
      </c>
      <c r="B57" s="30">
        <v>3175459</v>
      </c>
      <c r="C57" s="30">
        <v>11006787</v>
      </c>
      <c r="D57" s="30">
        <v>12336298827.660183</v>
      </c>
      <c r="E57" s="34">
        <f t="shared" ref="E57" si="32">C57/B57</f>
        <v>3.4662034685379344</v>
      </c>
      <c r="F57" s="43">
        <f t="shared" ref="F57" si="33">D57/B57</f>
        <v>3884.8868234986448</v>
      </c>
      <c r="G57" s="43">
        <f t="shared" ref="G57" si="34">F57/E57</f>
        <v>1120.7901840619049</v>
      </c>
      <c r="H57" s="27">
        <v>0.46092822606749334</v>
      </c>
      <c r="I57" s="59">
        <f>(B57/('Consumidores Inadimplentes'!B93*1000000))</f>
        <v>4.4440894973788142E-2</v>
      </c>
    </row>
    <row r="58" spans="1:16" x14ac:dyDescent="0.35">
      <c r="A58" s="5">
        <v>45108</v>
      </c>
      <c r="B58" s="30">
        <v>3358464</v>
      </c>
      <c r="C58" s="30">
        <v>11740807</v>
      </c>
      <c r="D58" s="30">
        <v>12671540486.670082</v>
      </c>
      <c r="E58" s="34">
        <f t="shared" ref="E58:E59" si="35">C58/B58</f>
        <v>3.4958859168953427</v>
      </c>
      <c r="F58" s="43">
        <f t="shared" ref="F58:F59" si="36">D58/B58</f>
        <v>3773.0166191062585</v>
      </c>
      <c r="G58" s="43">
        <f t="shared" ref="G58:G59" si="37">F58/E58</f>
        <v>1079.2733827129668</v>
      </c>
      <c r="H58" s="27">
        <v>0.48711640531652245</v>
      </c>
      <c r="I58" s="59">
        <f>(B58/('Consumidores Inadimplentes'!B94*1000000))</f>
        <v>4.702477164387496E-2</v>
      </c>
    </row>
    <row r="59" spans="1:16" x14ac:dyDescent="0.35">
      <c r="A59" s="5">
        <v>45139</v>
      </c>
      <c r="B59" s="30">
        <v>3322539</v>
      </c>
      <c r="C59" s="30">
        <v>11717760</v>
      </c>
      <c r="D59" s="30">
        <v>12537644485.980049</v>
      </c>
      <c r="E59" s="34">
        <f t="shared" si="35"/>
        <v>3.5267486702187694</v>
      </c>
      <c r="F59" s="43">
        <f t="shared" si="36"/>
        <v>3773.5131133088425</v>
      </c>
      <c r="G59" s="43">
        <f t="shared" si="37"/>
        <v>1069.9693871507907</v>
      </c>
      <c r="H59" s="27">
        <v>0.48150540953565163</v>
      </c>
      <c r="I59" s="59">
        <f>(B59/('Consumidores Inadimplentes'!B95*1000000))</f>
        <v>4.6314220307406277E-2</v>
      </c>
    </row>
    <row r="60" spans="1:16" x14ac:dyDescent="0.35">
      <c r="A60" s="5">
        <v>45170</v>
      </c>
      <c r="B60" s="30">
        <v>3272162</v>
      </c>
      <c r="C60" s="30">
        <v>11700970</v>
      </c>
      <c r="D60" s="30">
        <v>13567118710.610069</v>
      </c>
      <c r="E60" s="34">
        <f t="shared" ref="E60:E61" si="38">C60/B60</f>
        <v>3.5759140287064026</v>
      </c>
      <c r="F60" s="43">
        <f t="shared" ref="F60:F61" si="39">D60/B60</f>
        <v>4146.2246400422928</v>
      </c>
      <c r="G60" s="43">
        <f t="shared" ref="G60:G61" si="40">F60/E60</f>
        <v>1159.4866673968115</v>
      </c>
      <c r="H60" s="27">
        <v>0.47381072806710289</v>
      </c>
      <c r="I60" s="59">
        <f>(B60/('Consumidores Inadimplentes'!B96*1000000))</f>
        <v>4.5559232709675677E-2</v>
      </c>
    </row>
    <row r="61" spans="1:16" x14ac:dyDescent="0.35">
      <c r="A61" s="5">
        <v>45200</v>
      </c>
      <c r="B61" s="30">
        <v>3219382</v>
      </c>
      <c r="C61" s="30">
        <v>11568864</v>
      </c>
      <c r="D61" s="30">
        <v>13880276438.630131</v>
      </c>
      <c r="E61" s="34">
        <f t="shared" si="38"/>
        <v>3.5935045918750865</v>
      </c>
      <c r="F61" s="43">
        <f t="shared" si="39"/>
        <v>4311.4723380543628</v>
      </c>
      <c r="G61" s="43">
        <f t="shared" si="40"/>
        <v>1199.7959729347783</v>
      </c>
      <c r="H61" s="27">
        <v>0.4657808861518607</v>
      </c>
      <c r="I61" s="59">
        <f>(B61/('Consumidores Inadimplentes'!B97*1000000))</f>
        <v>4.4743148238017089E-2</v>
      </c>
    </row>
    <row r="62" spans="1:16" x14ac:dyDescent="0.35">
      <c r="A62" s="5">
        <v>45231</v>
      </c>
      <c r="B62" s="30">
        <v>3164539</v>
      </c>
      <c r="C62" s="30">
        <v>11419290</v>
      </c>
      <c r="D62" s="30">
        <v>13986956489.360153</v>
      </c>
      <c r="E62" s="34">
        <f t="shared" ref="E62" si="41">C62/B62</f>
        <v>3.6085161219375079</v>
      </c>
      <c r="F62" s="43">
        <f t="shared" ref="F62" si="42">D62/B62</f>
        <v>4419.903338009155</v>
      </c>
      <c r="G62" s="43">
        <f t="shared" ref="G62" si="43">F62/E62</f>
        <v>1224.8534269083414</v>
      </c>
      <c r="H62" s="27">
        <v>0.45746581661520813</v>
      </c>
      <c r="I62" s="59">
        <f>(B62/('Consumidores Inadimplentes'!B98*1000000))</f>
        <v>4.4068884478418557E-2</v>
      </c>
    </row>
    <row r="63" spans="1:16" ht="15" thickBot="1" x14ac:dyDescent="0.4">
      <c r="A63" s="12">
        <v>45261</v>
      </c>
      <c r="B63" s="31">
        <v>3204242</v>
      </c>
      <c r="C63" s="31">
        <v>11449402</v>
      </c>
      <c r="D63" s="31">
        <v>13391700370.37022</v>
      </c>
      <c r="E63" s="35">
        <f t="shared" ref="E63" si="44">C63/B63</f>
        <v>3.5732013998942653</v>
      </c>
      <c r="F63" s="46">
        <f t="shared" ref="F63" si="45">D63/B63</f>
        <v>4179.3660935629141</v>
      </c>
      <c r="G63" s="46">
        <f t="shared" ref="G63" si="46">F63/E63</f>
        <v>1169.6419053475647</v>
      </c>
      <c r="H63" s="28">
        <v>0.46282044356342517</v>
      </c>
      <c r="I63" s="59">
        <f>(B63/('Consumidores Inadimplentes'!B99*1000000))</f>
        <v>4.5065148890321469E-2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3151225</v>
      </c>
      <c r="C64" s="29">
        <v>11139983</v>
      </c>
      <c r="D64" s="29">
        <v>14436661706.910139</v>
      </c>
      <c r="E64" s="33">
        <f t="shared" ref="E64" si="47">C64/B64</f>
        <v>3.5351277677728503</v>
      </c>
      <c r="F64" s="45">
        <f t="shared" ref="F64" si="48">D64/B64</f>
        <v>4581.2855974772156</v>
      </c>
      <c r="G64" s="45">
        <f t="shared" ref="G64" si="49">F64/E64</f>
        <v>1295.9321129044936</v>
      </c>
      <c r="H64" s="26">
        <v>0.45478450079238847</v>
      </c>
      <c r="I64" s="59">
        <f>(B64/('Consumidores Inadimplentes'!B100*1000000))</f>
        <v>4.3724615586641709E-2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3139737</v>
      </c>
      <c r="C65" s="30">
        <v>10958079</v>
      </c>
      <c r="D65" s="30">
        <v>14351503277.140129</v>
      </c>
      <c r="E65" s="34">
        <f t="shared" ref="E65" si="50">C65/B65</f>
        <v>3.4901264023069447</v>
      </c>
      <c r="F65" s="43">
        <f t="shared" ref="F65" si="51">D65/B65</f>
        <v>4570.9252963353711</v>
      </c>
      <c r="G65" s="43">
        <f t="shared" ref="G65" si="52">F65/E65</f>
        <v>1309.6732809774533</v>
      </c>
      <c r="H65" s="27">
        <v>0.45275005973484794</v>
      </c>
      <c r="I65" s="59">
        <f>(B65/('Consumidores Inadimplentes'!B101*1000000))</f>
        <v>4.358369129900732E-2</v>
      </c>
    </row>
    <row r="66" spans="1:16" x14ac:dyDescent="0.35">
      <c r="A66" s="5">
        <v>45352</v>
      </c>
      <c r="B66" s="30">
        <v>3276489</v>
      </c>
      <c r="C66" s="30">
        <v>11416582</v>
      </c>
      <c r="D66" s="30">
        <v>14634966444.020247</v>
      </c>
      <c r="E66" s="34">
        <f t="shared" ref="E66" si="53">C66/B66</f>
        <v>3.4843950338304204</v>
      </c>
      <c r="F66" s="43">
        <f t="shared" ref="F66" si="54">D66/B66</f>
        <v>4466.6612474573385</v>
      </c>
      <c r="G66" s="43">
        <f t="shared" ref="G66" si="55">F66/E66</f>
        <v>1281.9043776867934</v>
      </c>
      <c r="H66" s="27">
        <v>0.4720771854912969</v>
      </c>
      <c r="I66" s="59">
        <f>(B66/('Consumidores Inadimplentes'!B102*1000000))</f>
        <v>4.4948172655503195E-2</v>
      </c>
    </row>
    <row r="67" spans="1:16" x14ac:dyDescent="0.35">
      <c r="A67" s="5">
        <v>45383</v>
      </c>
      <c r="B67" s="30">
        <v>3246605</v>
      </c>
      <c r="C67" s="30">
        <v>11350498</v>
      </c>
      <c r="D67" s="30">
        <v>14856602400.420206</v>
      </c>
      <c r="E67" s="34">
        <f t="shared" ref="E67" si="56">C67/B67</f>
        <v>3.4961130165203342</v>
      </c>
      <c r="F67" s="43">
        <f t="shared" ref="F67" si="57">D67/B67</f>
        <v>4576.0424814291255</v>
      </c>
      <c r="G67" s="43">
        <f t="shared" ref="G67" si="58">F67/E67</f>
        <v>1308.8943234402761</v>
      </c>
      <c r="H67" s="27">
        <v>0.46738287014043345</v>
      </c>
      <c r="I67" s="59">
        <f>(B67/('Consumidores Inadimplentes'!B103*1000000))</f>
        <v>4.4219756898222419E-2</v>
      </c>
    </row>
    <row r="68" spans="1:16" x14ac:dyDescent="0.35">
      <c r="A68" s="5">
        <v>45413</v>
      </c>
      <c r="B68" s="30">
        <v>3219312</v>
      </c>
      <c r="C68" s="30">
        <v>11321783</v>
      </c>
      <c r="D68" s="30">
        <v>14856283250.499975</v>
      </c>
      <c r="E68" s="34">
        <f t="shared" ref="E68" si="59">C68/B68</f>
        <v>3.5168330997430508</v>
      </c>
      <c r="F68" s="43">
        <f t="shared" ref="F68" si="60">D68/B68</f>
        <v>4614.7385685202225</v>
      </c>
      <c r="G68" s="43">
        <f t="shared" ref="G68" si="61">F68/E68</f>
        <v>1312.1858324346947</v>
      </c>
      <c r="H68" s="27">
        <v>0.46306870732780159</v>
      </c>
      <c r="I68" s="59">
        <f>(B68/('Consumidores Inadimplentes'!B104*1000000))</f>
        <v>4.4382661238306788E-2</v>
      </c>
    </row>
    <row r="69" spans="1:16" x14ac:dyDescent="0.35">
      <c r="A69" s="5">
        <v>45444</v>
      </c>
      <c r="B69" s="30">
        <v>3203045</v>
      </c>
      <c r="C69" s="30">
        <v>11291514</v>
      </c>
      <c r="D69" s="30">
        <v>15005256802.24</v>
      </c>
      <c r="E69" s="34">
        <f t="shared" ref="E69" si="62">C69/B69</f>
        <v>3.5252436353532342</v>
      </c>
      <c r="F69" s="43">
        <f t="shared" ref="F69" si="63">D69/B69</f>
        <v>4684.6849801485769</v>
      </c>
      <c r="G69" s="43">
        <f t="shared" ref="G69" si="64">F69/E69</f>
        <v>1328.8967982716931</v>
      </c>
      <c r="H69" s="27">
        <v>0.46034604946573732</v>
      </c>
      <c r="I69" s="59">
        <f>(B69/('Consumidores Inadimplentes'!B105*1000000))</f>
        <v>4.4179241228950741E-2</v>
      </c>
    </row>
    <row r="70" spans="1:16" x14ac:dyDescent="0.35">
      <c r="A70" s="5">
        <v>45474</v>
      </c>
      <c r="B70" s="30">
        <v>3183420</v>
      </c>
      <c r="C70" s="30">
        <v>11217934</v>
      </c>
      <c r="D70" s="30">
        <v>14706344027.57</v>
      </c>
      <c r="E70" s="34">
        <f t="shared" ref="E70" si="65">C70/B70</f>
        <v>3.5238623869926053</v>
      </c>
      <c r="F70" s="43">
        <f t="shared" ref="F70" si="66">D70/B70</f>
        <v>4619.668164291862</v>
      </c>
      <c r="G70" s="43">
        <f t="shared" ref="G70" si="67">F70/E70</f>
        <v>1310.9672447324078</v>
      </c>
      <c r="H70" s="27">
        <v>0.45714536812579187</v>
      </c>
      <c r="I70" s="59">
        <f>(B70/('Consumidores Inadimplentes'!B106*1000000))</f>
        <v>4.3810051796383871E-2</v>
      </c>
    </row>
    <row r="71" spans="1:16" x14ac:dyDescent="0.35">
      <c r="A71" s="5">
        <v>45505</v>
      </c>
      <c r="B71" s="30">
        <v>3192419</v>
      </c>
      <c r="C71" s="30">
        <v>11327657</v>
      </c>
      <c r="D71" s="30">
        <v>14739395049.140038</v>
      </c>
      <c r="E71" s="34">
        <f t="shared" ref="E71:E72" si="68">C71/B71</f>
        <v>3.5482989544918757</v>
      </c>
      <c r="F71" s="43">
        <f t="shared" ref="F71:F72" si="69">D71/B71</f>
        <v>4616.9989118408448</v>
      </c>
      <c r="G71" s="43">
        <f t="shared" ref="G71:G72" si="70">F71/E71</f>
        <v>1301.1865603928543</v>
      </c>
      <c r="H71" s="27">
        <v>0.4580749944828722</v>
      </c>
      <c r="I71" s="59">
        <f>(B71/('Consumidores Inadimplentes'!B107*1000000))</f>
        <v>4.4056128863271975E-2</v>
      </c>
    </row>
    <row r="72" spans="1:16" x14ac:dyDescent="0.35">
      <c r="A72" s="5">
        <v>45536</v>
      </c>
      <c r="B72" s="30">
        <v>3214958</v>
      </c>
      <c r="C72" s="30">
        <v>11469267</v>
      </c>
      <c r="D72" s="30">
        <v>14885491318.920092</v>
      </c>
      <c r="E72" s="34">
        <f t="shared" si="68"/>
        <v>3.5674702437792343</v>
      </c>
      <c r="F72" s="43">
        <f t="shared" si="69"/>
        <v>4630.0733381027349</v>
      </c>
      <c r="G72" s="43">
        <f t="shared" si="70"/>
        <v>1297.8589929870927</v>
      </c>
      <c r="H72" s="27">
        <v>0.46094418373317481</v>
      </c>
      <c r="I72" s="59">
        <f>(B72/('Consumidores Inadimplentes'!B108*1000000))</f>
        <v>4.4257609579349537E-2</v>
      </c>
    </row>
    <row r="73" spans="1:16" x14ac:dyDescent="0.35">
      <c r="A73" s="5">
        <v>45566</v>
      </c>
      <c r="B73" s="30">
        <v>3230739</v>
      </c>
      <c r="C73" s="30">
        <v>11623482</v>
      </c>
      <c r="D73" s="30">
        <v>15073216245.200069</v>
      </c>
      <c r="E73" s="34">
        <f t="shared" ref="E73" si="71">C73/B73</f>
        <v>3.5977780934950179</v>
      </c>
      <c r="F73" s="43">
        <f t="shared" ref="F73" si="72">D73/B73</f>
        <v>4665.56297032972</v>
      </c>
      <c r="G73" s="43">
        <f t="shared" ref="G73" si="73">F73/E73</f>
        <v>1296.7900879615995</v>
      </c>
      <c r="H73" s="27">
        <v>0.46284034442917116</v>
      </c>
      <c r="I73" s="59">
        <f>(B73/('Consumidores Inadimplentes'!B109*1000000))</f>
        <v>4.4193743734097138E-2</v>
      </c>
    </row>
    <row r="74" spans="1:16" x14ac:dyDescent="0.35">
      <c r="A74" s="5">
        <v>45597</v>
      </c>
      <c r="B74" s="30">
        <v>3237141</v>
      </c>
      <c r="C74" s="30">
        <v>11548095</v>
      </c>
      <c r="D74" s="30">
        <v>15089500256.670101</v>
      </c>
      <c r="E74" s="34">
        <f t="shared" ref="E74" si="74">C74/B74</f>
        <v>3.5673747297383711</v>
      </c>
      <c r="F74" s="43">
        <f t="shared" ref="F74" si="75">D74/B74</f>
        <v>4661.3663898699815</v>
      </c>
      <c r="G74" s="43">
        <f t="shared" ref="G74" si="76">F74/E74</f>
        <v>1306.6657536736666</v>
      </c>
      <c r="H74" s="27">
        <v>0.46339065509018262</v>
      </c>
      <c r="I74" s="59">
        <f>(B74/('Consumidores Inadimplentes'!B110*1000000))</f>
        <v>4.3870360586188741E-2</v>
      </c>
    </row>
    <row r="75" spans="1:16" ht="15" thickBot="1" x14ac:dyDescent="0.4">
      <c r="A75" s="12">
        <v>45627</v>
      </c>
      <c r="B75" s="31">
        <v>3239676</v>
      </c>
      <c r="C75" s="31">
        <v>11559208</v>
      </c>
      <c r="D75" s="31">
        <v>14928115367.700043</v>
      </c>
      <c r="E75" s="35">
        <f t="shared" ref="E75" si="77">C75/B75</f>
        <v>3.5680135914826052</v>
      </c>
      <c r="F75" s="46">
        <f t="shared" ref="F75" si="78">D75/B75</f>
        <v>4607.9038051027455</v>
      </c>
      <c r="G75" s="46">
        <f t="shared" ref="G75" si="79">F75/E75</f>
        <v>1291.4479406980167</v>
      </c>
      <c r="H75" s="28">
        <v>0.46338671443269286</v>
      </c>
      <c r="I75" s="59">
        <f>(B75/('Consumidores Inadimplentes'!B111*1000000))</f>
        <v>4.4069878310897072E-2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3418105</v>
      </c>
      <c r="C76" s="29">
        <v>12134322</v>
      </c>
      <c r="D76" s="29">
        <v>15531532111.330219</v>
      </c>
      <c r="E76" s="33">
        <f t="shared" ref="E76:E77" si="80">C76/B76</f>
        <v>3.5500144085684906</v>
      </c>
      <c r="F76" s="45">
        <f t="shared" ref="F76:F77" si="81">D76/B76</f>
        <v>4543.9014048223271</v>
      </c>
      <c r="G76" s="45">
        <f t="shared" ref="G76:G77" si="82">F76/E76</f>
        <v>1279.967031642165</v>
      </c>
      <c r="H76" s="26">
        <v>0.48852152601547327</v>
      </c>
      <c r="I76" s="59">
        <f>(B76/('Consumidores Inadimplentes'!B112*1000000))</f>
        <v>4.5817312176304532E-2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3266366</v>
      </c>
      <c r="C77" s="30">
        <v>11946774</v>
      </c>
      <c r="D77" s="30">
        <v>16184999462.820137</v>
      </c>
      <c r="E77" s="34">
        <f t="shared" si="80"/>
        <v>3.6575123547085662</v>
      </c>
      <c r="F77" s="43">
        <f t="shared" si="81"/>
        <v>4955.0477389307071</v>
      </c>
      <c r="G77" s="43">
        <f t="shared" si="82"/>
        <v>1354.7589887295212</v>
      </c>
      <c r="H77" s="27">
        <v>0.4664654492225852</v>
      </c>
      <c r="I77" s="59">
        <f>(B77/('Consumidores Inadimplentes'!B113*1000000))</f>
        <v>4.3549579967635331E-2</v>
      </c>
    </row>
    <row r="78" spans="1:16" x14ac:dyDescent="0.35">
      <c r="A78" s="5">
        <v>45717</v>
      </c>
      <c r="B78" s="30">
        <v>3308245</v>
      </c>
      <c r="C78" s="30">
        <v>11970433</v>
      </c>
      <c r="D78" s="30">
        <v>16024361877.260174</v>
      </c>
      <c r="E78" s="34">
        <f t="shared" ref="E78" si="83">C78/B78</f>
        <v>3.6183635129804474</v>
      </c>
      <c r="F78" s="43">
        <f t="shared" ref="F78" si="84">D78/B78</f>
        <v>4843.7651616673411</v>
      </c>
      <c r="G78" s="43">
        <f t="shared" ref="G78" si="85">F78/E78</f>
        <v>1338.6618409927337</v>
      </c>
      <c r="H78" s="27">
        <v>0.47207237983201578</v>
      </c>
      <c r="I78" s="59">
        <f>(B78/('Consumidores Inadimplentes'!B114*1000000))</f>
        <v>4.3661943743587381E-2</v>
      </c>
    </row>
    <row r="79" spans="1:16" x14ac:dyDescent="0.35">
      <c r="A79" s="5">
        <v>45748</v>
      </c>
      <c r="B79" s="30">
        <v>3349758</v>
      </c>
      <c r="C79" s="30">
        <v>12322955</v>
      </c>
      <c r="D79" s="30">
        <v>16692363510</v>
      </c>
      <c r="E79" s="34">
        <f t="shared" ref="E79" si="86">C79/B79</f>
        <v>3.6787597790646367</v>
      </c>
      <c r="F79" s="43">
        <f t="shared" ref="F79" si="87">D79/B79</f>
        <v>4983.155054783062</v>
      </c>
      <c r="G79" s="43">
        <f t="shared" ref="G79" si="88">F79/E79</f>
        <v>1354.5747355240687</v>
      </c>
      <c r="H79" s="27">
        <v>0.47761798836438524</v>
      </c>
      <c r="I79" s="59">
        <f>(B79/('Consumidores Inadimplentes'!B115*1000000))</f>
        <v>4.3708536114816711E-2</v>
      </c>
    </row>
    <row r="80" spans="1:16" x14ac:dyDescent="0.35">
      <c r="A80" s="5">
        <v>45778</v>
      </c>
      <c r="B80" s="30">
        <v>3454198</v>
      </c>
      <c r="C80" s="30">
        <v>12702152</v>
      </c>
      <c r="D80" s="30">
        <v>16947859745</v>
      </c>
      <c r="E80" s="34">
        <f t="shared" ref="E80" si="89">C80/B80</f>
        <v>3.6773085966699073</v>
      </c>
      <c r="F80" s="43">
        <f t="shared" ref="F80" si="90">D80/B80</f>
        <v>4906.4528857349815</v>
      </c>
      <c r="G80" s="43">
        <f t="shared" ref="G80" si="91">F80/E80</f>
        <v>1334.251058009698</v>
      </c>
      <c r="H80" s="27">
        <v>0.49211976773392407</v>
      </c>
      <c r="I80" s="59">
        <f>(B80/('Consumidores Inadimplentes'!B116*1000000))</f>
        <v>4.4817643905175765E-2</v>
      </c>
    </row>
    <row r="81" spans="1:16" x14ac:dyDescent="0.35">
      <c r="A81" s="5">
        <v>45809</v>
      </c>
      <c r="B81" s="30">
        <v>3595427</v>
      </c>
      <c r="C81" s="30">
        <v>13205386</v>
      </c>
      <c r="D81" s="30">
        <v>17470878269</v>
      </c>
      <c r="E81" s="34">
        <f t="shared" ref="E81" si="92">C81/B81</f>
        <v>3.6728282899360774</v>
      </c>
      <c r="F81" s="43">
        <f t="shared" ref="F81" si="93">D81/B81</f>
        <v>4859.1942678852884</v>
      </c>
      <c r="G81" s="43">
        <f t="shared" ref="G81" si="94">F81/E81</f>
        <v>1323.0115552093666</v>
      </c>
      <c r="H81" s="27">
        <v>0.51183544743483456</v>
      </c>
      <c r="I81" s="59">
        <f>(B81/('Consumidores Inadimplentes'!B117*1000000))</f>
        <v>4.6169444801892334E-2</v>
      </c>
    </row>
    <row r="82" spans="1:16" x14ac:dyDescent="0.35">
      <c r="A82" s="5">
        <v>45839</v>
      </c>
      <c r="B82" s="30">
        <v>3477596</v>
      </c>
      <c r="C82" s="30">
        <v>12951187</v>
      </c>
      <c r="D82" s="30">
        <v>17464933115</v>
      </c>
      <c r="E82" s="34">
        <f t="shared" ref="E82" si="95">C82/B82</f>
        <v>3.7241781391512987</v>
      </c>
      <c r="F82" s="43">
        <f t="shared" ref="F82" si="96">D82/B82</f>
        <v>5022.1282503775601</v>
      </c>
      <c r="G82" s="43">
        <f t="shared" ref="G82" si="97">F82/E82</f>
        <v>1348.5198781393553</v>
      </c>
      <c r="H82" s="27">
        <v>0.49466966366805315</v>
      </c>
      <c r="I82" s="59">
        <f>(B82/('Consumidores Inadimplentes'!B118*1000000))</f>
        <v>4.4492621241604767E-2</v>
      </c>
    </row>
    <row r="83" spans="1:16" x14ac:dyDescent="0.35">
      <c r="A83" s="5">
        <v>45870</v>
      </c>
      <c r="B83" s="30">
        <v>3645164</v>
      </c>
      <c r="C83" s="30">
        <v>13489588</v>
      </c>
      <c r="D83" s="30">
        <v>17789336156</v>
      </c>
      <c r="E83" s="34">
        <f t="shared" ref="E83" si="98">C83/B83</f>
        <v>3.7006806826798466</v>
      </c>
      <c r="F83" s="43">
        <f t="shared" ref="F83" si="99">D83/B83</f>
        <v>4880.2567335790654</v>
      </c>
      <c r="G83" s="43">
        <f t="shared" ref="G83" si="100">F83/E83</f>
        <v>1318.7456989790942</v>
      </c>
      <c r="H83" s="27">
        <v>0.51810919829158153</v>
      </c>
      <c r="I83" s="59">
        <f>(B83/('Consumidores Inadimplentes'!B119*1000000))</f>
        <v>4.6229771564308179E-2</v>
      </c>
    </row>
    <row r="84" spans="1:16" x14ac:dyDescent="0.35">
      <c r="A84" s="5">
        <v>45901</v>
      </c>
      <c r="B84" s="30">
        <v>3684260</v>
      </c>
      <c r="C84" s="30">
        <v>13717957</v>
      </c>
      <c r="D84" s="30">
        <v>17919011907</v>
      </c>
      <c r="E84" s="34">
        <f>IFERROR(C84/B84,"")</f>
        <v>3.7233954715465249</v>
      </c>
      <c r="F84" s="43">
        <f>IFERROR(D84/B84,"")</f>
        <v>4863.6664912356891</v>
      </c>
      <c r="G84" s="43">
        <f>IFERROR(F84/E84,"")</f>
        <v>1306.2449391698779</v>
      </c>
      <c r="H84" s="27">
        <v>0.52326608617203618</v>
      </c>
      <c r="I84" s="59">
        <f>(B84/('Consumidores Inadimplentes'!B120*1000000))</f>
        <v>4.6537853320410771E-2</v>
      </c>
    </row>
    <row r="85" spans="1:16" x14ac:dyDescent="0.35">
      <c r="A85" s="5">
        <v>45931</v>
      </c>
      <c r="B85" s="30">
        <v>3654332</v>
      </c>
      <c r="C85" s="30">
        <v>13836024</v>
      </c>
      <c r="D85" s="30">
        <v>18251504235</v>
      </c>
      <c r="E85" s="34">
        <f t="shared" ref="E85:E87" si="101">IFERROR(C85/B85,"")</f>
        <v>3.7861978605118529</v>
      </c>
      <c r="F85" s="43">
        <f t="shared" ref="F85:F87" si="102">IFERROR(D85/B85,"")</f>
        <v>4994.4844187665485</v>
      </c>
      <c r="G85" s="43">
        <f t="shared" ref="G85:G87" si="103">IFERROR(F85/E85,"")</f>
        <v>1319.1292697237297</v>
      </c>
      <c r="H85" s="27">
        <v>0.51861898662768624</v>
      </c>
      <c r="I85" s="59">
        <f>(B85/('Consumidores Inadimplentes'!B121*1000000))</f>
        <v>4.5431247582876894E-2</v>
      </c>
    </row>
    <row r="86" spans="1:16" x14ac:dyDescent="0.35">
      <c r="A86" s="5">
        <v>45962</v>
      </c>
      <c r="B86" s="30">
        <v>3637489</v>
      </c>
      <c r="C86" s="30">
        <v>13580112</v>
      </c>
      <c r="D86" s="30">
        <v>17720290645</v>
      </c>
      <c r="E86" s="34">
        <f t="shared" si="101"/>
        <v>3.7333754136438624</v>
      </c>
      <c r="F86" s="43">
        <f t="shared" si="102"/>
        <v>4871.5722975382196</v>
      </c>
      <c r="G86" s="43">
        <f t="shared" si="103"/>
        <v>1304.8707289748422</v>
      </c>
      <c r="H86" s="27">
        <v>0.51583420818606907</v>
      </c>
      <c r="I86" s="59">
        <f>(B86/('Consumidores Inadimplentes'!B122*1000000))</f>
        <v>4.5124612910285695E-2</v>
      </c>
    </row>
    <row r="87" spans="1:16" ht="15" thickBot="1" x14ac:dyDescent="0.4">
      <c r="A87" s="12">
        <v>45992</v>
      </c>
      <c r="B87" s="31">
        <v>3707573</v>
      </c>
      <c r="C87" s="31">
        <v>13972363</v>
      </c>
      <c r="D87" s="31">
        <v>18045338470</v>
      </c>
      <c r="E87" s="35">
        <f t="shared" si="101"/>
        <v>3.7686009149381547</v>
      </c>
      <c r="F87" s="46">
        <f t="shared" si="102"/>
        <v>4867.1566197078255</v>
      </c>
      <c r="G87" s="46">
        <f t="shared" si="103"/>
        <v>1291.502265579559</v>
      </c>
      <c r="H87" s="28">
        <v>0.52537113569328853</v>
      </c>
      <c r="I87" s="59">
        <f>(B87/('Consumidores Inadimplentes'!B123*1000000))</f>
        <v>4.5632781974639235E-2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3578465</v>
      </c>
      <c r="C88" s="29">
        <v>13340434</v>
      </c>
      <c r="D88" s="29">
        <v>17606163413</v>
      </c>
      <c r="E88" s="33">
        <f t="shared" ref="E88:E89" si="104">IFERROR(C88/B88,"")</f>
        <v>3.7279766603837121</v>
      </c>
      <c r="F88" s="45">
        <f t="shared" ref="F88:F89" si="105">IFERROR(D88/B88,"")</f>
        <v>4920.032307986804</v>
      </c>
      <c r="G88" s="45">
        <f t="shared" ref="G88:G89" si="106">IFERROR(F88/E88,"")</f>
        <v>1319.7594180968924</v>
      </c>
      <c r="H88" s="26">
        <v>0.50668882516848612</v>
      </c>
      <c r="I88" s="59">
        <f>(B88/('Consumidores Inadimplentes'!B124*1000000))</f>
        <v>4.400509531970706E-2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3655105</v>
      </c>
      <c r="C89" s="30">
        <v>13761574</v>
      </c>
      <c r="D89" s="30">
        <v>18150664353</v>
      </c>
      <c r="E89" s="34">
        <f t="shared" si="104"/>
        <v>3.7650283644382307</v>
      </c>
      <c r="F89" s="43">
        <f t="shared" si="105"/>
        <v>4965.8393816319913</v>
      </c>
      <c r="G89" s="43">
        <f t="shared" si="106"/>
        <v>1318.9381064259073</v>
      </c>
      <c r="H89" s="27">
        <v>0.51714516901955065</v>
      </c>
      <c r="I89" s="59">
        <f>(B89/('Consumidores Inadimplentes'!B125*1000000))</f>
        <v>4.4720657227710167E-2</v>
      </c>
    </row>
    <row r="90" spans="1:16" x14ac:dyDescent="0.35">
      <c r="A90" s="5">
        <v>46082</v>
      </c>
      <c r="B90" s="30">
        <v>3768231</v>
      </c>
      <c r="C90" s="30">
        <v>14390338</v>
      </c>
      <c r="D90" s="30">
        <v>18876610861</v>
      </c>
      <c r="E90" s="34">
        <f t="shared" ref="E90" si="107">IFERROR(C90/B90,"")</f>
        <v>3.8188577080332919</v>
      </c>
      <c r="F90" s="43">
        <f t="shared" ref="F90" si="108">IFERROR(D90/B90,"")</f>
        <v>5009.409152729756</v>
      </c>
      <c r="G90" s="43">
        <f t="shared" ref="G90" si="109">IFERROR(F90/E90,"")</f>
        <v>1311.7559060113808</v>
      </c>
      <c r="H90" s="27">
        <v>0.53274355300353227</v>
      </c>
      <c r="I90" s="59">
        <f>(B90/('Consumidores Inadimplentes'!B126*1000000))</f>
        <v>4.5492184944673462E-2</v>
      </c>
    </row>
    <row r="91" spans="1:16" x14ac:dyDescent="0.35">
      <c r="A91" s="5">
        <v>46113</v>
      </c>
      <c r="B91" s="30">
        <v>3762991</v>
      </c>
      <c r="C91" s="30">
        <v>14515687</v>
      </c>
      <c r="D91" s="30">
        <v>19171346047</v>
      </c>
      <c r="E91" s="34">
        <f t="shared" ref="E91" si="110">IFERROR(C91/B91,"")</f>
        <v>3.8574865047511406</v>
      </c>
      <c r="F91" s="43">
        <f t="shared" ref="F91" si="111">IFERROR(D91/B91,"")</f>
        <v>5094.7095135226209</v>
      </c>
      <c r="G91" s="43">
        <f t="shared" ref="G91" si="112">IFERROR(F91/E91,"")</f>
        <v>1320.7329454678929</v>
      </c>
      <c r="H91" s="27">
        <v>0.53159629155957844</v>
      </c>
      <c r="I91" s="59">
        <f>(B91/('Consumidores Inadimplentes'!B127*1000000))</f>
        <v>4.5125644100257024E-2</v>
      </c>
    </row>
    <row r="92" spans="1:16" x14ac:dyDescent="0.35">
      <c r="A92" s="5">
        <v>46143</v>
      </c>
      <c r="B92" s="30">
        <v>3714610</v>
      </c>
      <c r="C92" s="30">
        <v>14393392</v>
      </c>
      <c r="D92" s="30">
        <v>19214312741</v>
      </c>
      <c r="E92" s="34">
        <f t="shared" ref="E92" si="113">IFERROR(C92/B92,"")</f>
        <v>3.8748056996562221</v>
      </c>
      <c r="F92" s="43">
        <f t="shared" ref="F92" si="114">IFERROR(D92/B92,"")</f>
        <v>5172.632588885509</v>
      </c>
      <c r="G92" s="43">
        <f t="shared" ref="G92" si="115">IFERROR(F92/E92,"")</f>
        <v>1334.939862750907</v>
      </c>
      <c r="H92" s="27">
        <v>0.52436062576977238</v>
      </c>
      <c r="I92" s="59">
        <f>(B92/('Consumidores Inadimplentes'!B128*1000000))</f>
        <v>4.4484831091864824E-2</v>
      </c>
    </row>
    <row r="93" spans="1:16" x14ac:dyDescent="0.35">
      <c r="A93" s="5">
        <v>46174</v>
      </c>
      <c r="B93" s="30">
        <v>3732833</v>
      </c>
      <c r="C93" s="30">
        <v>14424032</v>
      </c>
      <c r="D93" s="30">
        <v>19341291105</v>
      </c>
      <c r="E93" s="34">
        <f t="shared" ref="E93" si="116">IFERROR(C93/B93,"")</f>
        <v>3.8640978581147349</v>
      </c>
      <c r="F93" s="43">
        <f t="shared" ref="F93" si="117">IFERROR(D93/B93,"")</f>
        <v>5181.3973743266843</v>
      </c>
      <c r="G93" s="43">
        <f t="shared" ref="G93" si="118">IFERROR(F93/E93,"")</f>
        <v>1340.9073901804986</v>
      </c>
      <c r="H93" s="27">
        <v>0.52653046600947795</v>
      </c>
      <c r="I93" s="59">
        <f>(B93/('Consumidores Inadimplentes'!B129*1000000))</f>
        <v>4.4577744191906736E-2</v>
      </c>
    </row>
    <row r="94" spans="1:16" x14ac:dyDescent="0.35">
      <c r="A94" s="5">
        <v>46204</v>
      </c>
      <c r="B94" s="30">
        <v>3735018</v>
      </c>
      <c r="C94" s="30">
        <v>14521040</v>
      </c>
      <c r="D94" s="30">
        <v>19416651813</v>
      </c>
      <c r="E94" s="34">
        <f t="shared" ref="E94" si="119">IFERROR(C94/B94,"")</f>
        <v>3.8878099114917251</v>
      </c>
      <c r="F94" s="43">
        <f t="shared" ref="F94" si="120">IFERROR(D94/B94,"")</f>
        <v>5198.5430359371758</v>
      </c>
      <c r="G94" s="43">
        <f t="shared" ref="G94" si="121">IFERROR(F94/E94,"")</f>
        <v>1337.139200291439</v>
      </c>
      <c r="H94" s="27">
        <v>0.52643605354991663</v>
      </c>
      <c r="I94" s="59">
        <f>(B94/('Consumidores Inadimplentes'!B130*1000000))</f>
        <v>4.4500567710129058E-2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A1D7-1853-4D67-A9C2-3B8F5CCA02A1}">
  <sheetPr codeName="Planilha10"/>
  <dimension ref="A1:P99"/>
  <sheetViews>
    <sheetView zoomScale="90" zoomScaleNormal="90" workbookViewId="0">
      <pane xSplit="1" ySplit="3" topLeftCell="B79" activePane="bottomRight" state="frozen"/>
      <selection activeCell="H93" sqref="H93"/>
      <selection pane="topRight" activeCell="H93" sqref="H93"/>
      <selection pane="bottomLeft" activeCell="H93" sqref="H93"/>
      <selection pane="bottomRight" activeCell="K89" sqref="K89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26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1008153</v>
      </c>
      <c r="C4" s="29">
        <v>4059765</v>
      </c>
      <c r="D4" s="29">
        <v>6109757142.2900181</v>
      </c>
      <c r="E4" s="33">
        <f t="shared" ref="E4:E33" si="0">C4/B4</f>
        <v>4.0269334118928377</v>
      </c>
      <c r="F4" s="45">
        <f>D4/B4</f>
        <v>6060.3471321218285</v>
      </c>
      <c r="G4" s="45">
        <f t="shared" ref="G4" si="1">F4/E4</f>
        <v>1504.9534005761461</v>
      </c>
      <c r="H4" s="26">
        <v>0.47377715058505321</v>
      </c>
      <c r="I4" s="58">
        <f>(B4/('Consumidores Inadimplentes'!B40*1000000))</f>
        <v>1.6214402544348465E-2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1016249</v>
      </c>
      <c r="C5" s="30">
        <v>4085729</v>
      </c>
      <c r="D5" s="30">
        <v>6087260238.6200171</v>
      </c>
      <c r="E5" s="34">
        <f t="shared" si="0"/>
        <v>4.0204014960900327</v>
      </c>
      <c r="F5" s="43">
        <f t="shared" ref="F5:F47" si="2">D5/B5</f>
        <v>5989.9298681917689</v>
      </c>
      <c r="G5" s="43">
        <f t="shared" ref="G5:G47" si="3">F5/E5</f>
        <v>1489.8835039279447</v>
      </c>
      <c r="H5" s="27">
        <v>0.47691636218762612</v>
      </c>
      <c r="I5" s="59">
        <f>(B5/('Consumidores Inadimplentes'!B41*1000000))</f>
        <v>1.63455291769149E-2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1027167</v>
      </c>
      <c r="C6" s="30">
        <v>4134193</v>
      </c>
      <c r="D6" s="30">
        <v>6240208434.4700232</v>
      </c>
      <c r="E6" s="34">
        <f t="shared" si="0"/>
        <v>4.0248499026935249</v>
      </c>
      <c r="F6" s="43">
        <f t="shared" si="2"/>
        <v>6075.1644420722469</v>
      </c>
      <c r="G6" s="43">
        <f t="shared" si="3"/>
        <v>1509.4139133006186</v>
      </c>
      <c r="H6" s="27">
        <v>0.48130612643269333</v>
      </c>
      <c r="I6" s="59">
        <f>(B6/('Consumidores Inadimplentes'!B42*1000000))</f>
        <v>1.6314575580040947E-2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1010975</v>
      </c>
      <c r="C7" s="30">
        <v>4135682</v>
      </c>
      <c r="D7" s="30">
        <v>6230305602.8100176</v>
      </c>
      <c r="E7" s="34">
        <f t="shared" si="0"/>
        <v>4.0907856277356016</v>
      </c>
      <c r="F7" s="43">
        <f t="shared" si="2"/>
        <v>6162.670296308037</v>
      </c>
      <c r="G7" s="43">
        <f t="shared" si="3"/>
        <v>1506.4759821499858</v>
      </c>
      <c r="H7" s="27">
        <v>0.47276305257020951</v>
      </c>
      <c r="I7" s="59">
        <f>(B7/('Consumidores Inadimplentes'!B43*1000000))</f>
        <v>1.5995072193510543E-2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1017812</v>
      </c>
      <c r="C8" s="30">
        <v>4150563</v>
      </c>
      <c r="D8" s="30">
        <v>6284003140.3399982</v>
      </c>
      <c r="E8" s="34">
        <f t="shared" si="0"/>
        <v>4.07792696490118</v>
      </c>
      <c r="F8" s="43">
        <f t="shared" si="2"/>
        <v>6174.0312949149729</v>
      </c>
      <c r="G8" s="43">
        <f t="shared" si="3"/>
        <v>1514.0122292662463</v>
      </c>
      <c r="H8" s="27">
        <v>0.47242544666470071</v>
      </c>
      <c r="I8" s="59">
        <f>(B8/('Consumidores Inadimplentes'!B44*1000000))</f>
        <v>1.6060246452921475E-2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1017735</v>
      </c>
      <c r="C9" s="30">
        <v>4216144</v>
      </c>
      <c r="D9" s="30">
        <v>6299605102.8500042</v>
      </c>
      <c r="E9" s="34">
        <f t="shared" si="0"/>
        <v>4.1426736822453778</v>
      </c>
      <c r="F9" s="43">
        <f t="shared" si="2"/>
        <v>6189.828494500046</v>
      </c>
      <c r="G9" s="43">
        <f t="shared" si="3"/>
        <v>1494.1627000524661</v>
      </c>
      <c r="H9" s="27">
        <v>0.47627122051287807</v>
      </c>
      <c r="I9" s="59">
        <f>(B9/('Consumidores Inadimplentes'!B45*1000000))</f>
        <v>1.6039805845119055E-2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1019025</v>
      </c>
      <c r="C10" s="30">
        <v>4407968</v>
      </c>
      <c r="D10" s="30">
        <v>6302947858.1199875</v>
      </c>
      <c r="E10" s="34">
        <f t="shared" si="0"/>
        <v>4.3256720885159838</v>
      </c>
      <c r="F10" s="43">
        <f t="shared" si="2"/>
        <v>6185.2730385613577</v>
      </c>
      <c r="G10" s="43">
        <f t="shared" si="3"/>
        <v>1429.8987329581309</v>
      </c>
      <c r="H10" s="27">
        <v>0.47609502317587188</v>
      </c>
      <c r="I10" s="59">
        <f>(B10/('Consumidores Inadimplentes'!B46*1000000))</f>
        <v>1.6056900730512757E-2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1023445</v>
      </c>
      <c r="C11" s="30">
        <v>4634465</v>
      </c>
      <c r="D11" s="30">
        <v>6356691544.1200132</v>
      </c>
      <c r="E11" s="34">
        <f t="shared" si="0"/>
        <v>4.5282990292590224</v>
      </c>
      <c r="F11" s="43">
        <f t="shared" si="2"/>
        <v>6211.0729390636652</v>
      </c>
      <c r="G11" s="43">
        <f t="shared" si="3"/>
        <v>1371.6128062505625</v>
      </c>
      <c r="H11" s="27">
        <v>0.47731478631378454</v>
      </c>
      <c r="I11" s="59">
        <f>(B11/('Consumidores Inadimplentes'!B47*1000000))</f>
        <v>1.6135555027256995E-2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1027015</v>
      </c>
      <c r="C12" s="30">
        <v>4624838</v>
      </c>
      <c r="D12" s="30">
        <v>6277293718.2500391</v>
      </c>
      <c r="E12" s="34">
        <f t="shared" si="0"/>
        <v>4.5031844715023635</v>
      </c>
      <c r="F12" s="43">
        <f t="shared" si="2"/>
        <v>6112.1733550630115</v>
      </c>
      <c r="G12" s="43">
        <f t="shared" si="3"/>
        <v>1357.3002380299677</v>
      </c>
      <c r="H12" s="27">
        <v>0.4784201650921423</v>
      </c>
      <c r="I12" s="59">
        <f>(B12/('Consumidores Inadimplentes'!B48*1000000))</f>
        <v>1.6248538186884855E-2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1044739</v>
      </c>
      <c r="C13" s="30">
        <v>4839724</v>
      </c>
      <c r="D13" s="30">
        <v>6368563338.5300093</v>
      </c>
      <c r="E13" s="34">
        <f t="shared" si="0"/>
        <v>4.6324718422495952</v>
      </c>
      <c r="F13" s="43">
        <f t="shared" si="2"/>
        <v>6095.841486275528</v>
      </c>
      <c r="G13" s="43">
        <f t="shared" si="3"/>
        <v>1315.8939101754581</v>
      </c>
      <c r="H13" s="27">
        <v>0.48610825473783148</v>
      </c>
      <c r="I13" s="59">
        <f>(B13/('Consumidores Inadimplentes'!B49*1000000))</f>
        <v>1.6362034918257874E-2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1055497</v>
      </c>
      <c r="C14" s="30">
        <v>4899984</v>
      </c>
      <c r="D14" s="30">
        <v>6408089036.8300123</v>
      </c>
      <c r="E14" s="34">
        <f t="shared" si="0"/>
        <v>4.6423476333897682</v>
      </c>
      <c r="F14" s="43">
        <f t="shared" si="2"/>
        <v>6071.157982287029</v>
      </c>
      <c r="G14" s="43">
        <f t="shared" si="3"/>
        <v>1307.7775431164698</v>
      </c>
      <c r="H14" s="27">
        <v>0.49054028367297903</v>
      </c>
      <c r="I14" s="59">
        <f>(B14/('Consumidores Inadimplentes'!B50*1000000))</f>
        <v>1.6533223619040364E-2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1062155</v>
      </c>
      <c r="C15" s="31">
        <v>5051904</v>
      </c>
      <c r="D15" s="31">
        <v>6478727476.8800106</v>
      </c>
      <c r="E15" s="35">
        <f t="shared" si="0"/>
        <v>4.7562775677749478</v>
      </c>
      <c r="F15" s="43">
        <f t="shared" si="2"/>
        <v>6099.6064386836297</v>
      </c>
      <c r="G15" s="43">
        <f t="shared" si="3"/>
        <v>1282.4328167914534</v>
      </c>
      <c r="H15" s="27">
        <v>0.49305804098840461</v>
      </c>
      <c r="I15" s="59">
        <f>(B15/('Consumidores Inadimplentes'!B51*1000000))</f>
        <v>1.6777753569597764E-2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1071624</v>
      </c>
      <c r="C16" s="29">
        <v>5084733</v>
      </c>
      <c r="D16" s="29">
        <v>6472368064.9000225</v>
      </c>
      <c r="E16" s="33">
        <f t="shared" si="0"/>
        <v>4.7448853329152758</v>
      </c>
      <c r="F16" s="45">
        <f t="shared" si="2"/>
        <v>6039.7752055758574</v>
      </c>
      <c r="G16" s="45">
        <f t="shared" si="3"/>
        <v>1272.9022477483131</v>
      </c>
      <c r="H16" s="26">
        <v>0.49687259184935767</v>
      </c>
      <c r="I16" s="59">
        <f>(B16/('Consumidores Inadimplentes'!B52*1000000))</f>
        <v>1.6801259784053144E-2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1069967</v>
      </c>
      <c r="C17" s="30">
        <v>5029698</v>
      </c>
      <c r="D17" s="30">
        <v>6412086222.8600197</v>
      </c>
      <c r="E17" s="34">
        <f t="shared" si="0"/>
        <v>4.7007973143096935</v>
      </c>
      <c r="F17" s="43">
        <f t="shared" si="2"/>
        <v>5992.7887709247289</v>
      </c>
      <c r="G17" s="43">
        <f t="shared" si="3"/>
        <v>1274.8451741754714</v>
      </c>
      <c r="H17" s="27">
        <v>0.49552485573761379</v>
      </c>
      <c r="I17" s="59">
        <f>(B17/('Consumidores Inadimplentes'!B53*1000000))</f>
        <v>1.6747098260525426E-2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1084971</v>
      </c>
      <c r="C18" s="30">
        <v>5016290</v>
      </c>
      <c r="D18" s="30">
        <v>6460107417.0100336</v>
      </c>
      <c r="E18" s="34">
        <f t="shared" si="0"/>
        <v>4.6234323313710686</v>
      </c>
      <c r="F18" s="43">
        <f t="shared" si="2"/>
        <v>5954.1751963969855</v>
      </c>
      <c r="G18" s="43">
        <f t="shared" si="3"/>
        <v>1287.8257471178968</v>
      </c>
      <c r="H18" s="27">
        <v>0.50188663534995381</v>
      </c>
      <c r="I18" s="59">
        <f>(B18/('Consumidores Inadimplentes'!B54*1000000))</f>
        <v>1.6740112982582333E-2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1110171</v>
      </c>
      <c r="C19" s="30">
        <v>5083995</v>
      </c>
      <c r="D19" s="30">
        <v>6424696732.8000422</v>
      </c>
      <c r="E19" s="34">
        <f t="shared" si="0"/>
        <v>4.5794701897275285</v>
      </c>
      <c r="F19" s="43">
        <f t="shared" si="2"/>
        <v>5787.1235447512518</v>
      </c>
      <c r="G19" s="43">
        <f t="shared" si="3"/>
        <v>1263.7102776064969</v>
      </c>
      <c r="H19" s="27">
        <v>0.51294383021309764</v>
      </c>
      <c r="I19" s="59">
        <f>(B19/('Consumidores Inadimplentes'!B55*1000000))</f>
        <v>1.6844096185791319E-2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1104989</v>
      </c>
      <c r="C20" s="30">
        <v>5071464</v>
      </c>
      <c r="D20" s="30">
        <v>6315247019.6600571</v>
      </c>
      <c r="E20" s="34">
        <f t="shared" si="0"/>
        <v>4.5896058693796951</v>
      </c>
      <c r="F20" s="43">
        <f t="shared" si="2"/>
        <v>5715.2125674192748</v>
      </c>
      <c r="G20" s="43">
        <f t="shared" si="3"/>
        <v>1245.2512764874318</v>
      </c>
      <c r="H20" s="27">
        <v>0.50995318537005896</v>
      </c>
      <c r="I20" s="59">
        <f>(B20/('Consumidores Inadimplentes'!B56*1000000))</f>
        <v>1.6939385049438125E-2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1094355</v>
      </c>
      <c r="C21" s="30">
        <v>5069289</v>
      </c>
      <c r="D21" s="30">
        <v>6245132484.6400261</v>
      </c>
      <c r="E21" s="34">
        <f t="shared" si="0"/>
        <v>4.6322162369614981</v>
      </c>
      <c r="F21" s="43">
        <f t="shared" si="2"/>
        <v>5706.6788059085275</v>
      </c>
      <c r="G21" s="43">
        <f t="shared" si="3"/>
        <v>1231.9543203474936</v>
      </c>
      <c r="H21" s="27">
        <v>0.50386617161989689</v>
      </c>
      <c r="I21" s="59">
        <f>(B21/('Consumidores Inadimplentes'!B57*1000000))</f>
        <v>1.7099112258022339E-2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1080680</v>
      </c>
      <c r="C22" s="30">
        <v>4991183</v>
      </c>
      <c r="D22" s="30">
        <v>6262288696.8700266</v>
      </c>
      <c r="E22" s="34">
        <f t="shared" si="0"/>
        <v>4.618557759928934</v>
      </c>
      <c r="F22" s="43">
        <f t="shared" si="2"/>
        <v>5794.7669031258347</v>
      </c>
      <c r="G22" s="43">
        <f t="shared" si="3"/>
        <v>1254.670224848503</v>
      </c>
      <c r="H22" s="27">
        <v>0.49706410760001951</v>
      </c>
      <c r="I22" s="59">
        <f>(B22/('Consumidores Inadimplentes'!B58*1000000))</f>
        <v>1.7017744653739651E-2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1064683</v>
      </c>
      <c r="C23" s="30">
        <v>4919550</v>
      </c>
      <c r="D23" s="30">
        <v>6194307755.2000103</v>
      </c>
      <c r="E23" s="34">
        <f t="shared" si="0"/>
        <v>4.6206711293408462</v>
      </c>
      <c r="F23" s="43">
        <f t="shared" si="2"/>
        <v>5817.9831510412114</v>
      </c>
      <c r="G23" s="43">
        <f t="shared" si="3"/>
        <v>1259.120804789058</v>
      </c>
      <c r="H23" s="27">
        <v>0.48920847772726478</v>
      </c>
      <c r="I23" s="59">
        <f>(B23/('Consumidores Inadimplentes'!B59*1000000))</f>
        <v>1.6886212879337812E-2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1058041</v>
      </c>
      <c r="C24" s="30">
        <v>4820838</v>
      </c>
      <c r="D24" s="30">
        <v>6131253571.4000111</v>
      </c>
      <c r="E24" s="34">
        <f t="shared" si="0"/>
        <v>4.5563810854210756</v>
      </c>
      <c r="F24" s="43">
        <f t="shared" si="2"/>
        <v>5794.9111342566221</v>
      </c>
      <c r="G24" s="43">
        <f t="shared" si="3"/>
        <v>1271.8231916110872</v>
      </c>
      <c r="H24" s="27">
        <v>0.48566249508848081</v>
      </c>
      <c r="I24" s="59">
        <f>(B24/('Consumidores Inadimplentes'!B60*1000000))</f>
        <v>1.685764029076104E-2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1040897</v>
      </c>
      <c r="C25" s="30">
        <v>4719772</v>
      </c>
      <c r="D25" s="30">
        <v>6065566682.0500193</v>
      </c>
      <c r="E25" s="34">
        <f t="shared" si="0"/>
        <v>4.5343314468194258</v>
      </c>
      <c r="F25" s="43">
        <f t="shared" si="2"/>
        <v>5827.2496529916207</v>
      </c>
      <c r="G25" s="43">
        <f t="shared" si="3"/>
        <v>1285.1397656602944</v>
      </c>
      <c r="H25" s="27">
        <v>0.47730731682264377</v>
      </c>
      <c r="I25" s="59">
        <f>(B25/('Consumidores Inadimplentes'!B61*1000000))</f>
        <v>1.6713239830335961E-2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1041457</v>
      </c>
      <c r="C26" s="30">
        <v>4699450</v>
      </c>
      <c r="D26" s="30">
        <v>6043402485.3300114</v>
      </c>
      <c r="E26" s="34">
        <f t="shared" si="0"/>
        <v>4.5123802518971017</v>
      </c>
      <c r="F26" s="43">
        <f t="shared" si="2"/>
        <v>5802.8343804209017</v>
      </c>
      <c r="G26" s="43">
        <f t="shared" si="3"/>
        <v>1285.9808031429234</v>
      </c>
      <c r="H26" s="27">
        <v>0.47707866465596693</v>
      </c>
      <c r="I26" s="59">
        <f>(B26/('Consumidores Inadimplentes'!B62*1000000))</f>
        <v>1.6811604608891129E-2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1021300</v>
      </c>
      <c r="C27" s="31">
        <v>4574903</v>
      </c>
      <c r="D27" s="31">
        <v>5924764822.5200129</v>
      </c>
      <c r="E27" s="35">
        <f t="shared" si="0"/>
        <v>4.4794898658572411</v>
      </c>
      <c r="F27" s="46">
        <f t="shared" si="2"/>
        <v>5801.1992779007278</v>
      </c>
      <c r="G27" s="46">
        <f t="shared" si="3"/>
        <v>1295.058020360216</v>
      </c>
      <c r="H27" s="28">
        <v>0.46736948273597628</v>
      </c>
      <c r="I27" s="59">
        <f>(B27/('Consumidores Inadimplentes'!B63*1000000))</f>
        <v>1.6644045725054346E-2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1031409</v>
      </c>
      <c r="C28" s="29">
        <v>4573081</v>
      </c>
      <c r="D28" s="29">
        <v>5940893154.4000072</v>
      </c>
      <c r="E28" s="33">
        <f t="shared" si="0"/>
        <v>4.433819173577116</v>
      </c>
      <c r="F28" s="45">
        <f t="shared" si="2"/>
        <v>5759.9780052336246</v>
      </c>
      <c r="G28" s="45">
        <f t="shared" si="3"/>
        <v>1299.100793185165</v>
      </c>
      <c r="H28" s="26">
        <v>0.4715159145518581</v>
      </c>
      <c r="I28" s="59">
        <f>(B28/('Consumidores Inadimplentes'!B64*1000000))</f>
        <v>1.6724823866715376E-2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1030375</v>
      </c>
      <c r="C29" s="30">
        <v>4548896</v>
      </c>
      <c r="D29" s="30">
        <v>5965732307.7000122</v>
      </c>
      <c r="E29" s="34">
        <f t="shared" si="0"/>
        <v>4.4147965546524324</v>
      </c>
      <c r="F29" s="43">
        <f t="shared" si="2"/>
        <v>5789.8651536576608</v>
      </c>
      <c r="G29" s="43">
        <f t="shared" si="3"/>
        <v>1311.4681689139545</v>
      </c>
      <c r="H29" s="27">
        <v>0.47056435297201665</v>
      </c>
      <c r="I29" s="59">
        <f>(B29/('Consumidores Inadimplentes'!B65*1000000))</f>
        <v>1.6739089407507471E-2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1050031</v>
      </c>
      <c r="C30" s="30">
        <v>4578001</v>
      </c>
      <c r="D30" s="30">
        <v>6022574084.5100203</v>
      </c>
      <c r="E30" s="34">
        <f t="shared" si="0"/>
        <v>4.3598722323436165</v>
      </c>
      <c r="F30" s="43">
        <f t="shared" si="2"/>
        <v>5735.6155051708192</v>
      </c>
      <c r="G30" s="43">
        <f t="shared" si="3"/>
        <v>1315.5466948368994</v>
      </c>
      <c r="H30" s="27">
        <v>0.47905365516272286</v>
      </c>
      <c r="I30" s="59">
        <f>(B30/('Consumidores Inadimplentes'!B66*1000000))</f>
        <v>1.6785098559108969E-2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1044169</v>
      </c>
      <c r="C31" s="30">
        <v>4605398</v>
      </c>
      <c r="D31" s="30">
        <v>6097100018.490015</v>
      </c>
      <c r="E31" s="34">
        <f t="shared" si="0"/>
        <v>4.4105867919848221</v>
      </c>
      <c r="F31" s="43">
        <f t="shared" si="2"/>
        <v>5839.188884644167</v>
      </c>
      <c r="G31" s="43">
        <f t="shared" si="3"/>
        <v>1323.9029544221837</v>
      </c>
      <c r="H31" s="27">
        <v>0.47589507573893086</v>
      </c>
      <c r="I31" s="59">
        <f>(B31/('Consumidores Inadimplentes'!B67*1000000))</f>
        <v>1.6578960588662348E-2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1037513</v>
      </c>
      <c r="C32" s="30">
        <v>4599743</v>
      </c>
      <c r="D32" s="30">
        <v>6153569555.780014</v>
      </c>
      <c r="E32" s="34">
        <f t="shared" si="0"/>
        <v>4.433431677482595</v>
      </c>
      <c r="F32" s="43">
        <f t="shared" si="2"/>
        <v>5931.0770619549003</v>
      </c>
      <c r="G32" s="43">
        <f t="shared" si="3"/>
        <v>1337.8072548357625</v>
      </c>
      <c r="H32" s="27">
        <v>0.47238097059300255</v>
      </c>
      <c r="I32" s="59">
        <f>(B32/('Consumidores Inadimplentes'!B68*1000000))</f>
        <v>1.6584603877903357E-2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1032236</v>
      </c>
      <c r="C33" s="30">
        <v>4577326</v>
      </c>
      <c r="D33" s="30">
        <v>6079854654.4500046</v>
      </c>
      <c r="E33" s="34">
        <f t="shared" si="0"/>
        <v>4.4343793473585498</v>
      </c>
      <c r="F33" s="43">
        <f t="shared" si="2"/>
        <v>5889.9850949298461</v>
      </c>
      <c r="G33" s="43">
        <f t="shared" si="3"/>
        <v>1328.2546741154124</v>
      </c>
      <c r="H33" s="27">
        <v>0.46950058287542479</v>
      </c>
      <c r="I33" s="59">
        <f>(B33/('Consumidores Inadimplentes'!B69*1000000))</f>
        <v>1.6513283947292946E-2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1037812</v>
      </c>
      <c r="C34" s="30">
        <v>4640993</v>
      </c>
      <c r="D34" s="30">
        <v>6093017164.9200191</v>
      </c>
      <c r="E34" s="34">
        <f>C34/B34</f>
        <v>4.4719014619218127</v>
      </c>
      <c r="F34" s="43">
        <f t="shared" si="2"/>
        <v>5871.0220781027965</v>
      </c>
      <c r="G34" s="43">
        <f t="shared" si="3"/>
        <v>1312.8692857153671</v>
      </c>
      <c r="H34" s="27">
        <v>0.4720369765603466</v>
      </c>
      <c r="I34" s="59">
        <f>(B34/('Consumidores Inadimplentes'!B70*1000000))</f>
        <v>1.6678714050980734E-2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1076589</v>
      </c>
      <c r="C35" s="30">
        <v>4848577</v>
      </c>
      <c r="D35" s="30">
        <v>6198066901.1099997</v>
      </c>
      <c r="E35" s="34">
        <f>C35/B35</f>
        <v>4.5036471671176281</v>
      </c>
      <c r="F35" s="43">
        <f t="shared" si="2"/>
        <v>5757.1337818889097</v>
      </c>
      <c r="G35" s="43">
        <f t="shared" si="3"/>
        <v>1278.3270021513526</v>
      </c>
      <c r="H35" s="27">
        <v>0.48919742357632146</v>
      </c>
      <c r="I35" s="59">
        <f>(B35/('Consumidores Inadimplentes'!B71*1000000))</f>
        <v>1.7294948308604726E-2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1073702</v>
      </c>
      <c r="C36" s="30">
        <v>4857258</v>
      </c>
      <c r="D36" s="30">
        <v>6264652891.8000107</v>
      </c>
      <c r="E36" s="34">
        <f>C36/B36</f>
        <v>4.523841810856271</v>
      </c>
      <c r="F36" s="43">
        <f t="shared" si="2"/>
        <v>5834.6290607636111</v>
      </c>
      <c r="G36" s="43">
        <f t="shared" si="3"/>
        <v>1289.7509030403596</v>
      </c>
      <c r="H36" s="27">
        <v>0.48741051446522038</v>
      </c>
      <c r="I36" s="59">
        <f>(B36/('Consumidores Inadimplentes'!B72*1000000))</f>
        <v>1.7259240315144107E-2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1102718</v>
      </c>
      <c r="C37" s="30">
        <v>5029053</v>
      </c>
      <c r="D37" s="30">
        <v>6533145531.1800175</v>
      </c>
      <c r="E37" s="34">
        <f>C37/B37</f>
        <v>4.5605975417105737</v>
      </c>
      <c r="F37" s="43">
        <f t="shared" si="2"/>
        <v>5924.58410144753</v>
      </c>
      <c r="G37" s="43">
        <f t="shared" si="3"/>
        <v>1299.0806681059071</v>
      </c>
      <c r="H37" s="27">
        <v>0.50009501060536043</v>
      </c>
      <c r="I37" s="59">
        <f>(B37/('Consumidores Inadimplentes'!B73*1000000))</f>
        <v>1.739164501473487E-2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1097500</v>
      </c>
      <c r="C38" s="30">
        <v>4484802</v>
      </c>
      <c r="D38" s="30">
        <v>6011071047.3400345</v>
      </c>
      <c r="E38" s="34">
        <f t="shared" ref="E38:E47" si="4">C38/B38</f>
        <v>4.086379954441913</v>
      </c>
      <c r="F38" s="43">
        <f t="shared" si="2"/>
        <v>5477.0579019043598</v>
      </c>
      <c r="G38" s="43">
        <f t="shared" si="3"/>
        <v>1340.3202744156899</v>
      </c>
      <c r="H38" s="27">
        <v>0.49724375183209968</v>
      </c>
      <c r="I38" s="59">
        <f>(B38/('Consumidores Inadimplentes'!B74*1000000))</f>
        <v>1.7076484133184439E-2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1055643</v>
      </c>
      <c r="C39" s="31">
        <v>4312121</v>
      </c>
      <c r="D39" s="31">
        <v>5791574937.760005</v>
      </c>
      <c r="E39" s="35">
        <f t="shared" si="4"/>
        <v>4.0848288673348847</v>
      </c>
      <c r="F39" s="46">
        <f t="shared" si="2"/>
        <v>5486.3007074929737</v>
      </c>
      <c r="G39" s="46">
        <f t="shared" si="3"/>
        <v>1343.0919349804901</v>
      </c>
      <c r="H39" s="28">
        <v>0.47781375165831641</v>
      </c>
      <c r="I39" s="59">
        <f>(B39/('Consumidores Inadimplentes'!B75*1000000))</f>
        <v>1.6501936960228794E-2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1139865</v>
      </c>
      <c r="C40" s="29">
        <v>5292402</v>
      </c>
      <c r="D40" s="29">
        <v>6771451774.7600088</v>
      </c>
      <c r="E40" s="33">
        <f t="shared" si="4"/>
        <v>4.6430077245989656</v>
      </c>
      <c r="F40" s="45">
        <f t="shared" si="2"/>
        <v>5940.5734668228333</v>
      </c>
      <c r="G40" s="45">
        <f t="shared" si="3"/>
        <v>1279.4666343864296</v>
      </c>
      <c r="H40" s="26">
        <v>0.51543247419254046</v>
      </c>
      <c r="I40" s="59">
        <f>(B40/('Consumidores Inadimplentes'!B76*1000000))</f>
        <v>1.758577575461864E-2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1152961</v>
      </c>
      <c r="C41" s="30">
        <v>5381573</v>
      </c>
      <c r="D41" s="30">
        <v>6886770808.4600019</v>
      </c>
      <c r="E41" s="34">
        <f t="shared" si="4"/>
        <v>4.6676106130216031</v>
      </c>
      <c r="F41" s="43">
        <f t="shared" si="2"/>
        <v>5973.1168777261346</v>
      </c>
      <c r="G41" s="43">
        <f t="shared" si="3"/>
        <v>1279.6947673960756</v>
      </c>
      <c r="H41" s="27">
        <v>0.52084653751825627</v>
      </c>
      <c r="I41" s="59">
        <f>(B41/('Consumidores Inadimplentes'!B77*1000000))</f>
        <v>1.769182305994926E-2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1167806</v>
      </c>
      <c r="C42" s="30">
        <v>5481228</v>
      </c>
      <c r="D42" s="30">
        <v>6980176408.9700499</v>
      </c>
      <c r="E42" s="34">
        <f t="shared" si="4"/>
        <v>4.6936117814088982</v>
      </c>
      <c r="F42" s="43">
        <f t="shared" si="2"/>
        <v>5977.1712159126173</v>
      </c>
      <c r="G42" s="43">
        <f t="shared" si="3"/>
        <v>1273.4694504534477</v>
      </c>
      <c r="H42" s="27">
        <v>0.52703892567290989</v>
      </c>
      <c r="I42" s="59">
        <f>(B42/('Consumidores Inadimplentes'!B78*1000000))</f>
        <v>1.7776453252597777E-2</v>
      </c>
    </row>
    <row r="43" spans="1:16" x14ac:dyDescent="0.35">
      <c r="A43" s="5">
        <v>44652</v>
      </c>
      <c r="B43" s="30">
        <v>1166320</v>
      </c>
      <c r="C43" s="30">
        <v>5547682</v>
      </c>
      <c r="D43" s="30">
        <v>7110519435.3499966</v>
      </c>
      <c r="E43" s="34">
        <f t="shared" si="4"/>
        <v>4.7565693806159546</v>
      </c>
      <c r="F43" s="43">
        <f t="shared" si="2"/>
        <v>6096.5424886394785</v>
      </c>
      <c r="G43" s="43">
        <f t="shared" si="3"/>
        <v>1281.7099890278491</v>
      </c>
      <c r="H43" s="27">
        <v>0.52585566742577705</v>
      </c>
      <c r="I43" s="59">
        <f>(B43/('Consumidores Inadimplentes'!B79*1000000))</f>
        <v>1.7636063990762809E-2</v>
      </c>
    </row>
    <row r="44" spans="1:16" x14ac:dyDescent="0.35">
      <c r="A44" s="5">
        <v>44682</v>
      </c>
      <c r="B44" s="30">
        <v>1173394</v>
      </c>
      <c r="C44" s="30">
        <v>5658814</v>
      </c>
      <c r="D44" s="30">
        <v>7364756562.4000273</v>
      </c>
      <c r="E44" s="34">
        <f t="shared" si="4"/>
        <v>4.8226034903877126</v>
      </c>
      <c r="F44" s="43">
        <f t="shared" si="2"/>
        <v>6276.456639798761</v>
      </c>
      <c r="G44" s="43">
        <f t="shared" si="3"/>
        <v>1301.4664490474554</v>
      </c>
      <c r="H44" s="27">
        <v>0.5285299055136482</v>
      </c>
      <c r="I44" s="59">
        <f>(B44/('Consumidores Inadimplentes'!B80*1000000))</f>
        <v>1.7623869143048723E-2</v>
      </c>
    </row>
    <row r="45" spans="1:16" x14ac:dyDescent="0.35">
      <c r="A45" s="5">
        <v>44713</v>
      </c>
      <c r="B45" s="30">
        <v>1158576</v>
      </c>
      <c r="C45" s="30">
        <v>5646552</v>
      </c>
      <c r="D45" s="30">
        <v>7426724580.8099899</v>
      </c>
      <c r="E45" s="34">
        <f t="shared" si="4"/>
        <v>4.8737001284335255</v>
      </c>
      <c r="F45" s="43">
        <f t="shared" si="2"/>
        <v>6410.2178716027174</v>
      </c>
      <c r="G45" s="43">
        <f t="shared" si="3"/>
        <v>1315.2671897487155</v>
      </c>
      <c r="H45" s="27">
        <v>0.5213472872144872</v>
      </c>
      <c r="I45" s="59">
        <f>(B45/('Consumidores Inadimplentes'!B81*1000000))</f>
        <v>1.7339117648709473E-2</v>
      </c>
    </row>
    <row r="46" spans="1:16" x14ac:dyDescent="0.35">
      <c r="A46" s="5">
        <v>44743</v>
      </c>
      <c r="B46" s="30">
        <v>1176071</v>
      </c>
      <c r="C46" s="30">
        <v>5800208</v>
      </c>
      <c r="D46" s="30">
        <v>7626209091.0700102</v>
      </c>
      <c r="E46" s="34">
        <f t="shared" si="4"/>
        <v>4.9318519034990231</v>
      </c>
      <c r="F46" s="43">
        <f t="shared" si="2"/>
        <v>6484.4801811030202</v>
      </c>
      <c r="G46" s="43">
        <f t="shared" si="3"/>
        <v>1314.8164843519423</v>
      </c>
      <c r="H46" s="27">
        <v>0.52870430310550076</v>
      </c>
      <c r="I46" s="59">
        <f>(B46/('Consumidores Inadimplentes'!B82*1000000))</f>
        <v>1.738919408745725E-2</v>
      </c>
    </row>
    <row r="47" spans="1:16" x14ac:dyDescent="0.35">
      <c r="A47" s="5">
        <v>44774</v>
      </c>
      <c r="B47" s="30">
        <v>1181898</v>
      </c>
      <c r="C47" s="30">
        <v>5918145</v>
      </c>
      <c r="D47" s="30">
        <v>7718279978.4799805</v>
      </c>
      <c r="E47" s="34">
        <f t="shared" si="4"/>
        <v>5.0073229669565391</v>
      </c>
      <c r="F47" s="43">
        <f t="shared" si="2"/>
        <v>6530.4112355549978</v>
      </c>
      <c r="G47" s="43">
        <f t="shared" si="3"/>
        <v>1304.1721651767541</v>
      </c>
      <c r="H47" s="27">
        <v>0.5307833772322782</v>
      </c>
      <c r="I47" s="59">
        <f>(B47/('Consumidores Inadimplentes'!B83*1000000))</f>
        <v>1.7386927882640641E-2</v>
      </c>
    </row>
    <row r="48" spans="1:16" x14ac:dyDescent="0.35">
      <c r="A48" s="5">
        <v>44805</v>
      </c>
      <c r="B48" s="30">
        <v>1188169</v>
      </c>
      <c r="C48" s="30">
        <v>6026193</v>
      </c>
      <c r="D48" s="30">
        <v>7943496461.7100096</v>
      </c>
      <c r="E48" s="34">
        <f t="shared" ref="E48" si="5">C48/B48</f>
        <v>5.0718315323830199</v>
      </c>
      <c r="F48" s="43">
        <f t="shared" ref="F48" si="6">D48/B48</f>
        <v>6685.4937822060747</v>
      </c>
      <c r="G48" s="43">
        <f t="shared" ref="G48" si="7">F48/E48</f>
        <v>1318.1616423021978</v>
      </c>
      <c r="H48" s="27">
        <v>0.53305670369268721</v>
      </c>
      <c r="I48" s="59">
        <f>(B48/('Consumidores Inadimplentes'!B84*1000000))</f>
        <v>1.737392742407376E-2</v>
      </c>
    </row>
    <row r="49" spans="1:16" x14ac:dyDescent="0.35">
      <c r="A49" s="5">
        <v>44835</v>
      </c>
      <c r="B49" s="30">
        <v>1205191</v>
      </c>
      <c r="C49" s="30">
        <v>6140785</v>
      </c>
      <c r="D49" s="30">
        <v>8155839375.2800093</v>
      </c>
      <c r="E49" s="34">
        <f t="shared" ref="E49" si="8">C49/B49</f>
        <v>5.0952795034148117</v>
      </c>
      <c r="F49" s="43">
        <f t="shared" ref="F49" si="9">D49/B49</f>
        <v>6767.2587791312826</v>
      </c>
      <c r="G49" s="43">
        <f t="shared" ref="G49" si="10">F49/E49</f>
        <v>1328.1427985640287</v>
      </c>
      <c r="H49" s="27">
        <v>0.54014331921713588</v>
      </c>
      <c r="I49" s="59">
        <f>(B49/('Consumidores Inadimplentes'!B85*1000000))</f>
        <v>1.745221024364927E-2</v>
      </c>
    </row>
    <row r="50" spans="1:16" x14ac:dyDescent="0.35">
      <c r="A50" s="5">
        <v>44866</v>
      </c>
      <c r="B50" s="30">
        <v>1221182</v>
      </c>
      <c r="C50" s="30">
        <v>6276455</v>
      </c>
      <c r="D50" s="30">
        <v>8429325612.1300011</v>
      </c>
      <c r="E50" s="34">
        <f t="shared" ref="E50" si="11">C50/B50</f>
        <v>5.1396556778596478</v>
      </c>
      <c r="F50" s="43">
        <f t="shared" ref="F50" si="12">D50/B50</f>
        <v>6902.5956918215315</v>
      </c>
      <c r="G50" s="43">
        <f t="shared" ref="G50" si="13">F50/E50</f>
        <v>1343.0074161497216</v>
      </c>
      <c r="H50" s="27">
        <v>0.54675343572798929</v>
      </c>
      <c r="I50" s="59">
        <f>(B50/('Consumidores Inadimplentes'!B86*1000000))</f>
        <v>1.7486738085455478E-2</v>
      </c>
    </row>
    <row r="51" spans="1:16" ht="15" thickBot="1" x14ac:dyDescent="0.4">
      <c r="A51" s="12">
        <v>44896</v>
      </c>
      <c r="B51" s="31">
        <v>1219278</v>
      </c>
      <c r="C51" s="31">
        <v>6343408</v>
      </c>
      <c r="D51" s="31">
        <v>8487885589.8299561</v>
      </c>
      <c r="E51" s="35">
        <f t="shared" ref="E51" si="14">C51/B51</f>
        <v>5.2025936660876351</v>
      </c>
      <c r="F51" s="46">
        <f t="shared" ref="F51" si="15">D51/B51</f>
        <v>6961.4030515025743</v>
      </c>
      <c r="G51" s="46">
        <f t="shared" ref="G51" si="16">F51/E51</f>
        <v>1338.0639539234992</v>
      </c>
      <c r="H51" s="28">
        <v>0.54534549309192726</v>
      </c>
      <c r="I51" s="59">
        <f>(B51/('Consumidores Inadimplentes'!B87*1000000))</f>
        <v>1.7561428950272247E-2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1231589</v>
      </c>
      <c r="C52" s="29">
        <v>6474326</v>
      </c>
      <c r="D52" s="29">
        <v>8655480882.6500244</v>
      </c>
      <c r="E52" s="33">
        <f t="shared" ref="E52" si="17">C52/B52</f>
        <v>5.2568884587309563</v>
      </c>
      <c r="F52" s="45">
        <f t="shared" ref="F52" si="18">D52/B52</f>
        <v>7027.8971983754518</v>
      </c>
      <c r="G52" s="45">
        <f t="shared" ref="G52" si="19">F52/E52</f>
        <v>1336.8929650206098</v>
      </c>
      <c r="H52" s="26">
        <v>0.55029138984668469</v>
      </c>
      <c r="I52" s="59">
        <f>(B52/('Consumidores Inadimplentes'!B88*1000000))</f>
        <v>1.7570790294725247E-2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1233101</v>
      </c>
      <c r="C53" s="30">
        <v>6515968</v>
      </c>
      <c r="D53" s="30">
        <v>8719581746.6400204</v>
      </c>
      <c r="E53" s="34">
        <f t="shared" ref="E53" si="20">C53/B53</f>
        <v>5.2842127287221405</v>
      </c>
      <c r="F53" s="43">
        <f t="shared" ref="F53" si="21">D53/B53</f>
        <v>7071.2632190226268</v>
      </c>
      <c r="G53" s="43">
        <f t="shared" ref="G53" si="22">F53/E53</f>
        <v>1338.1867048211441</v>
      </c>
      <c r="H53" s="27">
        <v>0.55040649971031264</v>
      </c>
      <c r="I53" s="59">
        <f>(B53/('Consumidores Inadimplentes'!B89*1000000))</f>
        <v>1.7484112171370986E-2</v>
      </c>
    </row>
    <row r="54" spans="1:16" x14ac:dyDescent="0.35">
      <c r="A54" s="5">
        <v>44986</v>
      </c>
      <c r="B54" s="30">
        <v>1237863</v>
      </c>
      <c r="C54" s="30">
        <v>6661875</v>
      </c>
      <c r="D54" s="30">
        <v>8897661307.9199905</v>
      </c>
      <c r="E54" s="34">
        <f t="shared" ref="E54" si="23">C54/B54</f>
        <v>5.3817546852923144</v>
      </c>
      <c r="F54" s="43">
        <f t="shared" ref="F54" si="24">D54/B54</f>
        <v>7187.9208829409963</v>
      </c>
      <c r="G54" s="43">
        <f t="shared" ref="G54" si="25">F54/E54</f>
        <v>1335.6091652755404</v>
      </c>
      <c r="H54" s="27">
        <v>0.55197007794876274</v>
      </c>
      <c r="I54" s="59">
        <f>(B54/('Consumidores Inadimplentes'!B90*1000000))</f>
        <v>1.7506838782369544E-2</v>
      </c>
    </row>
    <row r="55" spans="1:16" x14ac:dyDescent="0.35">
      <c r="A55" s="5">
        <v>45017</v>
      </c>
      <c r="B55" s="30">
        <v>1262459</v>
      </c>
      <c r="C55" s="30">
        <v>6815718</v>
      </c>
      <c r="D55" s="30">
        <v>9144571341.7400093</v>
      </c>
      <c r="E55" s="34">
        <f t="shared" ref="E55:E56" si="26">C55/B55</f>
        <v>5.398763841043551</v>
      </c>
      <c r="F55" s="43">
        <f t="shared" ref="F55:F56" si="27">D55/B55</f>
        <v>7243.4600582989306</v>
      </c>
      <c r="G55" s="43">
        <f t="shared" ref="G55:G56" si="28">F55/E55</f>
        <v>1341.6886293916516</v>
      </c>
      <c r="H55" s="27">
        <v>0.56236483317156005</v>
      </c>
      <c r="I55" s="59">
        <f>(B55/('Consumidores Inadimplentes'!B91*1000000))</f>
        <v>1.7671703426683272E-2</v>
      </c>
    </row>
    <row r="56" spans="1:16" x14ac:dyDescent="0.35">
      <c r="A56" s="5">
        <v>45047</v>
      </c>
      <c r="B56" s="30">
        <v>1271985</v>
      </c>
      <c r="C56" s="30">
        <v>6892182</v>
      </c>
      <c r="D56" s="30">
        <v>9223395173.4500008</v>
      </c>
      <c r="E56" s="34">
        <f t="shared" si="26"/>
        <v>5.4184459722402387</v>
      </c>
      <c r="F56" s="43">
        <f t="shared" si="27"/>
        <v>7251.1823436990226</v>
      </c>
      <c r="G56" s="43">
        <f t="shared" si="28"/>
        <v>1338.2402225376522</v>
      </c>
      <c r="H56" s="27">
        <v>0.56603181652520895</v>
      </c>
      <c r="I56" s="59">
        <f>(B56/('Consumidores Inadimplentes'!B92*1000000))</f>
        <v>1.7690149866542101E-2</v>
      </c>
    </row>
    <row r="57" spans="1:16" x14ac:dyDescent="0.35">
      <c r="A57" s="5">
        <v>45078</v>
      </c>
      <c r="B57" s="30">
        <v>1265396</v>
      </c>
      <c r="C57" s="30">
        <v>6849343</v>
      </c>
      <c r="D57" s="30">
        <v>9276257389.310009</v>
      </c>
      <c r="E57" s="34">
        <f t="shared" ref="E57" si="29">C57/B57</f>
        <v>5.4128059516546596</v>
      </c>
      <c r="F57" s="43">
        <f t="shared" ref="F57" si="30">D57/B57</f>
        <v>7330.7149614112968</v>
      </c>
      <c r="G57" s="43">
        <f t="shared" ref="G57" si="31">F57/E57</f>
        <v>1354.3280558894496</v>
      </c>
      <c r="H57" s="27">
        <v>0.56252697839727761</v>
      </c>
      <c r="I57" s="59">
        <f>(B57/('Consumidores Inadimplentes'!B93*1000000))</f>
        <v>1.7709355005450116E-2</v>
      </c>
    </row>
    <row r="58" spans="1:16" x14ac:dyDescent="0.35">
      <c r="A58" s="5">
        <v>45108</v>
      </c>
      <c r="B58" s="30">
        <v>1271976</v>
      </c>
      <c r="C58" s="30">
        <v>6935204</v>
      </c>
      <c r="D58" s="30">
        <v>9538165875.570034</v>
      </c>
      <c r="E58" s="34">
        <f t="shared" ref="E58" si="32">C58/B58</f>
        <v>5.4523072762379163</v>
      </c>
      <c r="F58" s="43">
        <f t="shared" ref="F58" si="33">D58/B58</f>
        <v>7498.6995631757472</v>
      </c>
      <c r="G58" s="43">
        <f t="shared" ref="G58" si="34">F58/E58</f>
        <v>1375.3259277693971</v>
      </c>
      <c r="H58" s="27">
        <v>0.56487679058663032</v>
      </c>
      <c r="I58" s="59">
        <f>(B58/('Consumidores Inadimplentes'!B94*1000000))</f>
        <v>1.7810040821187752E-2</v>
      </c>
    </row>
    <row r="59" spans="1:16" x14ac:dyDescent="0.35">
      <c r="A59" s="5">
        <v>45139</v>
      </c>
      <c r="B59" s="30">
        <v>1278676</v>
      </c>
      <c r="C59" s="30">
        <v>6992172</v>
      </c>
      <c r="D59" s="30">
        <v>9571015684.9700127</v>
      </c>
      <c r="E59" s="34">
        <f t="shared" ref="E59:E60" si="35">C59/B59</f>
        <v>5.4682906381288143</v>
      </c>
      <c r="F59" s="43">
        <f t="shared" ref="F59:F60" si="36">D59/B59</f>
        <v>7485.0984025429525</v>
      </c>
      <c r="G59" s="43">
        <f t="shared" ref="G59:G60" si="37">F59/E59</f>
        <v>1368.8186853770205</v>
      </c>
      <c r="H59" s="27">
        <v>0.56727078493969174</v>
      </c>
      <c r="I59" s="59">
        <f>(B59/('Consumidores Inadimplentes'!B95*1000000))</f>
        <v>1.782398399711577E-2</v>
      </c>
    </row>
    <row r="60" spans="1:16" x14ac:dyDescent="0.35">
      <c r="A60" s="5">
        <v>45170</v>
      </c>
      <c r="B60" s="30">
        <v>1290919</v>
      </c>
      <c r="C60" s="30">
        <v>7095273</v>
      </c>
      <c r="D60" s="30">
        <v>9831118092.9399681</v>
      </c>
      <c r="E60" s="34">
        <f t="shared" si="35"/>
        <v>5.4962960495584925</v>
      </c>
      <c r="F60" s="43">
        <f t="shared" si="36"/>
        <v>7615.5964029811075</v>
      </c>
      <c r="G60" s="43">
        <f t="shared" si="37"/>
        <v>1385.5870088353145</v>
      </c>
      <c r="H60" s="27">
        <v>0.57211595138083149</v>
      </c>
      <c r="I60" s="59">
        <f>(B60/('Consumidores Inadimplentes'!B96*1000000))</f>
        <v>1.7973828658343263E-2</v>
      </c>
    </row>
    <row r="61" spans="1:16" x14ac:dyDescent="0.35">
      <c r="A61" s="5">
        <v>45200</v>
      </c>
      <c r="B61" s="30">
        <v>1298014</v>
      </c>
      <c r="C61" s="30">
        <v>7156071</v>
      </c>
      <c r="D61" s="30">
        <v>10167844448.420017</v>
      </c>
      <c r="E61" s="34">
        <f t="shared" ref="E61" si="38">C61/B61</f>
        <v>5.5130923087116166</v>
      </c>
      <c r="F61" s="43">
        <f t="shared" ref="F61" si="39">D61/B61</f>
        <v>7833.3858097216344</v>
      </c>
      <c r="G61" s="43">
        <f t="shared" ref="G61" si="40">F61/E61</f>
        <v>1420.8696990876722</v>
      </c>
      <c r="H61" s="27">
        <v>0.57467126103562793</v>
      </c>
      <c r="I61" s="59">
        <f>(B61/('Consumidores Inadimplentes'!B97*1000000))</f>
        <v>1.8039870017606333E-2</v>
      </c>
    </row>
    <row r="62" spans="1:16" x14ac:dyDescent="0.35">
      <c r="A62" s="5">
        <v>45231</v>
      </c>
      <c r="B62" s="30">
        <v>1292302</v>
      </c>
      <c r="C62" s="30">
        <v>7089833</v>
      </c>
      <c r="D62" s="30">
        <v>10097104451.769995</v>
      </c>
      <c r="E62" s="34">
        <f t="shared" ref="E62" si="41">C62/B62</f>
        <v>5.4862044630434683</v>
      </c>
      <c r="F62" s="43">
        <f t="shared" ref="F62" si="42">D62/B62</f>
        <v>7813.2700032732246</v>
      </c>
      <c r="G62" s="43">
        <f t="shared" ref="G62" si="43">F62/E62</f>
        <v>1424.1667542479483</v>
      </c>
      <c r="H62" s="27">
        <v>0.57155657928140458</v>
      </c>
      <c r="I62" s="59">
        <f>(B62/('Consumidores Inadimplentes'!B98*1000000))</f>
        <v>1.799639933311906E-2</v>
      </c>
    </row>
    <row r="63" spans="1:16" ht="15" thickBot="1" x14ac:dyDescent="0.4">
      <c r="A63" s="12">
        <v>45261</v>
      </c>
      <c r="B63" s="31">
        <v>1273978</v>
      </c>
      <c r="C63" s="31">
        <v>6965660</v>
      </c>
      <c r="D63" s="31">
        <v>9725399316.9199638</v>
      </c>
      <c r="E63" s="35">
        <f t="shared" ref="E63" si="44">C63/B63</f>
        <v>5.4676454381472839</v>
      </c>
      <c r="F63" s="46">
        <f t="shared" ref="F63" si="45">D63/B63</f>
        <v>7633.8832514532933</v>
      </c>
      <c r="G63" s="46">
        <f t="shared" ref="G63" si="46">F63/E63</f>
        <v>1396.1920789874848</v>
      </c>
      <c r="H63" s="28">
        <v>0.56287546850029979</v>
      </c>
      <c r="I63" s="59">
        <f>(B63/('Consumidores Inadimplentes'!B99*1000000))</f>
        <v>1.7917500692205508E-2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1286318</v>
      </c>
      <c r="C64" s="29">
        <v>7038604</v>
      </c>
      <c r="D64" s="29">
        <v>9997812646.2399807</v>
      </c>
      <c r="E64" s="33">
        <f t="shared" ref="E64" si="47">C64/B64</f>
        <v>5.4719004165377454</v>
      </c>
      <c r="F64" s="45">
        <f t="shared" ref="F64" si="48">D64/B64</f>
        <v>7772.4269163923545</v>
      </c>
      <c r="G64" s="45">
        <f t="shared" ref="G64" si="49">F64/E64</f>
        <v>1420.4255057167559</v>
      </c>
      <c r="H64" s="26">
        <v>0.56774563162417646</v>
      </c>
      <c r="I64" s="59">
        <f>(B64/('Consumidores Inadimplentes'!B100*1000000))</f>
        <v>1.7848220952860486E-2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1282805</v>
      </c>
      <c r="C65" s="30">
        <v>7019867</v>
      </c>
      <c r="D65" s="30">
        <v>9899323866.9600258</v>
      </c>
      <c r="E65" s="34">
        <f t="shared" ref="E65" si="50">C65/B65</f>
        <v>5.4722791071129286</v>
      </c>
      <c r="F65" s="43">
        <f t="shared" ref="F65" si="51">D65/B65</f>
        <v>7716.9358296545661</v>
      </c>
      <c r="G65" s="43">
        <f t="shared" ref="G65" si="52">F65/E65</f>
        <v>1410.1868122230842</v>
      </c>
      <c r="H65" s="27">
        <v>0.56561540859469284</v>
      </c>
      <c r="I65" s="59">
        <f>(B65/('Consumidores Inadimplentes'!B101*1000000))</f>
        <v>1.7807025593807087E-2</v>
      </c>
    </row>
    <row r="66" spans="1:16" x14ac:dyDescent="0.35">
      <c r="A66" s="5">
        <v>45352</v>
      </c>
      <c r="B66" s="30">
        <v>1291072</v>
      </c>
      <c r="C66" s="30">
        <v>7060424</v>
      </c>
      <c r="D66" s="30">
        <v>9949808655.870018</v>
      </c>
      <c r="E66" s="34">
        <f t="shared" ref="E66:E67" si="53">C66/B66</f>
        <v>5.4686524066821987</v>
      </c>
      <c r="F66" s="43">
        <f t="shared" ref="F66:F67" si="54">D66/B66</f>
        <v>7706.6257000926498</v>
      </c>
      <c r="G66" s="43">
        <f t="shared" ref="G66:G67" si="55">F66/E66</f>
        <v>1409.2367053126013</v>
      </c>
      <c r="H66" s="27">
        <v>0.56867752628940771</v>
      </c>
      <c r="I66" s="59">
        <f>(B66/('Consumidores Inadimplentes'!B102*1000000))</f>
        <v>1.7711436591633857E-2</v>
      </c>
    </row>
    <row r="67" spans="1:16" x14ac:dyDescent="0.35">
      <c r="A67" s="5">
        <v>45383</v>
      </c>
      <c r="B67" s="30">
        <v>1307038</v>
      </c>
      <c r="C67" s="30">
        <v>7163951</v>
      </c>
      <c r="D67" s="30">
        <v>10237086158.130054</v>
      </c>
      <c r="E67" s="34">
        <f t="shared" si="53"/>
        <v>5.4810579340462944</v>
      </c>
      <c r="F67" s="43">
        <f t="shared" si="54"/>
        <v>7832.2789070631879</v>
      </c>
      <c r="G67" s="43">
        <f t="shared" si="55"/>
        <v>1428.9721074488161</v>
      </c>
      <c r="H67" s="27">
        <v>0.57512057600149258</v>
      </c>
      <c r="I67" s="59">
        <f>(B67/('Consumidores Inadimplentes'!B103*1000000))</f>
        <v>1.7802258857094976E-2</v>
      </c>
    </row>
    <row r="68" spans="1:16" x14ac:dyDescent="0.35">
      <c r="A68" s="5">
        <v>45413</v>
      </c>
      <c r="B68" s="30">
        <v>1301334</v>
      </c>
      <c r="C68" s="30">
        <v>7251113</v>
      </c>
      <c r="D68" s="30">
        <v>10336068888.569809</v>
      </c>
      <c r="E68" s="34">
        <f t="shared" ref="E68" si="56">C68/B68</f>
        <v>5.5720614384931153</v>
      </c>
      <c r="F68" s="43">
        <f t="shared" ref="F68" si="57">D68/B68</f>
        <v>7942.6718187412371</v>
      </c>
      <c r="G68" s="43">
        <f t="shared" ref="G68" si="58">F68/E68</f>
        <v>1425.4458437718195</v>
      </c>
      <c r="H68" s="27">
        <v>0.5720244997498859</v>
      </c>
      <c r="I68" s="59">
        <f>(B68/('Consumidores Inadimplentes'!B104*1000000))</f>
        <v>1.794068610929625E-2</v>
      </c>
    </row>
    <row r="69" spans="1:16" x14ac:dyDescent="0.35">
      <c r="A69" s="5">
        <v>45444</v>
      </c>
      <c r="B69" s="30">
        <v>1306264</v>
      </c>
      <c r="C69" s="30">
        <v>7288413</v>
      </c>
      <c r="D69" s="30">
        <v>10475764070.49</v>
      </c>
      <c r="E69" s="34">
        <f t="shared" ref="E69" si="59">C69/B69</f>
        <v>5.5795865154363895</v>
      </c>
      <c r="F69" s="43">
        <f t="shared" ref="F69" si="60">D69/B69</f>
        <v>8019.6377382290257</v>
      </c>
      <c r="G69" s="43">
        <f t="shared" ref="G69" si="61">F69/E69</f>
        <v>1437.3175711214499</v>
      </c>
      <c r="H69" s="27">
        <v>0.57360358390264943</v>
      </c>
      <c r="I69" s="59">
        <f>(B69/('Consumidores Inadimplentes'!B105*1000000))</f>
        <v>1.8017153166656762E-2</v>
      </c>
    </row>
    <row r="70" spans="1:16" x14ac:dyDescent="0.35">
      <c r="A70" s="5">
        <v>45474</v>
      </c>
      <c r="B70" s="30">
        <v>1312311</v>
      </c>
      <c r="C70" s="30">
        <v>7264611</v>
      </c>
      <c r="D70" s="30">
        <v>10139471786.68</v>
      </c>
      <c r="E70" s="34">
        <f t="shared" ref="E70" si="62">C70/B70</f>
        <v>5.5357388606816524</v>
      </c>
      <c r="F70" s="43">
        <f t="shared" ref="F70" si="63">D70/B70</f>
        <v>7726.4244425902098</v>
      </c>
      <c r="G70" s="43">
        <f t="shared" ref="G70" si="64">F70/E70</f>
        <v>1395.7349934745303</v>
      </c>
      <c r="H70" s="27">
        <v>0.575668924929857</v>
      </c>
      <c r="I70" s="59">
        <f>(B70/('Consumidores Inadimplentes'!B106*1000000))</f>
        <v>1.8059952153019178E-2</v>
      </c>
    </row>
    <row r="71" spans="1:16" x14ac:dyDescent="0.35">
      <c r="A71" s="5">
        <v>45505</v>
      </c>
      <c r="B71" s="30">
        <v>1321640</v>
      </c>
      <c r="C71" s="30">
        <v>7364213</v>
      </c>
      <c r="D71" s="30">
        <v>10249570633.299995</v>
      </c>
      <c r="E71" s="34">
        <f t="shared" ref="E71" si="65">C71/B71</f>
        <v>5.572026421718471</v>
      </c>
      <c r="F71" s="43">
        <f t="shared" ref="F71" si="66">D71/B71</f>
        <v>7755.1910000453945</v>
      </c>
      <c r="G71" s="43">
        <f t="shared" ref="G71" si="67">F71/E71</f>
        <v>1391.8080089888756</v>
      </c>
      <c r="H71" s="27">
        <v>0.57920584236927286</v>
      </c>
      <c r="I71" s="59">
        <f>(B71/('Consumidores Inadimplentes'!B107*1000000))</f>
        <v>1.8238941113573992E-2</v>
      </c>
    </row>
    <row r="72" spans="1:16" x14ac:dyDescent="0.35">
      <c r="A72" s="5">
        <v>45536</v>
      </c>
      <c r="B72" s="30">
        <v>1321802</v>
      </c>
      <c r="C72" s="30">
        <v>7433289</v>
      </c>
      <c r="D72" s="30">
        <v>10302054942.599997</v>
      </c>
      <c r="E72" s="34">
        <f t="shared" ref="E72" si="68">C72/B72</f>
        <v>5.6236024760138053</v>
      </c>
      <c r="F72" s="43">
        <f t="shared" ref="F72" si="69">D72/B72</f>
        <v>7793.9471589542127</v>
      </c>
      <c r="G72" s="43">
        <f t="shared" ref="G72" si="70">F72/E72</f>
        <v>1385.9349397823757</v>
      </c>
      <c r="H72" s="27">
        <v>0.57872191005086682</v>
      </c>
      <c r="I72" s="59">
        <f>(B72/('Consumidores Inadimplentes'!B108*1000000))</f>
        <v>1.8196130978135133E-2</v>
      </c>
    </row>
    <row r="73" spans="1:16" x14ac:dyDescent="0.35">
      <c r="A73" s="5">
        <v>45566</v>
      </c>
      <c r="B73" s="30">
        <v>1326397</v>
      </c>
      <c r="C73" s="30">
        <v>7572633</v>
      </c>
      <c r="D73" s="30">
        <v>10466618967.580046</v>
      </c>
      <c r="E73" s="34">
        <f t="shared" ref="E73" si="71">C73/B73</f>
        <v>5.7091753072421003</v>
      </c>
      <c r="F73" s="43">
        <f t="shared" ref="F73" si="72">D73/B73</f>
        <v>7891.0152598204349</v>
      </c>
      <c r="G73" s="43">
        <f t="shared" ref="G73" si="73">F73/E73</f>
        <v>1382.1637688740554</v>
      </c>
      <c r="H73" s="27">
        <v>0.58017743041704284</v>
      </c>
      <c r="I73" s="59">
        <f>(B73/('Consumidores Inadimplentes'!B109*1000000))</f>
        <v>1.8143975451955494E-2</v>
      </c>
    </row>
    <row r="74" spans="1:16" x14ac:dyDescent="0.35">
      <c r="A74" s="5">
        <v>45597</v>
      </c>
      <c r="B74" s="30">
        <v>1335919</v>
      </c>
      <c r="C74" s="30">
        <v>7596541</v>
      </c>
      <c r="D74" s="30">
        <v>10697476853.490034</v>
      </c>
      <c r="E74" s="34">
        <f t="shared" ref="E74" si="74">C74/B74</f>
        <v>5.6863784406090492</v>
      </c>
      <c r="F74" s="43">
        <f t="shared" ref="F74" si="75">D74/B74</f>
        <v>8007.5789426529855</v>
      </c>
      <c r="G74" s="43">
        <f t="shared" ref="G74" si="76">F74/E74</f>
        <v>1408.2036618363586</v>
      </c>
      <c r="H74" s="27">
        <v>0.58378270430137602</v>
      </c>
      <c r="I74" s="59">
        <f>(B74/('Consumidores Inadimplentes'!B110*1000000))</f>
        <v>1.8104632527264235E-2</v>
      </c>
    </row>
    <row r="75" spans="1:16" ht="15" thickBot="1" x14ac:dyDescent="0.4">
      <c r="A75" s="12">
        <v>45627</v>
      </c>
      <c r="B75" s="31">
        <v>1323612</v>
      </c>
      <c r="C75" s="31">
        <v>7522555</v>
      </c>
      <c r="D75" s="31">
        <v>10350849344.930019</v>
      </c>
      <c r="E75" s="35">
        <f t="shared" ref="E75" si="77">C75/B75</f>
        <v>5.6833535809587703</v>
      </c>
      <c r="F75" s="46">
        <f t="shared" ref="F75" si="78">D75/B75</f>
        <v>7820.1537496864785</v>
      </c>
      <c r="G75" s="46">
        <f t="shared" ref="G75" si="79">F75/E75</f>
        <v>1375.975229816202</v>
      </c>
      <c r="H75" s="28">
        <v>0.57785065603528896</v>
      </c>
      <c r="I75" s="59">
        <f>(B75/('Consumidores Inadimplentes'!B111*1000000))</f>
        <v>1.8005325153145901E-2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1346934</v>
      </c>
      <c r="C76" s="29">
        <v>7730319</v>
      </c>
      <c r="D76" s="29">
        <v>10598103733.149967</v>
      </c>
      <c r="E76" s="33">
        <f t="shared" ref="E76:E77" si="80">C76/B76</f>
        <v>5.7391965753333123</v>
      </c>
      <c r="F76" s="45">
        <f t="shared" ref="F76:F77" si="81">D76/B76</f>
        <v>7868.3170319777864</v>
      </c>
      <c r="G76" s="45">
        <f t="shared" ref="G76:G77" si="82">F76/E76</f>
        <v>1370.9788345280406</v>
      </c>
      <c r="H76" s="26">
        <v>0.5874691530870465</v>
      </c>
      <c r="I76" s="59">
        <f>(B76/('Consumidores Inadimplentes'!B112*1000000))</f>
        <v>1.8054710302602923E-2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1360006</v>
      </c>
      <c r="C77" s="30">
        <v>8002983</v>
      </c>
      <c r="D77" s="30">
        <v>11065186648.610023</v>
      </c>
      <c r="E77" s="34">
        <f t="shared" si="80"/>
        <v>5.8845203624101661</v>
      </c>
      <c r="F77" s="43">
        <f t="shared" si="81"/>
        <v>8136.1307586951998</v>
      </c>
      <c r="G77" s="43">
        <f t="shared" si="82"/>
        <v>1382.6327818777104</v>
      </c>
      <c r="H77" s="27">
        <v>0.59260243697962323</v>
      </c>
      <c r="I77" s="59">
        <f>(B77/('Consumidores Inadimplentes'!B113*1000000))</f>
        <v>1.8132594465367278E-2</v>
      </c>
    </row>
    <row r="78" spans="1:16" x14ac:dyDescent="0.35">
      <c r="A78" s="5">
        <v>45717</v>
      </c>
      <c r="B78" s="30">
        <v>1381102</v>
      </c>
      <c r="C78" s="30">
        <v>8167211</v>
      </c>
      <c r="D78" s="30">
        <v>11109866529.609966</v>
      </c>
      <c r="E78" s="34">
        <f t="shared" ref="E78" si="83">C78/B78</f>
        <v>5.9135465736781212</v>
      </c>
      <c r="F78" s="43">
        <f t="shared" ref="F78" si="84">D78/B78</f>
        <v>8044.2042149022782</v>
      </c>
      <c r="G78" s="43">
        <f t="shared" ref="G78" si="85">F78/E78</f>
        <v>1360.3011517162915</v>
      </c>
      <c r="H78" s="27">
        <v>0.60121810590669489</v>
      </c>
      <c r="I78" s="59">
        <f>(B78/('Consumidores Inadimplentes'!B114*1000000))</f>
        <v>1.8227669905994271E-2</v>
      </c>
    </row>
    <row r="79" spans="1:16" x14ac:dyDescent="0.35">
      <c r="A79" s="5">
        <v>45748</v>
      </c>
      <c r="B79" s="30">
        <v>1390032</v>
      </c>
      <c r="C79" s="30">
        <v>8317433</v>
      </c>
      <c r="D79" s="30">
        <v>11512870435</v>
      </c>
      <c r="E79" s="34">
        <f t="shared" ref="E79" si="86">C79/B79</f>
        <v>5.9836269956375103</v>
      </c>
      <c r="F79" s="43">
        <f t="shared" ref="F79" si="87">D79/B79</f>
        <v>8282.449925613224</v>
      </c>
      <c r="G79" s="43">
        <f t="shared" ref="G79" si="88">F79/E79</f>
        <v>1384.1855335654643</v>
      </c>
      <c r="H79" s="27">
        <v>0.60452574959467265</v>
      </c>
      <c r="I79" s="59">
        <f>(B79/('Consumidores Inadimplentes'!B115*1000000))</f>
        <v>1.8137508402920718E-2</v>
      </c>
    </row>
    <row r="80" spans="1:16" x14ac:dyDescent="0.35">
      <c r="A80" s="5">
        <v>45778</v>
      </c>
      <c r="B80" s="30">
        <v>1396029</v>
      </c>
      <c r="C80" s="30">
        <v>8423381</v>
      </c>
      <c r="D80" s="30">
        <v>11677838636</v>
      </c>
      <c r="E80" s="34">
        <f t="shared" ref="E80" si="89">C80/B80</f>
        <v>6.0338152001140379</v>
      </c>
      <c r="F80" s="43">
        <f t="shared" ref="F80" si="90">D80/B80</f>
        <v>8365.0401503120629</v>
      </c>
      <c r="G80" s="43">
        <f t="shared" ref="G80" si="91">F80/E80</f>
        <v>1386.360018144733</v>
      </c>
      <c r="H80" s="27">
        <v>0.60655219173255248</v>
      </c>
      <c r="I80" s="59">
        <f>(B80/('Consumidores Inadimplentes'!B116*1000000))</f>
        <v>1.8113243827741959E-2</v>
      </c>
    </row>
    <row r="81" spans="1:16" x14ac:dyDescent="0.35">
      <c r="A81" s="5">
        <v>45809</v>
      </c>
      <c r="B81" s="30">
        <v>1405585</v>
      </c>
      <c r="C81" s="30">
        <v>8589859</v>
      </c>
      <c r="D81" s="30">
        <v>11992827752</v>
      </c>
      <c r="E81" s="34">
        <f t="shared" ref="E81" si="92">C81/B81</f>
        <v>6.1112341124869713</v>
      </c>
      <c r="F81" s="43">
        <f t="shared" ref="F81" si="93">D81/B81</f>
        <v>8532.2678827676737</v>
      </c>
      <c r="G81" s="43">
        <f t="shared" ref="G81" si="94">F81/E81</f>
        <v>1396.1611886760891</v>
      </c>
      <c r="H81" s="27">
        <v>0.61011907345641181</v>
      </c>
      <c r="I81" s="59">
        <f>(B81/('Consumidores Inadimplentes'!B117*1000000))</f>
        <v>1.8049338526930969E-2</v>
      </c>
    </row>
    <row r="82" spans="1:16" x14ac:dyDescent="0.35">
      <c r="A82" s="5">
        <v>45839</v>
      </c>
      <c r="B82" s="30">
        <v>1405285</v>
      </c>
      <c r="C82" s="30">
        <v>8717599</v>
      </c>
      <c r="D82" s="30">
        <v>12149131301</v>
      </c>
      <c r="E82" s="34">
        <f t="shared" ref="E82" si="95">C82/B82</f>
        <v>6.2034384484286109</v>
      </c>
      <c r="F82" s="43">
        <f t="shared" ref="F82" si="96">D82/B82</f>
        <v>8645.3148656678186</v>
      </c>
      <c r="G82" s="43">
        <f t="shared" ref="G82" si="97">F82/E82</f>
        <v>1393.6327308700481</v>
      </c>
      <c r="H82" s="27">
        <v>0.60940452220883201</v>
      </c>
      <c r="I82" s="59">
        <f>(B82/('Consumidores Inadimplentes'!B118*1000000))</f>
        <v>1.7979320554057619E-2</v>
      </c>
    </row>
    <row r="83" spans="1:16" x14ac:dyDescent="0.35">
      <c r="A83" s="5">
        <v>45870</v>
      </c>
      <c r="B83" s="30">
        <v>1412540</v>
      </c>
      <c r="C83" s="30">
        <v>8868062</v>
      </c>
      <c r="D83" s="30">
        <v>12466898790</v>
      </c>
      <c r="E83" s="34">
        <f t="shared" ref="E83" si="98">C83/B83</f>
        <v>6.2780961955059675</v>
      </c>
      <c r="F83" s="43">
        <f t="shared" ref="F83" si="99">D83/B83</f>
        <v>8825.8731009387338</v>
      </c>
      <c r="G83" s="43">
        <f t="shared" ref="G83" si="100">F83/E83</f>
        <v>1405.8199852459309</v>
      </c>
      <c r="H83" s="27">
        <v>0.61199493434184349</v>
      </c>
      <c r="I83" s="59">
        <f>(B83/('Consumidores Inadimplentes'!B119*1000000))</f>
        <v>1.7914530464321461E-2</v>
      </c>
    </row>
    <row r="84" spans="1:16" x14ac:dyDescent="0.35">
      <c r="A84" s="5">
        <v>45901</v>
      </c>
      <c r="B84" s="30">
        <v>1410480</v>
      </c>
      <c r="C84" s="30">
        <v>8887181</v>
      </c>
      <c r="D84" s="30">
        <v>12433149906</v>
      </c>
      <c r="E84" s="34">
        <f>IFERROR(C84/B84,"")</f>
        <v>6.3008202881288637</v>
      </c>
      <c r="F84" s="43">
        <f>IFERROR(D84/B84,"")</f>
        <v>8814.8360175259495</v>
      </c>
      <c r="G84" s="43">
        <f>IFERROR(F84/E84,"")</f>
        <v>1398.9981644348193</v>
      </c>
      <c r="H84" s="27">
        <v>0.61054797728495569</v>
      </c>
      <c r="I84" s="59">
        <f>(B84/('Consumidores Inadimplentes'!B120*1000000))</f>
        <v>1.7816525259176329E-2</v>
      </c>
    </row>
    <row r="85" spans="1:16" x14ac:dyDescent="0.35">
      <c r="A85" s="5">
        <v>45931</v>
      </c>
      <c r="B85" s="30">
        <v>1428130</v>
      </c>
      <c r="C85" s="30">
        <v>9065486</v>
      </c>
      <c r="D85" s="30">
        <v>12720842520</v>
      </c>
      <c r="E85" s="34">
        <f t="shared" ref="E85:E87" si="101">IFERROR(C85/B85,"")</f>
        <v>6.347801670716251</v>
      </c>
      <c r="F85" s="43">
        <f t="shared" ref="F85:F87" si="102">IFERROR(D85/B85,"")</f>
        <v>8907.3421327190099</v>
      </c>
      <c r="G85" s="43">
        <f t="shared" ref="G85:G87" si="103">IFERROR(F85/E85,"")</f>
        <v>1403.2168291915073</v>
      </c>
      <c r="H85" s="27">
        <v>0.61762715236227372</v>
      </c>
      <c r="I85" s="59">
        <f>(B85/('Consumidores Inadimplentes'!B121*1000000))</f>
        <v>1.7754743578452636E-2</v>
      </c>
    </row>
    <row r="86" spans="1:16" x14ac:dyDescent="0.35">
      <c r="A86" s="5">
        <v>45962</v>
      </c>
      <c r="B86" s="30">
        <v>1429848</v>
      </c>
      <c r="C86" s="30">
        <v>9210736</v>
      </c>
      <c r="D86" s="30">
        <v>12829843376</v>
      </c>
      <c r="E86" s="34">
        <f t="shared" si="101"/>
        <v>6.4417588442967366</v>
      </c>
      <c r="F86" s="43">
        <f t="shared" si="102"/>
        <v>8972.8722045979721</v>
      </c>
      <c r="G86" s="43">
        <f t="shared" si="103"/>
        <v>1392.9227127994984</v>
      </c>
      <c r="H86" s="27">
        <v>0.61780905078454973</v>
      </c>
      <c r="I86" s="59">
        <f>(B86/('Consumidores Inadimplentes'!B122*1000000))</f>
        <v>1.7737878388236001E-2</v>
      </c>
    </row>
    <row r="87" spans="1:16" ht="15" thickBot="1" x14ac:dyDescent="0.4">
      <c r="A87" s="12">
        <v>45992</v>
      </c>
      <c r="B87" s="31">
        <v>1432411</v>
      </c>
      <c r="C87" s="31">
        <v>9323845</v>
      </c>
      <c r="D87" s="31">
        <v>13000854502</v>
      </c>
      <c r="E87" s="35">
        <f t="shared" si="101"/>
        <v>6.5091967319435557</v>
      </c>
      <c r="F87" s="46">
        <f t="shared" si="102"/>
        <v>9076.2040378075853</v>
      </c>
      <c r="G87" s="46">
        <f t="shared" si="103"/>
        <v>1394.3662193011573</v>
      </c>
      <c r="H87" s="28">
        <v>0.61835486234112258</v>
      </c>
      <c r="I87" s="59">
        <f>(B87/('Consumidores Inadimplentes'!B123*1000000))</f>
        <v>1.7630104346178743E-2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1435211</v>
      </c>
      <c r="C88" s="29">
        <v>9447626</v>
      </c>
      <c r="D88" s="29">
        <v>13139727442</v>
      </c>
      <c r="E88" s="33">
        <f t="shared" ref="E88:E89" si="104">IFERROR(C88/B88,"")</f>
        <v>6.5827435826509131</v>
      </c>
      <c r="F88" s="45">
        <f t="shared" ref="F88:F89" si="105">IFERROR(D88/B88,"")</f>
        <v>9155.2583153278501</v>
      </c>
      <c r="G88" s="45">
        <f t="shared" ref="G88:G89" si="106">IFERROR(F88/E88,"")</f>
        <v>1390.7967400487698</v>
      </c>
      <c r="H88" s="26">
        <v>0.61900136764095093</v>
      </c>
      <c r="I88" s="59">
        <f>(B88/('Consumidores Inadimplentes'!B124*1000000))</f>
        <v>1.7649074913096002E-2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1441446</v>
      </c>
      <c r="C89" s="30">
        <v>9517415</v>
      </c>
      <c r="D89" s="30">
        <v>13363810053</v>
      </c>
      <c r="E89" s="34">
        <f t="shared" si="104"/>
        <v>6.6026857752562353</v>
      </c>
      <c r="F89" s="43">
        <f t="shared" si="105"/>
        <v>9271.1139043710282</v>
      </c>
      <c r="G89" s="43">
        <f t="shared" si="106"/>
        <v>1404.1428321660874</v>
      </c>
      <c r="H89" s="27">
        <v>0.62112632540999535</v>
      </c>
      <c r="I89" s="59">
        <f>(B89/('Consumidores Inadimplentes'!B125*1000000))</f>
        <v>1.7636268309187807E-2</v>
      </c>
    </row>
    <row r="90" spans="1:16" x14ac:dyDescent="0.35">
      <c r="A90" s="5">
        <v>46082</v>
      </c>
      <c r="B90" s="30">
        <v>1458052</v>
      </c>
      <c r="C90" s="30">
        <v>9685312</v>
      </c>
      <c r="D90" s="30">
        <v>13820588248</v>
      </c>
      <c r="E90" s="34">
        <f t="shared" ref="E90" si="107">IFERROR(C90/B90,"")</f>
        <v>6.6426382598151505</v>
      </c>
      <c r="F90" s="43">
        <f t="shared" ref="F90" si="108">IFERROR(D90/B90,"")</f>
        <v>9478.8033952149854</v>
      </c>
      <c r="G90" s="43">
        <f t="shared" ref="G90" si="109">IFERROR(F90/E90,"")</f>
        <v>1426.9636587855921</v>
      </c>
      <c r="H90" s="27">
        <v>0.62771175367712739</v>
      </c>
      <c r="I90" s="59">
        <f>(B90/('Consumidores Inadimplentes'!B126*1000000))</f>
        <v>1.7602416423767819E-2</v>
      </c>
    </row>
    <row r="91" spans="1:16" x14ac:dyDescent="0.35">
      <c r="A91" s="5">
        <v>46113</v>
      </c>
      <c r="B91" s="30">
        <v>1463788</v>
      </c>
      <c r="C91" s="30">
        <v>9760939</v>
      </c>
      <c r="D91" s="30">
        <v>14036867942</v>
      </c>
      <c r="E91" s="34">
        <f t="shared" ref="E91" si="110">IFERROR(C91/B91,"")</f>
        <v>6.6682736844406429</v>
      </c>
      <c r="F91" s="43">
        <f t="shared" ref="F91" si="111">IFERROR(D91/B91,"")</f>
        <v>9589.4131814169814</v>
      </c>
      <c r="G91" s="43">
        <f t="shared" ref="G91" si="112">IFERROR(F91/E91,"")</f>
        <v>1438.0653277312767</v>
      </c>
      <c r="H91" s="27">
        <v>0.6296092545318861</v>
      </c>
      <c r="I91" s="59">
        <f>(B91/('Consumidores Inadimplentes'!B127*1000000))</f>
        <v>1.7553689691584971E-2</v>
      </c>
    </row>
    <row r="92" spans="1:16" x14ac:dyDescent="0.35">
      <c r="A92" s="5">
        <v>46143</v>
      </c>
      <c r="B92" s="30">
        <v>1457974</v>
      </c>
      <c r="C92" s="30">
        <v>9778477</v>
      </c>
      <c r="D92" s="30">
        <v>14196593897</v>
      </c>
      <c r="E92" s="34">
        <f t="shared" ref="E92" si="113">IFERROR(C92/B92,"")</f>
        <v>6.7068939500978759</v>
      </c>
      <c r="F92" s="43">
        <f t="shared" ref="F92" si="114">IFERROR(D92/B92,"")</f>
        <v>9737.2064913366085</v>
      </c>
      <c r="G92" s="43">
        <f t="shared" ref="G92" si="115">IFERROR(F92/E92,"")</f>
        <v>1451.820554161962</v>
      </c>
      <c r="H92" s="27">
        <v>0.62653935687037576</v>
      </c>
      <c r="I92" s="59">
        <f>(B92/('Consumidores Inadimplentes'!B128*1000000))</f>
        <v>1.7460171357512773E-2</v>
      </c>
    </row>
    <row r="93" spans="1:16" x14ac:dyDescent="0.35">
      <c r="A93" s="5">
        <v>46174</v>
      </c>
      <c r="B93" s="30">
        <v>1466317</v>
      </c>
      <c r="C93" s="30">
        <v>9858192</v>
      </c>
      <c r="D93" s="30">
        <v>14325584358</v>
      </c>
      <c r="E93" s="34">
        <f t="shared" ref="E93" si="116">IFERROR(C93/B93,"")</f>
        <v>6.7230973929921021</v>
      </c>
      <c r="F93" s="43">
        <f t="shared" ref="F93" si="117">IFERROR(D93/B93,"")</f>
        <v>9769.7730831736935</v>
      </c>
      <c r="G93" s="43">
        <f t="shared" ref="G93" si="118">IFERROR(F93/E93,"")</f>
        <v>1453.1654849083889</v>
      </c>
      <c r="H93" s="27">
        <v>0.62955296804829253</v>
      </c>
      <c r="I93" s="59">
        <f>(B93/('Consumidores Inadimplentes'!B129*1000000))</f>
        <v>1.7510856802392206E-2</v>
      </c>
    </row>
    <row r="94" spans="1:16" x14ac:dyDescent="0.35">
      <c r="A94" s="5">
        <v>46204</v>
      </c>
      <c r="B94" s="30">
        <v>1469043</v>
      </c>
      <c r="C94" s="30">
        <v>9882237</v>
      </c>
      <c r="D94" s="30">
        <v>14373648610</v>
      </c>
      <c r="E94" s="34">
        <f t="shared" ref="E94" si="119">IFERROR(C94/B94,"")</f>
        <v>6.7269896116042895</v>
      </c>
      <c r="F94" s="43">
        <f t="shared" ref="F94" si="120">IFERROR(D94/B94,"")</f>
        <v>9784.3620710898176</v>
      </c>
      <c r="G94" s="43">
        <f t="shared" ref="G94" si="121">IFERROR(F94/E94,"")</f>
        <v>1454.4934117649677</v>
      </c>
      <c r="H94" s="27">
        <v>0.63015114176698817</v>
      </c>
      <c r="I94" s="59">
        <f>(B94/('Consumidores Inadimplentes'!B130*1000000))</f>
        <v>1.7502793156710657E-2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FA1F-2891-4EA6-BFBC-37C14E79798E}">
  <sheetPr codeName="Planilha11"/>
  <dimension ref="A1:P99"/>
  <sheetViews>
    <sheetView zoomScale="90" zoomScaleNormal="90" workbookViewId="0">
      <pane xSplit="1" ySplit="3" topLeftCell="B84" activePane="bottomRight" state="frozen"/>
      <selection activeCell="H93" sqref="H93"/>
      <selection pane="topRight" activeCell="H93" sqref="H93"/>
      <selection pane="bottomLeft" activeCell="H93" sqref="H93"/>
      <selection pane="bottomRight" activeCell="J95" sqref="J95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27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1257670</v>
      </c>
      <c r="C4" s="29">
        <v>5305106</v>
      </c>
      <c r="D4" s="29">
        <v>5127644603.5600214</v>
      </c>
      <c r="E4" s="33">
        <f t="shared" ref="E4:E33" si="0">C4/B4</f>
        <v>4.2182019130614545</v>
      </c>
      <c r="F4" s="45">
        <f>D4/B4</f>
        <v>4077.0986058028111</v>
      </c>
      <c r="G4" s="45">
        <f t="shared" ref="G4" si="1">F4/E4</f>
        <v>966.54894427369061</v>
      </c>
      <c r="H4" s="26">
        <v>0.42835239812648751</v>
      </c>
      <c r="I4" s="58">
        <f>(B4/('Consumidores Inadimplentes'!B40*1000000))</f>
        <v>2.0227453221833131E-2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1269389</v>
      </c>
      <c r="C5" s="30">
        <v>5300895</v>
      </c>
      <c r="D5" s="30">
        <v>5103462765.8100233</v>
      </c>
      <c r="E5" s="34">
        <f t="shared" si="0"/>
        <v>4.1759421264876249</v>
      </c>
      <c r="F5" s="43">
        <f t="shared" ref="F5:F45" si="2">D5/B5</f>
        <v>4020.4088469413423</v>
      </c>
      <c r="G5" s="43">
        <f t="shared" ref="G5:G45" si="3">F5/E5</f>
        <v>962.754924557084</v>
      </c>
      <c r="H5" s="27">
        <v>0.43181848993320437</v>
      </c>
      <c r="I5" s="59">
        <f>(B5/('Consumidores Inadimplentes'!B41*1000000))</f>
        <v>2.041707783855613E-2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1266573</v>
      </c>
      <c r="C6" s="30">
        <v>5256823</v>
      </c>
      <c r="D6" s="30">
        <v>5196438070.4600487</v>
      </c>
      <c r="E6" s="34">
        <f t="shared" si="0"/>
        <v>4.150430334453679</v>
      </c>
      <c r="F6" s="43">
        <f t="shared" si="2"/>
        <v>4102.7544961562016</v>
      </c>
      <c r="G6" s="43">
        <f t="shared" si="3"/>
        <v>988.51303733453631</v>
      </c>
      <c r="H6" s="27">
        <v>0.43027449381801486</v>
      </c>
      <c r="I6" s="59">
        <f>(B6/('Consumidores Inadimplentes'!B42*1000000))</f>
        <v>2.0117080217860583E-2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1269658</v>
      </c>
      <c r="C7" s="30">
        <v>5207472</v>
      </c>
      <c r="D7" s="30">
        <v>5175890133.8100462</v>
      </c>
      <c r="E7" s="34">
        <f t="shared" si="0"/>
        <v>4.101476145544706</v>
      </c>
      <c r="F7" s="43">
        <f t="shared" si="2"/>
        <v>4076.601835935383</v>
      </c>
      <c r="G7" s="43">
        <f t="shared" si="3"/>
        <v>993.93527873218443</v>
      </c>
      <c r="H7" s="27">
        <v>0.43059348761700222</v>
      </c>
      <c r="I7" s="59">
        <f>(B7/('Consumidores Inadimplentes'!B43*1000000))</f>
        <v>2.0087807681760883E-2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1292509</v>
      </c>
      <c r="C8" s="30">
        <v>5248526</v>
      </c>
      <c r="D8" s="30">
        <v>5229856871.2100353</v>
      </c>
      <c r="E8" s="34">
        <f t="shared" si="0"/>
        <v>4.0607268498710649</v>
      </c>
      <c r="F8" s="43">
        <f t="shared" si="2"/>
        <v>4046.2827502245905</v>
      </c>
      <c r="G8" s="43">
        <f t="shared" si="3"/>
        <v>996.44297679196688</v>
      </c>
      <c r="H8" s="27">
        <v>0.43591446770713005</v>
      </c>
      <c r="I8" s="59">
        <f>(B8/('Consumidores Inadimplentes'!B44*1000000))</f>
        <v>2.0394741939198088E-2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1284435</v>
      </c>
      <c r="C9" s="30">
        <v>5204808</v>
      </c>
      <c r="D9" s="30">
        <v>5265123397.7600269</v>
      </c>
      <c r="E9" s="34">
        <f t="shared" si="0"/>
        <v>4.0522159548751011</v>
      </c>
      <c r="F9" s="43">
        <f t="shared" si="2"/>
        <v>4099.1746548171195</v>
      </c>
      <c r="G9" s="43">
        <f t="shared" si="3"/>
        <v>1011.5884001407979</v>
      </c>
      <c r="H9" s="27">
        <v>0.43456498781080916</v>
      </c>
      <c r="I9" s="59">
        <f>(B9/('Consumidores Inadimplentes'!B45*1000000))</f>
        <v>2.0243077049207792E-2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1309704</v>
      </c>
      <c r="C10" s="30">
        <v>5340211</v>
      </c>
      <c r="D10" s="30">
        <v>5284172390.4300375</v>
      </c>
      <c r="E10" s="34">
        <f t="shared" si="0"/>
        <v>4.077418256338837</v>
      </c>
      <c r="F10" s="43">
        <f t="shared" si="2"/>
        <v>4034.6310238267865</v>
      </c>
      <c r="G10" s="43">
        <f t="shared" si="3"/>
        <v>989.50629299666946</v>
      </c>
      <c r="H10" s="27">
        <v>0.44232248832929755</v>
      </c>
      <c r="I10" s="59">
        <f>(B10/('Consumidores Inadimplentes'!B46*1000000))</f>
        <v>2.0637165049292687E-2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1285525</v>
      </c>
      <c r="C11" s="30">
        <v>5203593</v>
      </c>
      <c r="D11" s="30">
        <v>5359244378.4200392</v>
      </c>
      <c r="E11" s="34">
        <f t="shared" si="0"/>
        <v>4.0478349312537683</v>
      </c>
      <c r="F11" s="43">
        <f t="shared" si="2"/>
        <v>4168.9149401373288</v>
      </c>
      <c r="G11" s="43">
        <f t="shared" si="3"/>
        <v>1029.9122891471411</v>
      </c>
      <c r="H11" s="27">
        <v>0.43299181929149028</v>
      </c>
      <c r="I11" s="59">
        <f>(B11/('Consumidores Inadimplentes'!B47*1000000))</f>
        <v>2.0267488117499767E-2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1290312</v>
      </c>
      <c r="C12" s="30">
        <v>5191550</v>
      </c>
      <c r="D12" s="30">
        <v>5331962112.7600365</v>
      </c>
      <c r="E12" s="34">
        <f t="shared" si="0"/>
        <v>4.0234842425707891</v>
      </c>
      <c r="F12" s="43">
        <f t="shared" si="2"/>
        <v>4132.304522286111</v>
      </c>
      <c r="G12" s="43">
        <f t="shared" si="3"/>
        <v>1027.0462795812496</v>
      </c>
      <c r="H12" s="27">
        <v>0.43417058643608925</v>
      </c>
      <c r="I12" s="59">
        <f>(B12/('Consumidores Inadimplentes'!B48*1000000))</f>
        <v>2.0414194344771763E-2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1308115</v>
      </c>
      <c r="C13" s="30">
        <v>5207656</v>
      </c>
      <c r="D13" s="30">
        <v>5389275430.5600281</v>
      </c>
      <c r="E13" s="34">
        <f t="shared" si="0"/>
        <v>3.9810383643639895</v>
      </c>
      <c r="F13" s="43">
        <f t="shared" si="2"/>
        <v>4119.8789330907666</v>
      </c>
      <c r="G13" s="43">
        <f t="shared" si="3"/>
        <v>1034.8754661521475</v>
      </c>
      <c r="H13" s="27">
        <v>0.43972188355184716</v>
      </c>
      <c r="I13" s="59">
        <f>(B13/('Consumidores Inadimplentes'!B49*1000000))</f>
        <v>2.0486861605718651E-2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1313514</v>
      </c>
      <c r="C14" s="30">
        <v>5178499</v>
      </c>
      <c r="D14" s="30">
        <v>5477618130.4800463</v>
      </c>
      <c r="E14" s="34">
        <f t="shared" si="0"/>
        <v>3.9424772023746986</v>
      </c>
      <c r="F14" s="43">
        <f t="shared" si="2"/>
        <v>4170.2015589327912</v>
      </c>
      <c r="G14" s="43">
        <f t="shared" si="3"/>
        <v>1057.7617434086685</v>
      </c>
      <c r="H14" s="27">
        <v>0.44109623082502752</v>
      </c>
      <c r="I14" s="59">
        <f>(B14/('Consumidores Inadimplentes'!B50*1000000))</f>
        <v>2.0574782011450705E-2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1301628</v>
      </c>
      <c r="C15" s="31">
        <v>5120420</v>
      </c>
      <c r="D15" s="31">
        <v>5477780099.1900368</v>
      </c>
      <c r="E15" s="35">
        <f t="shared" si="0"/>
        <v>3.9338582144821714</v>
      </c>
      <c r="F15" s="43">
        <f t="shared" si="2"/>
        <v>4208.4067791950056</v>
      </c>
      <c r="G15" s="43">
        <f t="shared" si="3"/>
        <v>1069.7911693161961</v>
      </c>
      <c r="H15" s="27">
        <v>0.43666864151872609</v>
      </c>
      <c r="I15" s="59">
        <f>(B15/('Consumidores Inadimplentes'!B51*1000000))</f>
        <v>2.0560458523745027E-2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1310311</v>
      </c>
      <c r="C16" s="29">
        <v>5130782</v>
      </c>
      <c r="D16" s="29">
        <v>5545663427.370039</v>
      </c>
      <c r="E16" s="33">
        <f t="shared" si="0"/>
        <v>3.9156978763057015</v>
      </c>
      <c r="F16" s="45">
        <f t="shared" si="2"/>
        <v>4232.3260869900651</v>
      </c>
      <c r="G16" s="45">
        <f t="shared" si="3"/>
        <v>1080.8612463694694</v>
      </c>
      <c r="H16" s="26">
        <v>0.43914302308707281</v>
      </c>
      <c r="I16" s="59">
        <f>(B16/('Consumidores Inadimplentes'!B52*1000000))</f>
        <v>2.0543470012711978E-2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1301918</v>
      </c>
      <c r="C17" s="30">
        <v>5063073</v>
      </c>
      <c r="D17" s="30">
        <v>5475052346.6400423</v>
      </c>
      <c r="E17" s="34">
        <f t="shared" si="0"/>
        <v>3.888933865266476</v>
      </c>
      <c r="F17" s="43">
        <f t="shared" si="2"/>
        <v>4205.3741838119158</v>
      </c>
      <c r="G17" s="43">
        <f t="shared" si="3"/>
        <v>1081.369426559728</v>
      </c>
      <c r="H17" s="27">
        <v>0.43589481751362924</v>
      </c>
      <c r="I17" s="59">
        <f>(B17/('Consumidores Inadimplentes'!B53*1000000))</f>
        <v>2.0377589844496832E-2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1319955</v>
      </c>
      <c r="C18" s="30">
        <v>5052888</v>
      </c>
      <c r="D18" s="30">
        <v>5500967469.640069</v>
      </c>
      <c r="E18" s="34">
        <f t="shared" si="0"/>
        <v>3.8280759571349021</v>
      </c>
      <c r="F18" s="43">
        <f t="shared" si="2"/>
        <v>4167.5416734964974</v>
      </c>
      <c r="G18" s="43">
        <f t="shared" si="3"/>
        <v>1088.6778946297779</v>
      </c>
      <c r="H18" s="27">
        <v>0.44149284523074472</v>
      </c>
      <c r="I18" s="59">
        <f>(B18/('Consumidores Inadimplentes'!B54*1000000))</f>
        <v>2.0365701785508058E-2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1336703</v>
      </c>
      <c r="C19" s="30">
        <v>5050985</v>
      </c>
      <c r="D19" s="30">
        <v>5470425738.4500513</v>
      </c>
      <c r="E19" s="34">
        <f t="shared" si="0"/>
        <v>3.7786890580779726</v>
      </c>
      <c r="F19" s="43">
        <f t="shared" si="2"/>
        <v>4092.4765923694727</v>
      </c>
      <c r="G19" s="43">
        <f t="shared" si="3"/>
        <v>1083.0413747912637</v>
      </c>
      <c r="H19" s="27">
        <v>0.44664855617260435</v>
      </c>
      <c r="I19" s="59">
        <f>(B19/('Consumidores Inadimplentes'!B55*1000000))</f>
        <v>2.0281158401575804E-2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1301492</v>
      </c>
      <c r="C20" s="30">
        <v>4926694</v>
      </c>
      <c r="D20" s="30">
        <v>5319270954.1900425</v>
      </c>
      <c r="E20" s="34">
        <f t="shared" si="0"/>
        <v>3.7854201178339935</v>
      </c>
      <c r="F20" s="43">
        <f t="shared" si="2"/>
        <v>4087.0562048710576</v>
      </c>
      <c r="G20" s="43">
        <f t="shared" si="3"/>
        <v>1079.6836487490482</v>
      </c>
      <c r="H20" s="27">
        <v>0.4344491774790043</v>
      </c>
      <c r="I20" s="59">
        <f>(B20/('Consumidores Inadimplentes'!B56*1000000))</f>
        <v>1.9951758910508002E-2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1265069</v>
      </c>
      <c r="C21" s="30">
        <v>4785266</v>
      </c>
      <c r="D21" s="30">
        <v>5169913937.6000557</v>
      </c>
      <c r="E21" s="34">
        <f t="shared" si="0"/>
        <v>3.7826126480057609</v>
      </c>
      <c r="F21" s="43">
        <f t="shared" si="2"/>
        <v>4086.6655791897956</v>
      </c>
      <c r="G21" s="43">
        <f t="shared" si="3"/>
        <v>1080.3817254046182</v>
      </c>
      <c r="H21" s="27">
        <v>0.42144859806857143</v>
      </c>
      <c r="I21" s="59">
        <f>(B21/('Consumidores Inadimplentes'!B57*1000000))</f>
        <v>1.9766489708681428E-2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1248307</v>
      </c>
      <c r="C22" s="30">
        <v>4715453</v>
      </c>
      <c r="D22" s="30">
        <v>5262276948.7100372</v>
      </c>
      <c r="E22" s="34">
        <f t="shared" si="0"/>
        <v>3.7774786170389176</v>
      </c>
      <c r="F22" s="43">
        <f t="shared" si="2"/>
        <v>4215.5310742550009</v>
      </c>
      <c r="G22" s="43">
        <f t="shared" si="3"/>
        <v>1115.9642453673141</v>
      </c>
      <c r="H22" s="27">
        <v>0.4155092631117851</v>
      </c>
      <c r="I22" s="59">
        <f>(B22/('Consumidores Inadimplentes'!B58*1000000))</f>
        <v>1.9657409941403359E-2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1244880</v>
      </c>
      <c r="C23" s="30">
        <v>4792454</v>
      </c>
      <c r="D23" s="30">
        <v>5319533989.4500437</v>
      </c>
      <c r="E23" s="34">
        <f t="shared" si="0"/>
        <v>3.8497317010474905</v>
      </c>
      <c r="F23" s="43">
        <f t="shared" si="2"/>
        <v>4273.1299317605262</v>
      </c>
      <c r="G23" s="43">
        <f t="shared" si="3"/>
        <v>1109.9812307953387</v>
      </c>
      <c r="H23" s="27">
        <v>0.41401466651146551</v>
      </c>
      <c r="I23" s="59">
        <f>(B23/('Consumidores Inadimplentes'!B59*1000000))</f>
        <v>1.9744194928659569E-2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1231863</v>
      </c>
      <c r="C24" s="30">
        <v>4678954</v>
      </c>
      <c r="D24" s="30">
        <v>5240650733.2700577</v>
      </c>
      <c r="E24" s="34">
        <f t="shared" si="0"/>
        <v>3.7982746458007099</v>
      </c>
      <c r="F24" s="43">
        <f t="shared" si="2"/>
        <v>4254.2480237413229</v>
      </c>
      <c r="G24" s="43">
        <f t="shared" si="3"/>
        <v>1120.0475006315637</v>
      </c>
      <c r="H24" s="27">
        <v>0.40933568594612918</v>
      </c>
      <c r="I24" s="59">
        <f>(B24/('Consumidores Inadimplentes'!B60*1000000))</f>
        <v>1.9627125358561499E-2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1226027</v>
      </c>
      <c r="C25" s="30">
        <v>4615540</v>
      </c>
      <c r="D25" s="30">
        <v>5195101047.1700459</v>
      </c>
      <c r="E25" s="34">
        <f t="shared" si="0"/>
        <v>3.7646316108862203</v>
      </c>
      <c r="F25" s="43">
        <f t="shared" si="2"/>
        <v>4237.3463611894731</v>
      </c>
      <c r="G25" s="43">
        <f t="shared" si="3"/>
        <v>1125.5673327866396</v>
      </c>
      <c r="H25" s="27">
        <v>0.40704855789789612</v>
      </c>
      <c r="I25" s="59">
        <f>(B25/('Consumidores Inadimplentes'!B61*1000000))</f>
        <v>1.9685793396913728E-2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1269345</v>
      </c>
      <c r="C26" s="30">
        <v>4899311</v>
      </c>
      <c r="D26" s="30">
        <v>5068337650.4100504</v>
      </c>
      <c r="E26" s="34">
        <f t="shared" si="0"/>
        <v>3.8597158376958194</v>
      </c>
      <c r="F26" s="43">
        <f t="shared" si="2"/>
        <v>3992.8763656925821</v>
      </c>
      <c r="G26" s="43">
        <f t="shared" si="3"/>
        <v>1034.5000859120908</v>
      </c>
      <c r="H26" s="27">
        <v>0.42107056206432369</v>
      </c>
      <c r="I26" s="59">
        <f>(B26/('Consumidores Inadimplentes'!B62*1000000))</f>
        <v>2.0490261482013092E-2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1244372</v>
      </c>
      <c r="C27" s="31">
        <v>4767755</v>
      </c>
      <c r="D27" s="31">
        <v>4932075630.8600683</v>
      </c>
      <c r="E27" s="35">
        <f t="shared" si="0"/>
        <v>3.8314547418296137</v>
      </c>
      <c r="F27" s="46">
        <f t="shared" si="2"/>
        <v>3963.505793171229</v>
      </c>
      <c r="G27" s="46">
        <f t="shared" si="3"/>
        <v>1034.4649905165154</v>
      </c>
      <c r="H27" s="28">
        <v>0.41243388198703212</v>
      </c>
      <c r="I27" s="59">
        <f>(B27/('Consumidores Inadimplentes'!B63*1000000))</f>
        <v>2.0279432553585948E-2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1242572</v>
      </c>
      <c r="C28" s="29">
        <v>4792440</v>
      </c>
      <c r="D28" s="29">
        <v>4960886996.1500483</v>
      </c>
      <c r="E28" s="33">
        <f t="shared" si="0"/>
        <v>3.8568710706502318</v>
      </c>
      <c r="F28" s="45">
        <f t="shared" si="2"/>
        <v>3992.4342381367424</v>
      </c>
      <c r="G28" s="45">
        <f t="shared" si="3"/>
        <v>1035.1484830587442</v>
      </c>
      <c r="H28" s="26">
        <v>0.41148556059133923</v>
      </c>
      <c r="I28" s="59">
        <f>(B28/('Consumidores Inadimplentes'!B64*1000000))</f>
        <v>2.0148939791791866E-2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1247857</v>
      </c>
      <c r="C29" s="30">
        <v>4773957</v>
      </c>
      <c r="D29" s="30">
        <v>4957417920.9100437</v>
      </c>
      <c r="E29" s="34">
        <f t="shared" si="0"/>
        <v>3.8257244219489892</v>
      </c>
      <c r="F29" s="43">
        <f t="shared" si="2"/>
        <v>3972.7452111179755</v>
      </c>
      <c r="G29" s="43">
        <f t="shared" si="3"/>
        <v>1038.4295294050708</v>
      </c>
      <c r="H29" s="27">
        <v>0.41288282478626398</v>
      </c>
      <c r="I29" s="59">
        <f>(B29/('Consumidores Inadimplentes'!B65*1000000))</f>
        <v>2.0272221172664372E-2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1259350</v>
      </c>
      <c r="C30" s="30">
        <v>4808449</v>
      </c>
      <c r="D30" s="30">
        <v>5041796365.1700516</v>
      </c>
      <c r="E30" s="34">
        <f t="shared" si="0"/>
        <v>3.8181990709492992</v>
      </c>
      <c r="F30" s="43">
        <f t="shared" si="2"/>
        <v>4003.490979608569</v>
      </c>
      <c r="G30" s="43">
        <f t="shared" si="3"/>
        <v>1048.5286139397654</v>
      </c>
      <c r="H30" s="27">
        <v>0.41632973936869028</v>
      </c>
      <c r="I30" s="59">
        <f>(B30/('Consumidores Inadimplentes'!B66*1000000))</f>
        <v>2.0131133147891712E-2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1276381</v>
      </c>
      <c r="C31" s="30">
        <v>4928762</v>
      </c>
      <c r="D31" s="30">
        <v>5134745548.4800367</v>
      </c>
      <c r="E31" s="34">
        <f t="shared" si="0"/>
        <v>3.8615131375349523</v>
      </c>
      <c r="F31" s="43">
        <f t="shared" si="2"/>
        <v>4022.8940641391846</v>
      </c>
      <c r="G31" s="43">
        <f t="shared" si="3"/>
        <v>1041.7921474966811</v>
      </c>
      <c r="H31" s="27">
        <v>0.42159974447319232</v>
      </c>
      <c r="I31" s="59">
        <f>(B31/('Consumidores Inadimplentes'!B67*1000000))</f>
        <v>2.0265943822424755E-2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1269836</v>
      </c>
      <c r="C32" s="30">
        <v>4864698</v>
      </c>
      <c r="D32" s="30">
        <v>5097735863.1200342</v>
      </c>
      <c r="E32" s="34">
        <f t="shared" si="0"/>
        <v>3.8309655735071302</v>
      </c>
      <c r="F32" s="43">
        <f t="shared" si="2"/>
        <v>4014.4836523141839</v>
      </c>
      <c r="G32" s="43">
        <f t="shared" si="3"/>
        <v>1047.903870521877</v>
      </c>
      <c r="H32" s="27">
        <v>0.4190796284824817</v>
      </c>
      <c r="I32" s="59">
        <f>(B32/('Consumidores Inadimplentes'!B68*1000000))</f>
        <v>2.0298277756424534E-2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1248635</v>
      </c>
      <c r="C33" s="30">
        <v>4721092</v>
      </c>
      <c r="D33" s="30">
        <v>4966849464.900034</v>
      </c>
      <c r="E33" s="34">
        <f t="shared" si="0"/>
        <v>3.781002454680511</v>
      </c>
      <c r="F33" s="43">
        <f t="shared" si="2"/>
        <v>3977.8233550237132</v>
      </c>
      <c r="G33" s="43">
        <f t="shared" si="3"/>
        <v>1052.0552162296424</v>
      </c>
      <c r="H33" s="27">
        <v>0.41173080036628046</v>
      </c>
      <c r="I33" s="59">
        <f>(B33/('Consumidores Inadimplentes'!B69*1000000))</f>
        <v>1.9975145510840668E-2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1262759</v>
      </c>
      <c r="C34" s="30">
        <v>4699795</v>
      </c>
      <c r="D34" s="30">
        <v>4938082152.3400345</v>
      </c>
      <c r="E34" s="34">
        <f>C34/B34</f>
        <v>3.7218463697348425</v>
      </c>
      <c r="F34" s="43">
        <f t="shared" si="2"/>
        <v>3910.5499563574954</v>
      </c>
      <c r="G34" s="43">
        <f t="shared" si="3"/>
        <v>1050.7016055679098</v>
      </c>
      <c r="H34" s="27">
        <v>0.41638825211498331</v>
      </c>
      <c r="I34" s="59">
        <f>(B34/('Consumidores Inadimplentes'!B70*1000000))</f>
        <v>2.0293845394254818E-2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1262168</v>
      </c>
      <c r="C35" s="30">
        <v>4680166</v>
      </c>
      <c r="D35" s="30">
        <v>5011799078.5700321</v>
      </c>
      <c r="E35" s="34">
        <f>C35/B35</f>
        <v>3.7080372818832359</v>
      </c>
      <c r="F35" s="43">
        <f t="shared" si="2"/>
        <v>3970.7860431971276</v>
      </c>
      <c r="G35" s="43">
        <f t="shared" si="3"/>
        <v>1070.8592555413702</v>
      </c>
      <c r="H35" s="27">
        <v>0.41586248184138641</v>
      </c>
      <c r="I35" s="59">
        <f>(B35/('Consumidores Inadimplentes'!B71*1000000))</f>
        <v>2.0276196688592405E-2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1264858</v>
      </c>
      <c r="C36" s="30">
        <v>4758253</v>
      </c>
      <c r="D36" s="30">
        <v>5127368937.0000439</v>
      </c>
      <c r="E36" s="34">
        <f>C36/B36</f>
        <v>3.7618871051137757</v>
      </c>
      <c r="F36" s="43">
        <f t="shared" si="2"/>
        <v>4053.7111177697766</v>
      </c>
      <c r="G36" s="43">
        <f t="shared" si="3"/>
        <v>1077.5738358174826</v>
      </c>
      <c r="H36" s="27">
        <v>0.41641744659052449</v>
      </c>
      <c r="I36" s="59">
        <f>(B36/('Consumidores Inadimplentes'!B72*1000000))</f>
        <v>2.0331980555622086E-2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1266231</v>
      </c>
      <c r="C37" s="30">
        <v>4776747</v>
      </c>
      <c r="D37" s="30">
        <v>5230831208.5300245</v>
      </c>
      <c r="E37" s="34">
        <f>C37/B37</f>
        <v>3.772413564349633</v>
      </c>
      <c r="F37" s="43">
        <f t="shared" si="2"/>
        <v>4131.0244406668489</v>
      </c>
      <c r="G37" s="43">
        <f t="shared" si="3"/>
        <v>1095.0613897972878</v>
      </c>
      <c r="H37" s="27">
        <v>0.41653801630517917</v>
      </c>
      <c r="I37" s="59">
        <f>(B37/('Consumidores Inadimplentes'!B73*1000000))</f>
        <v>1.997050928583078E-2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1274646</v>
      </c>
      <c r="C38" s="30">
        <v>4832673</v>
      </c>
      <c r="D38" s="30">
        <v>5333676799.3100147</v>
      </c>
      <c r="E38" s="34">
        <f t="shared" ref="E38:E45" si="4">C38/B38</f>
        <v>3.7913844314421414</v>
      </c>
      <c r="F38" s="43">
        <f t="shared" si="2"/>
        <v>4184.4377178526547</v>
      </c>
      <c r="G38" s="43">
        <f t="shared" si="3"/>
        <v>1103.6701219614931</v>
      </c>
      <c r="H38" s="27">
        <v>0.41897280752269983</v>
      </c>
      <c r="I38" s="59">
        <f>(B38/('Consumidores Inadimplentes'!B74*1000000))</f>
        <v>1.9832776486949439E-2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1268630</v>
      </c>
      <c r="C39" s="31">
        <v>4840037</v>
      </c>
      <c r="D39" s="31">
        <v>5221796804.2200069</v>
      </c>
      <c r="E39" s="35">
        <f t="shared" si="4"/>
        <v>3.8151683311919156</v>
      </c>
      <c r="F39" s="46">
        <f t="shared" si="2"/>
        <v>4116.0912198355763</v>
      </c>
      <c r="G39" s="46">
        <f t="shared" si="3"/>
        <v>1078.8753896344197</v>
      </c>
      <c r="H39" s="28">
        <v>0.41666379285145855</v>
      </c>
      <c r="I39" s="59">
        <f>(B39/('Consumidores Inadimplentes'!B75*1000000))</f>
        <v>1.9831375082158511E-2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1276187</v>
      </c>
      <c r="C40" s="29">
        <v>4867806</v>
      </c>
      <c r="D40" s="29">
        <v>5385887910.9200096</v>
      </c>
      <c r="E40" s="33">
        <f t="shared" si="4"/>
        <v>3.8143359868107103</v>
      </c>
      <c r="F40" s="45">
        <f t="shared" si="2"/>
        <v>4220.2967989174076</v>
      </c>
      <c r="G40" s="45">
        <f t="shared" si="3"/>
        <v>1106.4302708283792</v>
      </c>
      <c r="H40" s="26">
        <v>0.41881249269810933</v>
      </c>
      <c r="I40" s="59">
        <f>(B40/('Consumidores Inadimplentes'!B76*1000000))</f>
        <v>1.9688944219674698E-2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1274995</v>
      </c>
      <c r="C41" s="30">
        <v>4882668</v>
      </c>
      <c r="D41" s="30">
        <v>5436051017.2500038</v>
      </c>
      <c r="E41" s="34">
        <f t="shared" si="4"/>
        <v>3.8295585472884208</v>
      </c>
      <c r="F41" s="43">
        <f t="shared" si="2"/>
        <v>4263.5861452397885</v>
      </c>
      <c r="G41" s="43">
        <f t="shared" si="3"/>
        <v>1113.3361959588497</v>
      </c>
      <c r="H41" s="27">
        <v>0.41808858331685567</v>
      </c>
      <c r="I41" s="59">
        <f>(B41/('Consumidores Inadimplentes'!B77*1000000))</f>
        <v>1.9564396317238837E-2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1282872</v>
      </c>
      <c r="C42" s="30">
        <v>4931353</v>
      </c>
      <c r="D42" s="30">
        <v>5507387217.6800213</v>
      </c>
      <c r="E42" s="34">
        <f t="shared" si="4"/>
        <v>3.8439945684370693</v>
      </c>
      <c r="F42" s="43">
        <f t="shared" si="2"/>
        <v>4293.0138140672034</v>
      </c>
      <c r="G42" s="43">
        <f t="shared" si="3"/>
        <v>1116.8105827508234</v>
      </c>
      <c r="H42" s="27">
        <v>0.4203371748492058</v>
      </c>
      <c r="I42" s="59">
        <f>(B42/('Consumidores Inadimplentes'!B78*1000000))</f>
        <v>1.9527998774682281E-2</v>
      </c>
    </row>
    <row r="43" spans="1:16" x14ac:dyDescent="0.35">
      <c r="A43" s="5">
        <v>44652</v>
      </c>
      <c r="B43" s="30">
        <v>1292027</v>
      </c>
      <c r="C43" s="30">
        <v>4961646</v>
      </c>
      <c r="D43" s="30">
        <v>5606824484.4100275</v>
      </c>
      <c r="E43" s="34">
        <f t="shared" si="4"/>
        <v>3.8402030298128444</v>
      </c>
      <c r="F43" s="43">
        <f t="shared" si="2"/>
        <v>4339.5567464225032</v>
      </c>
      <c r="G43" s="43">
        <f t="shared" si="3"/>
        <v>1130.0331552089826</v>
      </c>
      <c r="H43" s="27">
        <v>0.42300032575582719</v>
      </c>
      <c r="I43" s="59">
        <f>(B43/('Consumidores Inadimplentes'!B79*1000000))</f>
        <v>1.9536894548488663E-2</v>
      </c>
    </row>
    <row r="44" spans="1:16" x14ac:dyDescent="0.35">
      <c r="A44" s="5">
        <v>44682</v>
      </c>
      <c r="B44" s="30">
        <v>1295765</v>
      </c>
      <c r="C44" s="30">
        <v>5041664</v>
      </c>
      <c r="D44" s="30">
        <v>5804122586.8700085</v>
      </c>
      <c r="E44" s="34">
        <f t="shared" si="4"/>
        <v>3.8908783614312781</v>
      </c>
      <c r="F44" s="43">
        <f t="shared" si="2"/>
        <v>4479.3018694516431</v>
      </c>
      <c r="G44" s="43">
        <f t="shared" si="3"/>
        <v>1151.2315352371772</v>
      </c>
      <c r="H44" s="27">
        <v>0.42388689065431412</v>
      </c>
      <c r="I44" s="59">
        <f>(B44/('Consumidores Inadimplentes'!B80*1000000))</f>
        <v>1.9461828507852035E-2</v>
      </c>
    </row>
    <row r="45" spans="1:16" x14ac:dyDescent="0.35">
      <c r="A45" s="5">
        <v>44713</v>
      </c>
      <c r="B45" s="30">
        <v>1286704</v>
      </c>
      <c r="C45" s="30">
        <v>5003968</v>
      </c>
      <c r="D45" s="30">
        <v>5812765952.4800797</v>
      </c>
      <c r="E45" s="34">
        <f t="shared" si="4"/>
        <v>3.8889814596053172</v>
      </c>
      <c r="F45" s="43">
        <f t="shared" si="2"/>
        <v>4517.5626659123463</v>
      </c>
      <c r="G45" s="43">
        <f t="shared" si="3"/>
        <v>1161.6313198805587</v>
      </c>
      <c r="H45" s="27">
        <v>0.42058812857986655</v>
      </c>
      <c r="I45" s="59">
        <f>(B45/('Consumidores Inadimplentes'!B81*1000000))</f>
        <v>1.9256666835032896E-2</v>
      </c>
    </row>
    <row r="46" spans="1:16" x14ac:dyDescent="0.35">
      <c r="A46" s="5">
        <v>44743</v>
      </c>
      <c r="B46" s="30">
        <v>1262210</v>
      </c>
      <c r="C46" s="30">
        <v>4786077</v>
      </c>
      <c r="D46" s="30">
        <v>5673935980.35005</v>
      </c>
      <c r="E46" s="34">
        <f t="shared" ref="E46" si="5">C46/B46</f>
        <v>3.7918230722304531</v>
      </c>
      <c r="F46" s="43">
        <f t="shared" ref="F46" si="6">D46/B46</f>
        <v>4495.2392869253536</v>
      </c>
      <c r="G46" s="43">
        <f t="shared" ref="G46" si="7">F46/E46</f>
        <v>1185.5087121143372</v>
      </c>
      <c r="H46" s="27">
        <v>0.4122537218325189</v>
      </c>
      <c r="I46" s="59">
        <f>(B46/('Consumidores Inadimplentes'!B82*1000000))</f>
        <v>1.8662831299410848E-2</v>
      </c>
    </row>
    <row r="47" spans="1:16" x14ac:dyDescent="0.35">
      <c r="A47" s="5">
        <v>44774</v>
      </c>
      <c r="B47" s="30">
        <v>1250257</v>
      </c>
      <c r="C47" s="30">
        <v>4727460</v>
      </c>
      <c r="D47" s="30">
        <v>5622436476.1800699</v>
      </c>
      <c r="E47" s="34">
        <f t="shared" ref="E47" si="8">C47/B47</f>
        <v>3.7811905872152685</v>
      </c>
      <c r="F47" s="43">
        <f t="shared" ref="F47" si="9">D47/B47</f>
        <v>4497.0245926877997</v>
      </c>
      <c r="G47" s="43">
        <f t="shared" ref="G47" si="10">F47/E47</f>
        <v>1189.3144471196099</v>
      </c>
      <c r="H47" s="27">
        <v>0.40801310072882269</v>
      </c>
      <c r="I47" s="59">
        <f>(B47/('Consumidores Inadimplentes'!B83*1000000))</f>
        <v>1.8392558658840815E-2</v>
      </c>
    </row>
    <row r="48" spans="1:16" x14ac:dyDescent="0.35">
      <c r="A48" s="5">
        <v>44805</v>
      </c>
      <c r="B48" s="30">
        <v>1259551</v>
      </c>
      <c r="C48" s="30">
        <v>4747469</v>
      </c>
      <c r="D48" s="30">
        <v>5703569835.5200596</v>
      </c>
      <c r="E48" s="34">
        <f t="shared" ref="E48" si="11">C48/B48</f>
        <v>3.76917568244557</v>
      </c>
      <c r="F48" s="43">
        <f t="shared" ref="F48" si="12">D48/B48</f>
        <v>4528.2563671658072</v>
      </c>
      <c r="G48" s="43">
        <f t="shared" ref="G48" si="13">F48/E48</f>
        <v>1201.3916964007683</v>
      </c>
      <c r="H48" s="27">
        <v>0.41070730422902157</v>
      </c>
      <c r="I48" s="59">
        <f>(B48/('Consumidores Inadimplentes'!B84*1000000))</f>
        <v>1.8417706286664209E-2</v>
      </c>
    </row>
    <row r="49" spans="1:16" x14ac:dyDescent="0.35">
      <c r="A49" s="5">
        <v>44835</v>
      </c>
      <c r="B49" s="30">
        <v>1267186</v>
      </c>
      <c r="C49" s="30">
        <v>4748418</v>
      </c>
      <c r="D49" s="30">
        <v>5725061263.6500454</v>
      </c>
      <c r="E49" s="34">
        <f t="shared" ref="E49" si="14">C49/B49</f>
        <v>3.7472146946067904</v>
      </c>
      <c r="F49" s="43">
        <f t="shared" ref="F49" si="15">D49/B49</f>
        <v>4517.9328556739465</v>
      </c>
      <c r="G49" s="43">
        <f t="shared" ref="G49" si="16">F49/E49</f>
        <v>1205.6776096059878</v>
      </c>
      <c r="H49" s="27">
        <v>0.41285628878104724</v>
      </c>
      <c r="I49" s="59">
        <f>(B49/('Consumidores Inadimplentes'!B85*1000000))</f>
        <v>1.8349951575981686E-2</v>
      </c>
    </row>
    <row r="50" spans="1:16" x14ac:dyDescent="0.35">
      <c r="A50" s="5">
        <v>44866</v>
      </c>
      <c r="B50" s="30">
        <v>1255509</v>
      </c>
      <c r="C50" s="30">
        <v>4727236</v>
      </c>
      <c r="D50" s="30">
        <v>5896658991.4800339</v>
      </c>
      <c r="E50" s="34">
        <f t="shared" ref="E50" si="17">C50/B50</f>
        <v>3.7651948333305456</v>
      </c>
      <c r="F50" s="43">
        <f t="shared" ref="F50" si="18">D50/B50</f>
        <v>4696.628213322273</v>
      </c>
      <c r="G50" s="43">
        <f t="shared" ref="G50" si="19">F50/E50</f>
        <v>1247.3798624566309</v>
      </c>
      <c r="H50" s="27">
        <v>0.40871469184500397</v>
      </c>
      <c r="I50" s="59">
        <f>(B50/('Consumidores Inadimplentes'!B86*1000000))</f>
        <v>1.7978284192636414E-2</v>
      </c>
    </row>
    <row r="51" spans="1:16" ht="15" thickBot="1" x14ac:dyDescent="0.4">
      <c r="A51" s="12">
        <v>44896</v>
      </c>
      <c r="B51" s="31">
        <v>1234104</v>
      </c>
      <c r="C51" s="31">
        <v>4646545</v>
      </c>
      <c r="D51" s="31">
        <v>5887119179.5499935</v>
      </c>
      <c r="E51" s="35">
        <f t="shared" ref="E51:E52" si="20">C51/B51</f>
        <v>3.765116230074613</v>
      </c>
      <c r="F51" s="46">
        <f t="shared" ref="F51:F52" si="21">D51/B51</f>
        <v>4770.3590455504509</v>
      </c>
      <c r="G51" s="46">
        <f t="shared" ref="G51:G52" si="22">F51/E51</f>
        <v>1266.988521482089</v>
      </c>
      <c r="H51" s="28">
        <v>0.40141543940064683</v>
      </c>
      <c r="I51" s="59">
        <f>(B51/('Consumidores Inadimplentes'!B87*1000000))</f>
        <v>1.7774969870076207E-2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1236042</v>
      </c>
      <c r="C52" s="29">
        <v>4664887</v>
      </c>
      <c r="D52" s="29">
        <v>6046665576.3100119</v>
      </c>
      <c r="E52" s="33">
        <f t="shared" si="20"/>
        <v>3.774052176220549</v>
      </c>
      <c r="F52" s="45">
        <f t="shared" si="21"/>
        <v>4891.9580210947624</v>
      </c>
      <c r="G52" s="45">
        <f t="shared" si="22"/>
        <v>1296.2083703871097</v>
      </c>
      <c r="H52" s="26">
        <v>0.40171431282861619</v>
      </c>
      <c r="I52" s="59">
        <f>(B52/('Consumidores Inadimplentes'!B88*1000000))</f>
        <v>1.7634320197300223E-2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1250174</v>
      </c>
      <c r="C53" s="30">
        <v>4694774</v>
      </c>
      <c r="D53" s="30">
        <v>6102118948.480031</v>
      </c>
      <c r="E53" s="34">
        <f t="shared" ref="E53" si="23">C53/B53</f>
        <v>3.7552964627323875</v>
      </c>
      <c r="F53" s="43">
        <f t="shared" ref="F53" si="24">D53/B53</f>
        <v>4881.0157213956063</v>
      </c>
      <c r="G53" s="43">
        <f t="shared" ref="G53" si="25">F53/E53</f>
        <v>1299.7684123836484</v>
      </c>
      <c r="H53" s="27">
        <v>0.40597222172610303</v>
      </c>
      <c r="I53" s="59">
        <f>(B53/('Consumidores Inadimplentes'!B89*1000000))</f>
        <v>1.7726189865819225E-2</v>
      </c>
    </row>
    <row r="54" spans="1:16" x14ac:dyDescent="0.35">
      <c r="A54" s="5">
        <v>44986</v>
      </c>
      <c r="B54" s="30">
        <v>1263914</v>
      </c>
      <c r="C54" s="30">
        <v>4926561</v>
      </c>
      <c r="D54" s="30">
        <v>6242320126.7100153</v>
      </c>
      <c r="E54" s="34">
        <f t="shared" ref="E54" si="26">C54/B54</f>
        <v>3.8978609304114045</v>
      </c>
      <c r="F54" s="43">
        <f t="shared" ref="F54" si="27">D54/B54</f>
        <v>4938.8804354647664</v>
      </c>
      <c r="G54" s="43">
        <f t="shared" ref="G54" si="28">F54/E54</f>
        <v>1267.0745631100508</v>
      </c>
      <c r="H54" s="27">
        <v>0.41009565872528148</v>
      </c>
      <c r="I54" s="59">
        <f>(B54/('Consumidores Inadimplentes'!B90*1000000))</f>
        <v>1.7875272653581069E-2</v>
      </c>
    </row>
    <row r="55" spans="1:16" x14ac:dyDescent="0.35">
      <c r="A55" s="5">
        <v>45017</v>
      </c>
      <c r="B55" s="30">
        <v>1288895</v>
      </c>
      <c r="C55" s="30">
        <v>5025010</v>
      </c>
      <c r="D55" s="30">
        <v>6381274453.3499985</v>
      </c>
      <c r="E55" s="34">
        <f t="shared" ref="E55" si="29">C55/B55</f>
        <v>3.898696169975056</v>
      </c>
      <c r="F55" s="43">
        <f t="shared" ref="F55" si="30">D55/B55</f>
        <v>4950.9653256083684</v>
      </c>
      <c r="G55" s="43">
        <f t="shared" ref="G55" si="31">F55/E55</f>
        <v>1269.9028366809216</v>
      </c>
      <c r="H55" s="27">
        <v>0.41785633583732557</v>
      </c>
      <c r="I55" s="59">
        <f>(B55/('Consumidores Inadimplentes'!B91*1000000))</f>
        <v>1.8041750415763946E-2</v>
      </c>
    </row>
    <row r="56" spans="1:16" x14ac:dyDescent="0.35">
      <c r="A56" s="5">
        <v>45047</v>
      </c>
      <c r="B56" s="30">
        <v>1274109</v>
      </c>
      <c r="C56" s="30">
        <v>4856330</v>
      </c>
      <c r="D56" s="30">
        <v>6505328611.5300102</v>
      </c>
      <c r="E56" s="34">
        <f t="shared" ref="E56" si="32">C56/B56</f>
        <v>3.8115498752461523</v>
      </c>
      <c r="F56" s="43">
        <f t="shared" ref="F56" si="33">D56/B56</f>
        <v>5105.7865626331895</v>
      </c>
      <c r="G56" s="43">
        <f t="shared" ref="G56" si="34">F56/E56</f>
        <v>1339.5565399241837</v>
      </c>
      <c r="H56" s="27">
        <v>0.41272222412981047</v>
      </c>
      <c r="I56" s="59">
        <f>(B56/('Consumidores Inadimplentes'!B92*1000000))</f>
        <v>1.7719689427398978E-2</v>
      </c>
    </row>
    <row r="57" spans="1:16" x14ac:dyDescent="0.35">
      <c r="A57" s="5">
        <v>45078</v>
      </c>
      <c r="B57" s="30">
        <v>1279037</v>
      </c>
      <c r="C57" s="30">
        <v>4856983</v>
      </c>
      <c r="D57" s="30">
        <v>6620714431.1299849</v>
      </c>
      <c r="E57" s="34">
        <f t="shared" ref="E57" si="35">C57/B57</f>
        <v>3.7973749000224388</v>
      </c>
      <c r="F57" s="43">
        <f t="shared" ref="F57" si="36">D57/B57</f>
        <v>5176.3275269831793</v>
      </c>
      <c r="G57" s="43">
        <f t="shared" ref="G57" si="37">F57/E57</f>
        <v>1363.1331283494269</v>
      </c>
      <c r="H57" s="27">
        <v>0.4139769998572646</v>
      </c>
      <c r="I57" s="59">
        <f>(B57/('Consumidores Inadimplentes'!B93*1000000))</f>
        <v>1.7900262287936661E-2</v>
      </c>
    </row>
    <row r="58" spans="1:16" x14ac:dyDescent="0.35">
      <c r="A58" s="5">
        <v>45108</v>
      </c>
      <c r="B58" s="30">
        <v>1298283</v>
      </c>
      <c r="C58" s="30">
        <v>4938976</v>
      </c>
      <c r="D58" s="30">
        <v>6695134790.390007</v>
      </c>
      <c r="E58" s="34">
        <f t="shared" ref="E58" si="38">C58/B58</f>
        <v>3.8042368266394924</v>
      </c>
      <c r="F58" s="43">
        <f t="shared" ref="F58" si="39">D58/B58</f>
        <v>5156.9147792815638</v>
      </c>
      <c r="G58" s="43">
        <f t="shared" ref="G58" si="40">F58/E58</f>
        <v>1355.5714363442962</v>
      </c>
      <c r="H58" s="27">
        <v>0.41985982713824738</v>
      </c>
      <c r="I58" s="59">
        <f>(B58/('Consumidores Inadimplentes'!B94*1000000))</f>
        <v>1.8178387978589294E-2</v>
      </c>
    </row>
    <row r="59" spans="1:16" x14ac:dyDescent="0.35">
      <c r="A59" s="5">
        <v>45139</v>
      </c>
      <c r="B59" s="30">
        <v>1298524</v>
      </c>
      <c r="C59" s="30">
        <v>4953672</v>
      </c>
      <c r="D59" s="30">
        <v>6718869710.8099937</v>
      </c>
      <c r="E59" s="34">
        <f t="shared" ref="E59" si="41">C59/B59</f>
        <v>3.8148482430821455</v>
      </c>
      <c r="F59" s="43">
        <f t="shared" ref="F59" si="42">D59/B59</f>
        <v>5174.2360640311563</v>
      </c>
      <c r="G59" s="43">
        <f t="shared" ref="G59" si="43">F59/E59</f>
        <v>1356.3412577195247</v>
      </c>
      <c r="H59" s="27">
        <v>0.41959988005190857</v>
      </c>
      <c r="I59" s="59">
        <f>(B59/('Consumidores Inadimplentes'!B95*1000000))</f>
        <v>1.8100653328811018E-2</v>
      </c>
    </row>
    <row r="60" spans="1:16" x14ac:dyDescent="0.35">
      <c r="A60" s="5">
        <v>45170</v>
      </c>
      <c r="B60" s="30">
        <v>1288989</v>
      </c>
      <c r="C60" s="30">
        <v>4948239</v>
      </c>
      <c r="D60" s="30">
        <v>6939595407.8499918</v>
      </c>
      <c r="E60" s="34">
        <f t="shared" ref="E60" si="44">C60/B60</f>
        <v>3.8388527753146069</v>
      </c>
      <c r="F60" s="43">
        <f t="shared" ref="F60" si="45">D60/B60</f>
        <v>5383.750682007365</v>
      </c>
      <c r="G60" s="43">
        <f t="shared" ref="G60" si="46">F60/E60</f>
        <v>1402.4373939597485</v>
      </c>
      <c r="H60" s="27">
        <v>0.41618364413379466</v>
      </c>
      <c r="I60" s="59">
        <f>(B60/('Consumidores Inadimplentes'!B96*1000000))</f>
        <v>1.7946956725006933E-2</v>
      </c>
    </row>
    <row r="61" spans="1:16" x14ac:dyDescent="0.35">
      <c r="A61" s="5">
        <v>45200</v>
      </c>
      <c r="B61" s="30">
        <v>1299561</v>
      </c>
      <c r="C61" s="30">
        <v>5036494</v>
      </c>
      <c r="D61" s="30">
        <v>7095341558.509964</v>
      </c>
      <c r="E61" s="34">
        <f t="shared" ref="E61" si="47">C61/B61</f>
        <v>3.875534892167432</v>
      </c>
      <c r="F61" s="43">
        <f t="shared" ref="F61" si="48">D61/B61</f>
        <v>5459.798777056224</v>
      </c>
      <c r="G61" s="43">
        <f t="shared" ref="G61" si="49">F61/E61</f>
        <v>1408.7858654274112</v>
      </c>
      <c r="H61" s="27">
        <v>0.4192594795942004</v>
      </c>
      <c r="I61" s="59">
        <f>(B61/('Consumidores Inadimplentes'!B97*1000000))</f>
        <v>1.8061370308756691E-2</v>
      </c>
    </row>
    <row r="62" spans="1:16" x14ac:dyDescent="0.35">
      <c r="A62" s="5">
        <v>45231</v>
      </c>
      <c r="B62" s="30">
        <v>1304579</v>
      </c>
      <c r="C62" s="30">
        <v>5025195</v>
      </c>
      <c r="D62" s="30">
        <v>7115663418.4800148</v>
      </c>
      <c r="E62" s="34">
        <f t="shared" ref="E62" si="50">C62/B62</f>
        <v>3.8519668030836001</v>
      </c>
      <c r="F62" s="43">
        <f t="shared" ref="F62" si="51">D62/B62</f>
        <v>5454.3752570599518</v>
      </c>
      <c r="G62" s="43">
        <f t="shared" ref="G62" si="52">F62/E62</f>
        <v>1415.9974724324161</v>
      </c>
      <c r="H62" s="27">
        <v>0.42053972820175917</v>
      </c>
      <c r="I62" s="59">
        <f>(B62/('Consumidores Inadimplentes'!B98*1000000))</f>
        <v>1.8167366951069588E-2</v>
      </c>
    </row>
    <row r="63" spans="1:16" ht="15" thickBot="1" x14ac:dyDescent="0.4">
      <c r="A63" s="12">
        <v>45261</v>
      </c>
      <c r="B63" s="31">
        <v>1241447</v>
      </c>
      <c r="C63" s="31">
        <v>4680045</v>
      </c>
      <c r="D63" s="31">
        <v>6704059914.7099628</v>
      </c>
      <c r="E63" s="35">
        <f t="shared" ref="E63" si="53">C63/B63</f>
        <v>3.7698306895099027</v>
      </c>
      <c r="F63" s="46">
        <f t="shared" ref="F63" si="54">D63/B63</f>
        <v>5400.1982482618778</v>
      </c>
      <c r="G63" s="46">
        <f t="shared" ref="G63" si="55">F63/E63</f>
        <v>1432.4776609434232</v>
      </c>
      <c r="H63" s="28">
        <v>0.39986671614081065</v>
      </c>
      <c r="I63" s="59">
        <f>(B63/('Consumidores Inadimplentes'!B99*1000000))</f>
        <v>1.7459977709062834E-2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1247556</v>
      </c>
      <c r="C64" s="29">
        <v>4686406</v>
      </c>
      <c r="D64" s="29">
        <v>6898868112.0799818</v>
      </c>
      <c r="E64" s="33">
        <f t="shared" ref="E64" si="56">C64/B64</f>
        <v>3.7564694490668153</v>
      </c>
      <c r="F64" s="45">
        <f t="shared" ref="F64" si="57">D64/B64</f>
        <v>5529.9065629759161</v>
      </c>
      <c r="G64" s="45">
        <f t="shared" ref="G64" si="58">F64/E64</f>
        <v>1472.1020995790766</v>
      </c>
      <c r="H64" s="26">
        <v>0.40151109440413602</v>
      </c>
      <c r="I64" s="59">
        <f>(B64/('Consumidores Inadimplentes'!B100*1000000))</f>
        <v>1.7310381366867928E-2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1256574</v>
      </c>
      <c r="C65" s="30">
        <v>4720683</v>
      </c>
      <c r="D65" s="30">
        <v>6873612191.9400063</v>
      </c>
      <c r="E65" s="34">
        <f t="shared" ref="E65" si="59">C65/B65</f>
        <v>3.7567886968853408</v>
      </c>
      <c r="F65" s="43">
        <f t="shared" ref="F65" si="60">D65/B65</f>
        <v>5470.121291654933</v>
      </c>
      <c r="G65" s="43">
        <f t="shared" ref="G65" si="61">F65/E65</f>
        <v>1456.0630722164581</v>
      </c>
      <c r="H65" s="27">
        <v>0.40408804323567832</v>
      </c>
      <c r="I65" s="59">
        <f>(B65/('Consumidores Inadimplentes'!B101*1000000))</f>
        <v>1.7442904711559862E-2</v>
      </c>
    </row>
    <row r="66" spans="1:16" x14ac:dyDescent="0.35">
      <c r="A66" s="5">
        <v>45352</v>
      </c>
      <c r="B66" s="30">
        <v>1290631</v>
      </c>
      <c r="C66" s="30">
        <v>4819071</v>
      </c>
      <c r="D66" s="30">
        <v>6945986004.5800247</v>
      </c>
      <c r="E66" s="34">
        <f t="shared" ref="E66" si="62">C66/B66</f>
        <v>3.7338875325325365</v>
      </c>
      <c r="F66" s="43">
        <f t="shared" ref="F66" si="63">D66/B66</f>
        <v>5381.8527561944702</v>
      </c>
      <c r="G66" s="43">
        <f t="shared" ref="G66" si="64">F66/E66</f>
        <v>1441.3537390463898</v>
      </c>
      <c r="H66" s="27">
        <v>0.41470612995869749</v>
      </c>
      <c r="I66" s="59">
        <f>(B66/('Consumidores Inadimplentes'!B102*1000000))</f>
        <v>1.7705386779123856E-2</v>
      </c>
    </row>
    <row r="67" spans="1:16" x14ac:dyDescent="0.35">
      <c r="A67" s="5">
        <v>45383</v>
      </c>
      <c r="B67" s="30">
        <v>1277118</v>
      </c>
      <c r="C67" s="30">
        <v>4781191</v>
      </c>
      <c r="D67" s="30">
        <v>7015960068.8000011</v>
      </c>
      <c r="E67" s="34">
        <f t="shared" ref="E67" si="65">C67/B67</f>
        <v>3.7437347214587846</v>
      </c>
      <c r="F67" s="43">
        <f t="shared" ref="F67" si="66">D67/B67</f>
        <v>5493.5879603920712</v>
      </c>
      <c r="G67" s="43">
        <f t="shared" ref="G67" si="67">F67/E67</f>
        <v>1467.4084488153685</v>
      </c>
      <c r="H67" s="27">
        <v>0.41003395550852356</v>
      </c>
      <c r="I67" s="59">
        <f>(B67/('Consumidores Inadimplentes'!B103*1000000))</f>
        <v>1.7394739270821063E-2</v>
      </c>
    </row>
    <row r="68" spans="1:16" x14ac:dyDescent="0.35">
      <c r="A68" s="5">
        <v>45413</v>
      </c>
      <c r="B68" s="30">
        <v>1262589</v>
      </c>
      <c r="C68" s="30">
        <v>4740106</v>
      </c>
      <c r="D68" s="30">
        <v>6979876528.0499811</v>
      </c>
      <c r="E68" s="34">
        <f t="shared" ref="E68" si="68">C68/B68</f>
        <v>3.7542747481563676</v>
      </c>
      <c r="F68" s="43">
        <f t="shared" ref="F68" si="69">D68/B68</f>
        <v>5528.2253592023862</v>
      </c>
      <c r="G68" s="43">
        <f t="shared" ref="G68" si="70">F68/E68</f>
        <v>1472.5148610706135</v>
      </c>
      <c r="H68" s="27">
        <v>0.40504309675564903</v>
      </c>
      <c r="I68" s="59">
        <f>(B68/('Consumidores Inadimplentes'!B104*1000000))</f>
        <v>1.7406532784089435E-2</v>
      </c>
    </row>
    <row r="69" spans="1:16" x14ac:dyDescent="0.35">
      <c r="A69" s="5">
        <v>45444</v>
      </c>
      <c r="B69" s="30">
        <v>1267561</v>
      </c>
      <c r="C69" s="30">
        <v>4754923</v>
      </c>
      <c r="D69" s="30">
        <v>6986701354.8400002</v>
      </c>
      <c r="E69" s="34">
        <f t="shared" ref="E69" si="71">C69/B69</f>
        <v>3.7512380074805081</v>
      </c>
      <c r="F69" s="43">
        <f t="shared" ref="F69" si="72">D69/B69</f>
        <v>5511.9251498271087</v>
      </c>
      <c r="G69" s="43">
        <f t="shared" ref="G69" si="73">F69/E69</f>
        <v>1469.3616184405089</v>
      </c>
      <c r="H69" s="27">
        <v>0.40631096374566383</v>
      </c>
      <c r="I69" s="59">
        <f>(B69/('Consumidores Inadimplentes'!B105*1000000))</f>
        <v>1.7483327018949165E-2</v>
      </c>
    </row>
    <row r="70" spans="1:16" x14ac:dyDescent="0.35">
      <c r="A70" s="5">
        <v>45474</v>
      </c>
      <c r="B70" s="30">
        <v>1271246</v>
      </c>
      <c r="C70" s="30">
        <v>4714346</v>
      </c>
      <c r="D70" s="30">
        <v>6827564176.2299995</v>
      </c>
      <c r="E70" s="34">
        <f t="shared" ref="E70" si="74">C70/B70</f>
        <v>3.7084451003188996</v>
      </c>
      <c r="F70" s="43">
        <f t="shared" ref="F70" si="75">D70/B70</f>
        <v>5370.7655137007314</v>
      </c>
      <c r="G70" s="43">
        <f t="shared" ref="G70" si="76">F70/E70</f>
        <v>1448.2526688176897</v>
      </c>
      <c r="H70" s="27">
        <v>0.40716379934904834</v>
      </c>
      <c r="I70" s="59">
        <f>(B70/('Consumidores Inadimplentes'!B106*1000000))</f>
        <v>1.7494817870700632E-2</v>
      </c>
    </row>
    <row r="71" spans="1:16" x14ac:dyDescent="0.35">
      <c r="A71" s="5">
        <v>45505</v>
      </c>
      <c r="B71" s="30">
        <v>1269489</v>
      </c>
      <c r="C71" s="30">
        <v>4703801</v>
      </c>
      <c r="D71" s="30">
        <v>6798319526.1299858</v>
      </c>
      <c r="E71" s="34">
        <f t="shared" ref="E71" si="77">C71/B71</f>
        <v>3.7052711760401231</v>
      </c>
      <c r="F71" s="43">
        <f t="shared" ref="F71" si="78">D71/B71</f>
        <v>5355.1622157655447</v>
      </c>
      <c r="G71" s="43">
        <f t="shared" ref="G71" si="79">F71/E71</f>
        <v>1445.282129522483</v>
      </c>
      <c r="H71" s="27">
        <v>0.40629264589536856</v>
      </c>
      <c r="I71" s="59">
        <f>(B71/('Consumidores Inadimplentes'!B107*1000000))</f>
        <v>1.7519245116166229E-2</v>
      </c>
    </row>
    <row r="72" spans="1:16" x14ac:dyDescent="0.35">
      <c r="A72" s="5">
        <v>45536</v>
      </c>
      <c r="B72" s="30">
        <v>1275641</v>
      </c>
      <c r="C72" s="30">
        <v>4711823</v>
      </c>
      <c r="D72" s="30">
        <v>6836752838.3700123</v>
      </c>
      <c r="E72" s="34">
        <f t="shared" ref="E72" si="80">C72/B72</f>
        <v>3.6936904662048335</v>
      </c>
      <c r="F72" s="43">
        <f t="shared" ref="F72" si="81">D72/B72</f>
        <v>5359.4646443396005</v>
      </c>
      <c r="G72" s="43">
        <f t="shared" ref="G72" si="82">F72/E72</f>
        <v>1450.9782813085321</v>
      </c>
      <c r="H72" s="27">
        <v>0.40795186348314966</v>
      </c>
      <c r="I72" s="59">
        <f>(B72/('Consumidores Inadimplentes'!B108*1000000))</f>
        <v>1.7560671505323248E-2</v>
      </c>
    </row>
    <row r="73" spans="1:16" x14ac:dyDescent="0.35">
      <c r="A73" s="5">
        <v>45566</v>
      </c>
      <c r="B73" s="30">
        <v>1292278</v>
      </c>
      <c r="C73" s="30">
        <v>4769715</v>
      </c>
      <c r="D73" s="30">
        <v>6922551204.599988</v>
      </c>
      <c r="E73" s="34">
        <f t="shared" ref="E73" si="83">C73/B73</f>
        <v>3.690935696498741</v>
      </c>
      <c r="F73" s="43">
        <f t="shared" ref="F73" si="84">D73/B73</f>
        <v>5356.8591313943189</v>
      </c>
      <c r="G73" s="43">
        <f t="shared" ref="G73" si="85">F73/E73</f>
        <v>1451.3553125501182</v>
      </c>
      <c r="H73" s="27">
        <v>0.41295901049207923</v>
      </c>
      <c r="I73" s="59">
        <f>(B73/('Consumidores Inadimplentes'!B109*1000000))</f>
        <v>1.7677256740705943E-2</v>
      </c>
    </row>
    <row r="74" spans="1:16" x14ac:dyDescent="0.35">
      <c r="A74" s="5">
        <v>45597</v>
      </c>
      <c r="B74" s="30">
        <v>1305620</v>
      </c>
      <c r="C74" s="30">
        <v>5111712</v>
      </c>
      <c r="D74" s="30">
        <v>7159126135.5499916</v>
      </c>
      <c r="E74" s="34">
        <f t="shared" ref="E74" si="86">C74/B74</f>
        <v>3.9151606133484473</v>
      </c>
      <c r="F74" s="43">
        <f t="shared" ref="F74" si="87">D74/B74</f>
        <v>5483.3153103889272</v>
      </c>
      <c r="G74" s="43">
        <f t="shared" ref="G74" si="88">F74/E74</f>
        <v>1400.5339376611967</v>
      </c>
      <c r="H74" s="27">
        <v>0.41690615412518744</v>
      </c>
      <c r="I74" s="59">
        <f>(B74/('Consumidores Inadimplentes'!B110*1000000))</f>
        <v>1.7694014622328696E-2</v>
      </c>
    </row>
    <row r="75" spans="1:16" ht="15" thickBot="1" x14ac:dyDescent="0.4">
      <c r="A75" s="12">
        <v>45627</v>
      </c>
      <c r="B75" s="31">
        <v>1287335</v>
      </c>
      <c r="C75" s="31">
        <v>4875970</v>
      </c>
      <c r="D75" s="31">
        <v>6874298968.6499815</v>
      </c>
      <c r="E75" s="35">
        <f t="shared" ref="E75" si="89">C75/B75</f>
        <v>3.7876465721820662</v>
      </c>
      <c r="F75" s="46">
        <f t="shared" ref="F75" si="90">D75/B75</f>
        <v>5339.9456774266073</v>
      </c>
      <c r="G75" s="46">
        <f t="shared" ref="G75" si="91">F75/E75</f>
        <v>1409.8320885177679</v>
      </c>
      <c r="H75" s="28">
        <v>0.4107556799236774</v>
      </c>
      <c r="I75" s="59">
        <f>(B75/('Consumidores Inadimplentes'!B111*1000000))</f>
        <v>1.7511842787784546E-2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1288447</v>
      </c>
      <c r="C76" s="29">
        <v>4902626</v>
      </c>
      <c r="D76" s="29">
        <v>7057499548.0599718</v>
      </c>
      <c r="E76" s="33">
        <f t="shared" ref="E76:E77" si="92">C76/B76</f>
        <v>3.8050660989547884</v>
      </c>
      <c r="F76" s="45">
        <f t="shared" ref="F76:F77" si="93">D76/B76</f>
        <v>5477.5241419010417</v>
      </c>
      <c r="G76" s="45">
        <f t="shared" ref="G76:G77" si="94">F76/E76</f>
        <v>1439.5345572066828</v>
      </c>
      <c r="H76" s="26">
        <v>0.41079866243427271</v>
      </c>
      <c r="I76" s="59">
        <f>(B76/('Consumidores Inadimplentes'!B112*1000000))</f>
        <v>1.7270732883168612E-2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1296188</v>
      </c>
      <c r="C77" s="30">
        <v>4967226</v>
      </c>
      <c r="D77" s="30">
        <v>7347254046.2099934</v>
      </c>
      <c r="E77" s="34">
        <f t="shared" si="92"/>
        <v>3.8321802084265553</v>
      </c>
      <c r="F77" s="43">
        <f t="shared" si="93"/>
        <v>5668.3552433828991</v>
      </c>
      <c r="G77" s="43">
        <f t="shared" si="94"/>
        <v>1479.1463175241056</v>
      </c>
      <c r="H77" s="27">
        <v>0.41295325480076145</v>
      </c>
      <c r="I77" s="59">
        <f>(B77/('Consumidores Inadimplentes'!B113*1000000))</f>
        <v>1.7281726223910394E-2</v>
      </c>
    </row>
    <row r="78" spans="1:16" x14ac:dyDescent="0.35">
      <c r="A78" s="5">
        <v>45717</v>
      </c>
      <c r="B78" s="30">
        <v>1304508</v>
      </c>
      <c r="C78" s="30">
        <v>4979703</v>
      </c>
      <c r="D78" s="30">
        <v>7324664240.1999874</v>
      </c>
      <c r="E78" s="34">
        <f t="shared" ref="E78" si="95">C78/B78</f>
        <v>3.8173035351258866</v>
      </c>
      <c r="F78" s="43">
        <f t="shared" ref="F78" si="96">D78/B78</f>
        <v>5614.8864094355786</v>
      </c>
      <c r="G78" s="43">
        <f t="shared" ref="G78" si="97">F78/E78</f>
        <v>1470.9038350680728</v>
      </c>
      <c r="H78" s="27">
        <v>0.41528877275518616</v>
      </c>
      <c r="I78" s="59">
        <f>(B78/('Consumidores Inadimplentes'!B114*1000000))</f>
        <v>1.721678863235936E-2</v>
      </c>
    </row>
    <row r="79" spans="1:16" x14ac:dyDescent="0.35">
      <c r="A79" s="5">
        <v>45748</v>
      </c>
      <c r="B79" s="30">
        <v>1309255</v>
      </c>
      <c r="C79" s="30">
        <v>5085606</v>
      </c>
      <c r="D79" s="30">
        <v>7561883704</v>
      </c>
      <c r="E79" s="34">
        <f t="shared" ref="E79" si="98">C79/B79</f>
        <v>3.8843510240556651</v>
      </c>
      <c r="F79" s="43">
        <f t="shared" ref="F79" si="99">D79/B79</f>
        <v>5775.7149707276276</v>
      </c>
      <c r="G79" s="43">
        <f t="shared" ref="G79" si="100">F79/E79</f>
        <v>1486.9189048463447</v>
      </c>
      <c r="H79" s="27">
        <v>0.41648388737593406</v>
      </c>
      <c r="I79" s="59">
        <f>(B79/('Consumidores Inadimplentes'!B115*1000000))</f>
        <v>1.7083508555246187E-2</v>
      </c>
    </row>
    <row r="80" spans="1:16" x14ac:dyDescent="0.35">
      <c r="A80" s="5">
        <v>45778</v>
      </c>
      <c r="B80" s="30">
        <v>1309248</v>
      </c>
      <c r="C80" s="30">
        <v>5108303</v>
      </c>
      <c r="D80" s="30">
        <v>7629119284</v>
      </c>
      <c r="E80" s="34">
        <f t="shared" ref="E80" si="101">C80/B80</f>
        <v>3.9017076978540355</v>
      </c>
      <c r="F80" s="43">
        <f t="shared" ref="F80" si="102">D80/B80</f>
        <v>5827.1002010314314</v>
      </c>
      <c r="G80" s="43">
        <f t="shared" ref="G80" si="103">F80/E80</f>
        <v>1493.4743072210085</v>
      </c>
      <c r="H80" s="27">
        <v>0.41616578887893968</v>
      </c>
      <c r="I80" s="59">
        <f>(B80/('Consumidores Inadimplentes'!B116*1000000))</f>
        <v>1.6987274802302461E-2</v>
      </c>
    </row>
    <row r="81" spans="1:16" x14ac:dyDescent="0.35">
      <c r="A81" s="5">
        <v>45809</v>
      </c>
      <c r="B81" s="30">
        <v>1308884</v>
      </c>
      <c r="C81" s="30">
        <v>5129424</v>
      </c>
      <c r="D81" s="30">
        <v>7728132610</v>
      </c>
      <c r="E81" s="34">
        <f t="shared" ref="E81" si="104">C81/B81</f>
        <v>3.9189294085648538</v>
      </c>
      <c r="F81" s="43">
        <f t="shared" ref="F81" si="105">D81/B81</f>
        <v>5904.3678507797486</v>
      </c>
      <c r="G81" s="43">
        <f t="shared" ref="G81" si="106">F81/E81</f>
        <v>1506.6277636631326</v>
      </c>
      <c r="H81" s="27">
        <v>0.41573451616950385</v>
      </c>
      <c r="I81" s="59">
        <f>(B81/('Consumidores Inadimplentes'!B117*1000000))</f>
        <v>1.6807585744358054E-2</v>
      </c>
    </row>
    <row r="82" spans="1:16" x14ac:dyDescent="0.35">
      <c r="A82" s="5">
        <v>45839</v>
      </c>
      <c r="B82" s="30">
        <v>1321507</v>
      </c>
      <c r="C82" s="30">
        <v>5184946</v>
      </c>
      <c r="D82" s="30">
        <v>7769247680</v>
      </c>
      <c r="E82" s="34">
        <f t="shared" ref="E82" si="107">C82/B82</f>
        <v>3.9235100532952152</v>
      </c>
      <c r="F82" s="43">
        <f t="shared" ref="F82" si="108">D82/B82</f>
        <v>5879.0817453104673</v>
      </c>
      <c r="G82" s="43">
        <f t="shared" ref="G82" si="109">F82/E82</f>
        <v>1498.4240298741781</v>
      </c>
      <c r="H82" s="27">
        <v>0.41942563589540788</v>
      </c>
      <c r="I82" s="59">
        <f>(B82/('Consumidores Inadimplentes'!B118*1000000))</f>
        <v>1.6907458606212279E-2</v>
      </c>
    </row>
    <row r="83" spans="1:16" x14ac:dyDescent="0.35">
      <c r="A83" s="5">
        <v>45870</v>
      </c>
      <c r="B83" s="30">
        <v>1340685</v>
      </c>
      <c r="C83" s="30">
        <v>5305904</v>
      </c>
      <c r="D83" s="30">
        <v>7836350498</v>
      </c>
      <c r="E83" s="34">
        <f t="shared" ref="E83" si="110">C83/B83</f>
        <v>3.9576067458053159</v>
      </c>
      <c r="F83" s="43">
        <f t="shared" ref="F83" si="111">D83/B83</f>
        <v>5845.0348128009191</v>
      </c>
      <c r="G83" s="43">
        <f t="shared" ref="G83" si="112">F83/E83</f>
        <v>1476.9114740862256</v>
      </c>
      <c r="H83" s="27">
        <v>0.42519260263789183</v>
      </c>
      <c r="I83" s="59">
        <f>(B83/('Consumidores Inadimplentes'!B119*1000000))</f>
        <v>1.700322983813472E-2</v>
      </c>
    </row>
    <row r="84" spans="1:16" x14ac:dyDescent="0.35">
      <c r="A84" s="5">
        <v>45901</v>
      </c>
      <c r="B84" s="30">
        <v>1330340</v>
      </c>
      <c r="C84" s="30">
        <v>5223952</v>
      </c>
      <c r="D84" s="30">
        <v>7815629181</v>
      </c>
      <c r="E84" s="34">
        <f>IFERROR(C84/B84,"")</f>
        <v>3.9267796202474554</v>
      </c>
      <c r="F84" s="43">
        <f>IFERROR(D84/B84,"")</f>
        <v>5874.911061082129</v>
      </c>
      <c r="G84" s="43">
        <f>IFERROR(F84/E84,"")</f>
        <v>1496.1142791893953</v>
      </c>
      <c r="H84" s="27">
        <v>0.4215945765736987</v>
      </c>
      <c r="I84" s="59">
        <f>(B84/('Consumidores Inadimplentes'!B120*1000000))</f>
        <v>1.680423417084442E-2</v>
      </c>
    </row>
    <row r="85" spans="1:16" x14ac:dyDescent="0.35">
      <c r="A85" s="5">
        <v>45931</v>
      </c>
      <c r="B85" s="30">
        <v>1359997</v>
      </c>
      <c r="C85" s="30">
        <v>5312437</v>
      </c>
      <c r="D85" s="30">
        <v>7968362545</v>
      </c>
      <c r="E85" s="34">
        <f t="shared" ref="E85:E87" si="113">IFERROR(C85/B85,"")</f>
        <v>3.9062122931153525</v>
      </c>
      <c r="F85" s="43">
        <f t="shared" ref="F85:F87" si="114">IFERROR(D85/B85,"")</f>
        <v>5859.1030311096274</v>
      </c>
      <c r="G85" s="43">
        <f t="shared" ref="G85:G87" si="115">IFERROR(F85/E85,"")</f>
        <v>1499.9448548754553</v>
      </c>
      <c r="H85" s="27">
        <v>0.43066922662086365</v>
      </c>
      <c r="I85" s="59">
        <f>(B85/('Consumidores Inadimplentes'!B121*1000000))</f>
        <v>1.6907703081977726E-2</v>
      </c>
    </row>
    <row r="86" spans="1:16" x14ac:dyDescent="0.35">
      <c r="A86" s="5">
        <v>45962</v>
      </c>
      <c r="B86" s="30">
        <v>1353377</v>
      </c>
      <c r="C86" s="30">
        <v>5302762</v>
      </c>
      <c r="D86" s="30">
        <v>7916344071</v>
      </c>
      <c r="E86" s="34">
        <f t="shared" si="113"/>
        <v>3.9181706206031284</v>
      </c>
      <c r="F86" s="43">
        <f t="shared" si="114"/>
        <v>5849.3265889696659</v>
      </c>
      <c r="G86" s="43">
        <f t="shared" si="115"/>
        <v>1492.8718413159029</v>
      </c>
      <c r="H86" s="27">
        <v>0.42825079329317611</v>
      </c>
      <c r="I86" s="59">
        <f>(B86/('Consumidores Inadimplentes'!B122*1000000))</f>
        <v>1.6789222798112579E-2</v>
      </c>
    </row>
    <row r="87" spans="1:16" ht="15" thickBot="1" x14ac:dyDescent="0.4">
      <c r="A87" s="12">
        <v>45992</v>
      </c>
      <c r="B87" s="31">
        <v>1351114</v>
      </c>
      <c r="C87" s="31">
        <v>5332424</v>
      </c>
      <c r="D87" s="31">
        <v>7993836177</v>
      </c>
      <c r="E87" s="35">
        <f t="shared" si="113"/>
        <v>3.9466869560969688</v>
      </c>
      <c r="F87" s="46">
        <f t="shared" si="114"/>
        <v>5916.4779411655863</v>
      </c>
      <c r="G87" s="46">
        <f t="shared" si="115"/>
        <v>1499.0998797169918</v>
      </c>
      <c r="H87" s="28">
        <v>0.42721337776483492</v>
      </c>
      <c r="I87" s="59">
        <f>(B87/('Consumidores Inadimplentes'!B123*1000000))</f>
        <v>1.6629501451456981E-2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1349392</v>
      </c>
      <c r="C88" s="29">
        <v>5287475</v>
      </c>
      <c r="D88" s="29">
        <v>7904414976</v>
      </c>
      <c r="E88" s="33">
        <f t="shared" ref="E88:E89" si="116">IFERROR(C88/B88,"")</f>
        <v>3.9184128852105244</v>
      </c>
      <c r="F88" s="45">
        <f t="shared" ref="F88:F89" si="117">IFERROR(D88/B88,"")</f>
        <v>5857.760366150088</v>
      </c>
      <c r="G88" s="45">
        <f t="shared" ref="G88:G89" si="118">IFERROR(F88/E88,"")</f>
        <v>1494.9318863918977</v>
      </c>
      <c r="H88" s="26">
        <v>0.42634818325434437</v>
      </c>
      <c r="I88" s="59">
        <f>(B88/('Consumidores Inadimplentes'!B124*1000000))</f>
        <v>1.659374161369474E-2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1347069</v>
      </c>
      <c r="C89" s="30">
        <v>5296865</v>
      </c>
      <c r="D89" s="30">
        <v>8070598224</v>
      </c>
      <c r="E89" s="34">
        <f t="shared" si="116"/>
        <v>3.9321408183248221</v>
      </c>
      <c r="F89" s="43">
        <f t="shared" si="117"/>
        <v>5991.2285294962621</v>
      </c>
      <c r="G89" s="43">
        <f t="shared" si="118"/>
        <v>1523.6556385711172</v>
      </c>
      <c r="H89" s="27">
        <v>0.42529440736507779</v>
      </c>
      <c r="I89" s="59">
        <f>(B89/('Consumidores Inadimplentes'!B125*1000000))</f>
        <v>1.648155415810881E-2</v>
      </c>
    </row>
    <row r="90" spans="1:16" x14ac:dyDescent="0.35">
      <c r="A90" s="5">
        <v>46082</v>
      </c>
      <c r="B90" s="30">
        <v>1360893</v>
      </c>
      <c r="C90" s="30">
        <v>5389260</v>
      </c>
      <c r="D90" s="30">
        <v>8312915053</v>
      </c>
      <c r="E90" s="34">
        <f t="shared" ref="E90" si="119">IFERROR(C90/B90,"")</f>
        <v>3.9600909108945377</v>
      </c>
      <c r="F90" s="43">
        <f t="shared" ref="F90" si="120">IFERROR(D90/B90,"")</f>
        <v>6108.4266382441529</v>
      </c>
      <c r="G90" s="43">
        <f t="shared" ref="G90" si="121">IFERROR(F90/E90,"")</f>
        <v>1542.4965678033718</v>
      </c>
      <c r="H90" s="27">
        <v>0.42933601954973277</v>
      </c>
      <c r="I90" s="59">
        <f>(B90/('Consumidores Inadimplentes'!B126*1000000))</f>
        <v>1.642945882190118E-2</v>
      </c>
    </row>
    <row r="91" spans="1:16" x14ac:dyDescent="0.35">
      <c r="A91" s="5">
        <v>46113</v>
      </c>
      <c r="B91" s="30">
        <v>1375291</v>
      </c>
      <c r="C91" s="30">
        <v>5484673</v>
      </c>
      <c r="D91" s="30">
        <v>8463335517</v>
      </c>
      <c r="E91" s="34">
        <f t="shared" ref="E91" si="122">IFERROR(C91/B91,"")</f>
        <v>3.9880090831685804</v>
      </c>
      <c r="F91" s="43">
        <f t="shared" ref="F91" si="123">IFERROR(D91/B91,"")</f>
        <v>6153.850724682994</v>
      </c>
      <c r="G91" s="43">
        <f t="shared" ref="G91" si="124">IFERROR(F91/E91,"")</f>
        <v>1543.0884424650292</v>
      </c>
      <c r="H91" s="27">
        <v>0.4335522387683291</v>
      </c>
      <c r="I91" s="59">
        <f>(B91/('Consumidores Inadimplentes'!B127*1000000))</f>
        <v>1.6492437053473308E-2</v>
      </c>
    </row>
    <row r="92" spans="1:16" x14ac:dyDescent="0.35">
      <c r="A92" s="5">
        <v>46143</v>
      </c>
      <c r="B92" s="30">
        <v>1374918</v>
      </c>
      <c r="C92" s="30">
        <v>5492946</v>
      </c>
      <c r="D92" s="30">
        <v>8504851098</v>
      </c>
      <c r="E92" s="34">
        <f t="shared" ref="E92" si="125">IFERROR(C92/B92,"")</f>
        <v>3.9951080718995606</v>
      </c>
      <c r="F92" s="43">
        <f t="shared" ref="F92" si="126">IFERROR(D92/B92,"")</f>
        <v>6185.7151466487458</v>
      </c>
      <c r="G92" s="43">
        <f t="shared" ref="G92" si="127">IFERROR(F92/E92,"")</f>
        <v>1548.3223570739635</v>
      </c>
      <c r="H92" s="27">
        <v>0.43310888030109634</v>
      </c>
      <c r="I92" s="59">
        <f>(B92/('Consumidores Inadimplentes'!B128*1000000))</f>
        <v>1.6465522624222892E-2</v>
      </c>
    </row>
    <row r="93" spans="1:16" x14ac:dyDescent="0.35">
      <c r="A93" s="5">
        <v>46174</v>
      </c>
      <c r="B93" s="30">
        <v>1398414</v>
      </c>
      <c r="C93" s="30">
        <v>5624917</v>
      </c>
      <c r="D93" s="30">
        <v>8544681509</v>
      </c>
      <c r="E93" s="34">
        <f t="shared" ref="E93" si="128">IFERROR(C93/B93,"")</f>
        <v>4.0223546102942329</v>
      </c>
      <c r="F93" s="43">
        <f t="shared" ref="F93" si="129">IFERROR(D93/B93,"")</f>
        <v>6110.2659934754656</v>
      </c>
      <c r="G93" s="43">
        <f t="shared" ref="G93" si="130">IFERROR(F93/E93,"")</f>
        <v>1519.0769053125584</v>
      </c>
      <c r="H93" s="27">
        <v>0.44017916724374551</v>
      </c>
      <c r="I93" s="59">
        <f>(B93/('Consumidores Inadimplentes'!B129*1000000))</f>
        <v>1.6699954583122539E-2</v>
      </c>
    </row>
    <row r="94" spans="1:16" x14ac:dyDescent="0.35">
      <c r="A94" s="5">
        <v>46204</v>
      </c>
      <c r="B94" s="30">
        <v>1400601</v>
      </c>
      <c r="C94" s="30">
        <v>5644598</v>
      </c>
      <c r="D94" s="30">
        <v>8568017087</v>
      </c>
      <c r="E94" s="34">
        <f t="shared" ref="E94" si="131">IFERROR(C94/B94,"")</f>
        <v>4.030125638922148</v>
      </c>
      <c r="F94" s="43">
        <f t="shared" ref="F94" si="132">IFERROR(D94/B94,"")</f>
        <v>6117.3860985391275</v>
      </c>
      <c r="G94" s="43">
        <f t="shared" ref="G94" si="133">IFERROR(F94/E94,"")</f>
        <v>1517.9144886845797</v>
      </c>
      <c r="H94" s="27">
        <v>0.44053629263465738</v>
      </c>
      <c r="I94" s="59">
        <f>(B94/('Consumidores Inadimplentes'!B130*1000000))</f>
        <v>1.6687346522928262E-2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1A32-4B2F-4E8F-B25E-8536D39F0345}">
  <sheetPr codeName="Planilha12"/>
  <dimension ref="A1:P99"/>
  <sheetViews>
    <sheetView zoomScale="90" zoomScaleNormal="90" workbookViewId="0">
      <pane xSplit="1" ySplit="3" topLeftCell="B84" activePane="bottomRight" state="frozen"/>
      <selection activeCell="H93" sqref="H93"/>
      <selection pane="topRight" activeCell="H93" sqref="H93"/>
      <selection pane="bottomLeft" activeCell="H93" sqref="H93"/>
      <selection pane="bottomRight" activeCell="J96" sqref="J9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28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2074962</v>
      </c>
      <c r="C4" s="29">
        <v>7507887</v>
      </c>
      <c r="D4" s="29">
        <v>8805665951.2900467</v>
      </c>
      <c r="E4" s="33">
        <f t="shared" ref="E4:E33" si="0">C4/B4</f>
        <v>3.6183250584829989</v>
      </c>
      <c r="F4" s="45">
        <f>D4/B4</f>
        <v>4243.772151629787</v>
      </c>
      <c r="G4" s="45">
        <f t="shared" ref="G4" si="1">F4/E4</f>
        <v>1172.8554187469852</v>
      </c>
      <c r="H4" s="26">
        <v>0.40590914626720254</v>
      </c>
      <c r="I4" s="58">
        <f>(B4/('Consumidores Inadimplentes'!B40*1000000))</f>
        <v>3.3372185702196376E-2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2068579</v>
      </c>
      <c r="C5" s="30">
        <v>7480771</v>
      </c>
      <c r="D5" s="30">
        <v>8804390764.0600853</v>
      </c>
      <c r="E5" s="34">
        <f t="shared" si="0"/>
        <v>3.6163815836861923</v>
      </c>
      <c r="F5" s="43">
        <f t="shared" ref="F5:F46" si="2">D5/B5</f>
        <v>4256.250674525887</v>
      </c>
      <c r="G5" s="43">
        <f t="shared" ref="G5:G44" si="3">F5/E5</f>
        <v>1176.9362762287583</v>
      </c>
      <c r="H5" s="27">
        <v>0.40401969824535872</v>
      </c>
      <c r="I5" s="59">
        <f>(B5/('Consumidores Inadimplentes'!B41*1000000))</f>
        <v>3.3271391557830265E-2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2123486</v>
      </c>
      <c r="C6" s="30">
        <v>7610076</v>
      </c>
      <c r="D6" s="30">
        <v>8972370384.180088</v>
      </c>
      <c r="E6" s="34">
        <f t="shared" si="0"/>
        <v>3.5837655628527809</v>
      </c>
      <c r="F6" s="43">
        <f t="shared" si="2"/>
        <v>4225.3023491466802</v>
      </c>
      <c r="G6" s="43">
        <f t="shared" si="3"/>
        <v>1179.0119289452678</v>
      </c>
      <c r="H6" s="27">
        <v>0.414077785536617</v>
      </c>
      <c r="I6" s="59">
        <f>(B6/('Consumidores Inadimplentes'!B42*1000000))</f>
        <v>3.3727497904584972E-2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2143009</v>
      </c>
      <c r="C7" s="30">
        <v>7590121</v>
      </c>
      <c r="D7" s="30">
        <v>8967734094.3200474</v>
      </c>
      <c r="E7" s="34">
        <f t="shared" si="0"/>
        <v>3.541805470718975</v>
      </c>
      <c r="F7" s="43">
        <f t="shared" si="2"/>
        <v>4184.6460254343529</v>
      </c>
      <c r="G7" s="43">
        <f t="shared" si="3"/>
        <v>1181.5008080003004</v>
      </c>
      <c r="H7" s="27">
        <v>0.41708241945325314</v>
      </c>
      <c r="I7" s="59">
        <f>(B7/('Consumidores Inadimplentes'!B43*1000000))</f>
        <v>3.390547112079214E-2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2177748</v>
      </c>
      <c r="C8" s="30">
        <v>7633682</v>
      </c>
      <c r="D8" s="30">
        <v>9055170699.9300175</v>
      </c>
      <c r="E8" s="34">
        <f t="shared" si="0"/>
        <v>3.5053100726071151</v>
      </c>
      <c r="F8" s="43">
        <f t="shared" si="2"/>
        <v>4158.0434007653857</v>
      </c>
      <c r="G8" s="43">
        <f t="shared" si="3"/>
        <v>1186.2127214534241</v>
      </c>
      <c r="H8" s="27">
        <v>0.42058947232197741</v>
      </c>
      <c r="I8" s="59">
        <f>(B8/('Consumidores Inadimplentes'!B44*1000000))</f>
        <v>3.4363094159193287E-2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2100591</v>
      </c>
      <c r="C9" s="30">
        <v>7426850</v>
      </c>
      <c r="D9" s="30">
        <v>9021018748.8300858</v>
      </c>
      <c r="E9" s="34">
        <f t="shared" si="0"/>
        <v>3.5356002191764127</v>
      </c>
      <c r="F9" s="43">
        <f t="shared" si="2"/>
        <v>4294.5146146156421</v>
      </c>
      <c r="G9" s="43">
        <f t="shared" si="3"/>
        <v>1214.6493801315614</v>
      </c>
      <c r="H9" s="27">
        <v>0.406821836252097</v>
      </c>
      <c r="I9" s="59">
        <f>(B9/('Consumidores Inadimplentes'!B45*1000000))</f>
        <v>3.3105937989756154E-2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2106994</v>
      </c>
      <c r="C10" s="30">
        <v>7441051</v>
      </c>
      <c r="D10" s="30">
        <v>9049421310.4200974</v>
      </c>
      <c r="E10" s="34">
        <f t="shared" si="0"/>
        <v>3.5315957235758622</v>
      </c>
      <c r="F10" s="43">
        <f t="shared" si="2"/>
        <v>4294.9440342118187</v>
      </c>
      <c r="G10" s="43">
        <f t="shared" si="3"/>
        <v>1216.1482713154494</v>
      </c>
      <c r="H10" s="27">
        <v>0.40707610231970009</v>
      </c>
      <c r="I10" s="59">
        <f>(B10/('Consumidores Inadimplentes'!B46*1000000))</f>
        <v>3.3200160445313903E-2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2118319</v>
      </c>
      <c r="C11" s="30">
        <v>7483820</v>
      </c>
      <c r="D11" s="30">
        <v>9174954556.0201015</v>
      </c>
      <c r="E11" s="34">
        <f t="shared" si="0"/>
        <v>3.5329051006954098</v>
      </c>
      <c r="F11" s="43">
        <f t="shared" si="2"/>
        <v>4331.2431017330728</v>
      </c>
      <c r="G11" s="43">
        <f t="shared" si="3"/>
        <v>1225.9721046230536</v>
      </c>
      <c r="H11" s="27">
        <v>0.4086084579243926</v>
      </c>
      <c r="I11" s="59">
        <f>(B11/('Consumidores Inadimplentes'!B47*1000000))</f>
        <v>3.3397254165865295E-2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2113897</v>
      </c>
      <c r="C12" s="30">
        <v>7384665</v>
      </c>
      <c r="D12" s="30">
        <v>9073865015.7801476</v>
      </c>
      <c r="E12" s="34">
        <f t="shared" si="0"/>
        <v>3.4933892237890491</v>
      </c>
      <c r="F12" s="43">
        <f t="shared" si="2"/>
        <v>4292.4820915021628</v>
      </c>
      <c r="G12" s="43">
        <f t="shared" si="3"/>
        <v>1228.7442985944722</v>
      </c>
      <c r="H12" s="27">
        <v>0.40717389059933368</v>
      </c>
      <c r="I12" s="59">
        <f>(B12/('Consumidores Inadimplentes'!B48*1000000))</f>
        <v>3.3444239984461117E-2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2209500</v>
      </c>
      <c r="C13" s="30">
        <v>7606567</v>
      </c>
      <c r="D13" s="30">
        <v>9178317310.3901043</v>
      </c>
      <c r="E13" s="34">
        <f t="shared" si="0"/>
        <v>3.4426644037112468</v>
      </c>
      <c r="F13" s="43">
        <f t="shared" si="2"/>
        <v>4154.0245803983271</v>
      </c>
      <c r="G13" s="43">
        <f t="shared" si="3"/>
        <v>1206.6307061240773</v>
      </c>
      <c r="H13" s="27">
        <v>0.42498165048678144</v>
      </c>
      <c r="I13" s="59">
        <f>(B13/('Consumidores Inadimplentes'!B49*1000000))</f>
        <v>3.4603777739598857E-2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2186126</v>
      </c>
      <c r="C14" s="30">
        <v>7467458</v>
      </c>
      <c r="D14" s="30">
        <v>9129098539.5501366</v>
      </c>
      <c r="E14" s="34">
        <f t="shared" si="0"/>
        <v>3.4158406240079482</v>
      </c>
      <c r="F14" s="43">
        <f t="shared" si="2"/>
        <v>4175.9251477500093</v>
      </c>
      <c r="G14" s="43">
        <f t="shared" si="3"/>
        <v>1222.5175608018333</v>
      </c>
      <c r="H14" s="27">
        <v>0.41988608797431815</v>
      </c>
      <c r="I14" s="59">
        <f>(B14/('Consumidores Inadimplentes'!B50*1000000))</f>
        <v>3.4243309092681674E-2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2199212</v>
      </c>
      <c r="C15" s="31">
        <v>7503684</v>
      </c>
      <c r="D15" s="31">
        <v>9186715640.0501404</v>
      </c>
      <c r="E15" s="35">
        <f t="shared" si="0"/>
        <v>3.4119875664556214</v>
      </c>
      <c r="F15" s="43">
        <f t="shared" si="2"/>
        <v>4177.2760607209038</v>
      </c>
      <c r="G15" s="43">
        <f t="shared" si="3"/>
        <v>1224.2940454382328</v>
      </c>
      <c r="H15" s="27">
        <v>0.42179699653484687</v>
      </c>
      <c r="I15" s="59">
        <f>(B15/('Consumidores Inadimplentes'!B51*1000000))</f>
        <v>3.4738655830177552E-2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2163025</v>
      </c>
      <c r="C16" s="29">
        <v>7430679</v>
      </c>
      <c r="D16" s="29">
        <v>9235750001.5001278</v>
      </c>
      <c r="E16" s="33">
        <f t="shared" si="0"/>
        <v>3.4353181308584042</v>
      </c>
      <c r="F16" s="45">
        <f t="shared" si="2"/>
        <v>4269.83044648126</v>
      </c>
      <c r="G16" s="45">
        <f t="shared" si="3"/>
        <v>1242.9214075187647</v>
      </c>
      <c r="H16" s="26">
        <v>0.41426483301853656</v>
      </c>
      <c r="I16" s="59">
        <f>(B16/('Consumidores Inadimplentes'!B52*1000000))</f>
        <v>3.3912589625093838E-2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2071973</v>
      </c>
      <c r="C17" s="30">
        <v>6846754</v>
      </c>
      <c r="D17" s="30">
        <v>8085534952.6200848</v>
      </c>
      <c r="E17" s="34">
        <f t="shared" si="0"/>
        <v>3.3044610137294259</v>
      </c>
      <c r="F17" s="43">
        <f t="shared" si="2"/>
        <v>3902.33605969773</v>
      </c>
      <c r="G17" s="43">
        <f t="shared" si="3"/>
        <v>1180.9296715816115</v>
      </c>
      <c r="H17" s="27">
        <v>0.39626045360938306</v>
      </c>
      <c r="I17" s="59">
        <f>(B17/('Consumidores Inadimplentes'!B53*1000000))</f>
        <v>3.2430472551168071E-2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2080871</v>
      </c>
      <c r="C18" s="30">
        <v>6829468</v>
      </c>
      <c r="D18" s="30">
        <v>8162810464.6900377</v>
      </c>
      <c r="E18" s="34">
        <f t="shared" si="0"/>
        <v>3.2820237294863546</v>
      </c>
      <c r="F18" s="43">
        <f t="shared" si="2"/>
        <v>3922.7854416203782</v>
      </c>
      <c r="G18" s="43">
        <f t="shared" si="3"/>
        <v>1195.2337231377376</v>
      </c>
      <c r="H18" s="27">
        <v>0.39739452684489096</v>
      </c>
      <c r="I18" s="59">
        <f>(B18/('Consumidores Inadimplentes'!B54*1000000))</f>
        <v>3.2105941672338788E-2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2149207</v>
      </c>
      <c r="C19" s="30">
        <v>6962779</v>
      </c>
      <c r="D19" s="30">
        <v>8201720327.7500448</v>
      </c>
      <c r="E19" s="34">
        <f t="shared" si="0"/>
        <v>3.239696781184874</v>
      </c>
      <c r="F19" s="43">
        <f t="shared" si="2"/>
        <v>3816.16118305498</v>
      </c>
      <c r="G19" s="43">
        <f t="shared" si="3"/>
        <v>1177.9377641815208</v>
      </c>
      <c r="H19" s="27">
        <v>0.40985959703754782</v>
      </c>
      <c r="I19" s="59">
        <f>(B19/('Consumidores Inadimplentes'!B55*1000000))</f>
        <v>3.26088948740113E-2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2152134</v>
      </c>
      <c r="C20" s="30">
        <v>6982242</v>
      </c>
      <c r="D20" s="30">
        <v>8059823410.64007</v>
      </c>
      <c r="E20" s="34">
        <f t="shared" si="0"/>
        <v>3.2443342282590208</v>
      </c>
      <c r="F20" s="43">
        <f t="shared" si="2"/>
        <v>3745.0379068589918</v>
      </c>
      <c r="G20" s="43">
        <f t="shared" si="3"/>
        <v>1154.3317190438358</v>
      </c>
      <c r="H20" s="27">
        <v>0.40983239431952823</v>
      </c>
      <c r="I20" s="59">
        <f>(B20/('Consumidores Inadimplentes'!B56*1000000))</f>
        <v>3.2992026621068149E-2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2173902</v>
      </c>
      <c r="C21" s="30">
        <v>7142762</v>
      </c>
      <c r="D21" s="30">
        <v>7924042122.0300646</v>
      </c>
      <c r="E21" s="34">
        <f t="shared" si="0"/>
        <v>3.2856872112910334</v>
      </c>
      <c r="F21" s="43">
        <f t="shared" si="2"/>
        <v>3645.0778931295267</v>
      </c>
      <c r="G21" s="43">
        <f t="shared" si="3"/>
        <v>1109.3806740347873</v>
      </c>
      <c r="H21" s="27">
        <v>0.41279752811621589</v>
      </c>
      <c r="I21" s="59">
        <f>(B21/('Consumidores Inadimplentes'!B57*1000000))</f>
        <v>3.3966852014144656E-2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2122367</v>
      </c>
      <c r="C22" s="30">
        <v>7003633</v>
      </c>
      <c r="D22" s="30">
        <v>7986430018.9800262</v>
      </c>
      <c r="E22" s="34">
        <f t="shared" si="0"/>
        <v>3.2999160842587547</v>
      </c>
      <c r="F22" s="43">
        <f t="shared" si="2"/>
        <v>3762.9825656825733</v>
      </c>
      <c r="G22" s="43">
        <f t="shared" si="3"/>
        <v>1140.3267445595773</v>
      </c>
      <c r="H22" s="27">
        <v>0.40251118235705219</v>
      </c>
      <c r="I22" s="59">
        <f>(B22/('Consumidores Inadimplentes'!B58*1000000))</f>
        <v>3.3421456552840303E-2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2100712</v>
      </c>
      <c r="C23" s="30">
        <v>7013190</v>
      </c>
      <c r="D23" s="30">
        <v>7932228885.9300165</v>
      </c>
      <c r="E23" s="34">
        <f t="shared" si="0"/>
        <v>3.3384823812117035</v>
      </c>
      <c r="F23" s="43">
        <f t="shared" si="2"/>
        <v>3775.9716162567815</v>
      </c>
      <c r="G23" s="43">
        <f t="shared" si="3"/>
        <v>1131.0443444324217</v>
      </c>
      <c r="H23" s="27">
        <v>0.39790952369136401</v>
      </c>
      <c r="I23" s="59">
        <f>(B23/('Consumidores Inadimplentes'!B59*1000000))</f>
        <v>3.3317964154757324E-2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2141901</v>
      </c>
      <c r="C24" s="30">
        <v>7122166</v>
      </c>
      <c r="D24" s="30">
        <v>7908757108.7400351</v>
      </c>
      <c r="E24" s="34">
        <f t="shared" si="0"/>
        <v>3.3251611535733909</v>
      </c>
      <c r="F24" s="43">
        <f t="shared" si="2"/>
        <v>3692.4008666787286</v>
      </c>
      <c r="G24" s="43">
        <f t="shared" si="3"/>
        <v>1110.4426811646956</v>
      </c>
      <c r="H24" s="27">
        <v>0.40520759335860163</v>
      </c>
      <c r="I24" s="59">
        <f>(B24/('Consumidores Inadimplentes'!B60*1000000))</f>
        <v>3.41266516103075E-2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2088435</v>
      </c>
      <c r="C25" s="30">
        <v>6904693</v>
      </c>
      <c r="D25" s="30">
        <v>7821324716.0700397</v>
      </c>
      <c r="E25" s="34">
        <f t="shared" si="0"/>
        <v>3.3061565239042632</v>
      </c>
      <c r="F25" s="43">
        <f t="shared" si="2"/>
        <v>3745.0649486673224</v>
      </c>
      <c r="G25" s="43">
        <f t="shared" si="3"/>
        <v>1132.7548836812932</v>
      </c>
      <c r="H25" s="27">
        <v>0.39460221781473315</v>
      </c>
      <c r="I25" s="59">
        <f>(B25/('Consumidores Inadimplentes'!B61*1000000))</f>
        <v>3.3533111369393596E-2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2058431</v>
      </c>
      <c r="C26" s="30">
        <v>6783665</v>
      </c>
      <c r="D26" s="30">
        <v>7679199306.2900295</v>
      </c>
      <c r="E26" s="34">
        <f t="shared" si="0"/>
        <v>3.2955513203988862</v>
      </c>
      <c r="F26" s="43">
        <f t="shared" si="2"/>
        <v>3730.6080729886157</v>
      </c>
      <c r="G26" s="43">
        <f t="shared" si="3"/>
        <v>1132.0133447465389</v>
      </c>
      <c r="H26" s="27">
        <v>0.38845012357789183</v>
      </c>
      <c r="I26" s="59">
        <f>(B26/('Consumidores Inadimplentes'!B62*1000000))</f>
        <v>3.3227995094069533E-2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2074886</v>
      </c>
      <c r="C27" s="31">
        <v>6753206</v>
      </c>
      <c r="D27" s="31">
        <v>7541689372.5900249</v>
      </c>
      <c r="E27" s="35">
        <f t="shared" si="0"/>
        <v>3.2547359228410619</v>
      </c>
      <c r="F27" s="46">
        <f t="shared" si="2"/>
        <v>3634.7487874466478</v>
      </c>
      <c r="G27" s="46">
        <f t="shared" si="3"/>
        <v>1116.7568962934088</v>
      </c>
      <c r="H27" s="28">
        <v>0.39106911164571678</v>
      </c>
      <c r="I27" s="59">
        <f>(B27/('Consumidores Inadimplentes'!B63*1000000))</f>
        <v>3.3814253851243627E-2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2176762</v>
      </c>
      <c r="C28" s="29">
        <v>7277539</v>
      </c>
      <c r="D28" s="29">
        <v>8645997272.7500763</v>
      </c>
      <c r="E28" s="33">
        <f t="shared" si="0"/>
        <v>3.3432864961810247</v>
      </c>
      <c r="F28" s="45">
        <f t="shared" si="2"/>
        <v>3971.9534210676575</v>
      </c>
      <c r="G28" s="45">
        <f t="shared" si="3"/>
        <v>1188.0386038123706</v>
      </c>
      <c r="H28" s="26">
        <v>0.40976094413822484</v>
      </c>
      <c r="I28" s="59">
        <f>(B28/('Consumidores Inadimplentes'!B64*1000000))</f>
        <v>3.529730790574747E-2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2148670</v>
      </c>
      <c r="C29" s="30">
        <v>7142020</v>
      </c>
      <c r="D29" s="30">
        <v>8622849914.160059</v>
      </c>
      <c r="E29" s="34">
        <f t="shared" si="0"/>
        <v>3.3239259635030041</v>
      </c>
      <c r="F29" s="43">
        <f t="shared" si="2"/>
        <v>4013.1103958076665</v>
      </c>
      <c r="G29" s="43">
        <f t="shared" si="3"/>
        <v>1207.3404882876355</v>
      </c>
      <c r="H29" s="27">
        <v>0.40397053664325444</v>
      </c>
      <c r="I29" s="59">
        <f>(B29/('Consumidores Inadimplentes'!B65*1000000))</f>
        <v>3.4906494467770548E-2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2195520</v>
      </c>
      <c r="C30" s="30">
        <v>7320456</v>
      </c>
      <c r="D30" s="30">
        <v>8707566215.16008</v>
      </c>
      <c r="E30" s="34">
        <f t="shared" si="0"/>
        <v>3.3342697857455184</v>
      </c>
      <c r="F30" s="43">
        <f t="shared" si="2"/>
        <v>3966.0609856253095</v>
      </c>
      <c r="G30" s="43">
        <f t="shared" si="3"/>
        <v>1189.4841271035682</v>
      </c>
      <c r="H30" s="27">
        <v>0.4122662116976632</v>
      </c>
      <c r="I30" s="59">
        <f>(B30/('Consumidores Inadimplentes'!B66*1000000))</f>
        <v>3.5096125341532704E-2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2166484</v>
      </c>
      <c r="C31" s="30">
        <v>7205295</v>
      </c>
      <c r="D31" s="30">
        <v>8752425148.3500595</v>
      </c>
      <c r="E31" s="34">
        <f t="shared" si="0"/>
        <v>3.3258011598516304</v>
      </c>
      <c r="F31" s="43">
        <f t="shared" si="2"/>
        <v>4039.9214341532452</v>
      </c>
      <c r="G31" s="43">
        <f t="shared" si="3"/>
        <v>1214.7212776645592</v>
      </c>
      <c r="H31" s="27">
        <v>0.40630879471398951</v>
      </c>
      <c r="I31" s="59">
        <f>(B31/('Consumidores Inadimplentes'!B67*1000000))</f>
        <v>3.4398696812458093E-2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2149080</v>
      </c>
      <c r="C32" s="30">
        <v>7108746</v>
      </c>
      <c r="D32" s="30">
        <v>8755695390.8900528</v>
      </c>
      <c r="E32" s="34">
        <f t="shared" si="0"/>
        <v>3.3078089228879333</v>
      </c>
      <c r="F32" s="43">
        <f t="shared" si="2"/>
        <v>4074.1598222914236</v>
      </c>
      <c r="G32" s="43">
        <f t="shared" si="3"/>
        <v>1231.6793131854836</v>
      </c>
      <c r="H32" s="27">
        <v>0.40254426979239677</v>
      </c>
      <c r="I32" s="59">
        <f>(B32/('Consumidores Inadimplentes'!B68*1000000))</f>
        <v>3.4352957988887413E-2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2122445</v>
      </c>
      <c r="C33" s="30">
        <v>6959588</v>
      </c>
      <c r="D33" s="30">
        <v>8565638563.1300926</v>
      </c>
      <c r="E33" s="34">
        <f t="shared" si="0"/>
        <v>3.2790428020514075</v>
      </c>
      <c r="F33" s="43">
        <f t="shared" si="2"/>
        <v>4035.741120797049</v>
      </c>
      <c r="G33" s="43">
        <f t="shared" si="3"/>
        <v>1230.7680516619796</v>
      </c>
      <c r="H33" s="27">
        <v>0.39706157466821818</v>
      </c>
      <c r="I33" s="59">
        <f>(B33/('Consumidores Inadimplentes'!B69*1000000))</f>
        <v>3.3953995934565523E-2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2102651</v>
      </c>
      <c r="C34" s="30">
        <v>6841852</v>
      </c>
      <c r="D34" s="30">
        <v>8442884575.7500477</v>
      </c>
      <c r="E34" s="34">
        <f>C34/B34</f>
        <v>3.2539170789636511</v>
      </c>
      <c r="F34" s="43">
        <f t="shared" si="2"/>
        <v>4015.3523222589233</v>
      </c>
      <c r="G34" s="43">
        <f t="shared" si="3"/>
        <v>1234.0057305755879</v>
      </c>
      <c r="H34" s="27">
        <v>0.39335863743244398</v>
      </c>
      <c r="I34" s="59">
        <f>(B34/('Consumidores Inadimplentes'!B70*1000000))</f>
        <v>3.3791779992916528E-2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2110875</v>
      </c>
      <c r="C35" s="30">
        <v>6807273</v>
      </c>
      <c r="D35" s="30">
        <v>8374149304.4600315</v>
      </c>
      <c r="E35" s="34">
        <f>C35/B35</f>
        <v>3.2248584117960561</v>
      </c>
      <c r="F35" s="43">
        <f t="shared" si="2"/>
        <v>3967.1459960727334</v>
      </c>
      <c r="G35" s="43">
        <f t="shared" si="3"/>
        <v>1230.1767983243849</v>
      </c>
      <c r="H35" s="27">
        <v>0.39444327136351659</v>
      </c>
      <c r="I35" s="59">
        <f>(B35/('Consumidores Inadimplentes'!B71*1000000))</f>
        <v>3.3910316760552076E-2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2097647</v>
      </c>
      <c r="C36" s="30">
        <v>6726254</v>
      </c>
      <c r="D36" s="30">
        <v>8338939612.2000465</v>
      </c>
      <c r="E36" s="34">
        <f>C36/B36</f>
        <v>3.2065709816761352</v>
      </c>
      <c r="F36" s="43">
        <f t="shared" si="2"/>
        <v>3975.3779411884111</v>
      </c>
      <c r="G36" s="43">
        <f t="shared" si="3"/>
        <v>1239.7598443650875</v>
      </c>
      <c r="H36" s="27">
        <v>0.39152093216327638</v>
      </c>
      <c r="I36" s="59">
        <f>(B36/('Consumidores Inadimplentes'!B72*1000000))</f>
        <v>3.3718660922063187E-2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2095727</v>
      </c>
      <c r="C37" s="30">
        <v>6751027</v>
      </c>
      <c r="D37" s="30">
        <v>8553125592.9100313</v>
      </c>
      <c r="E37" s="34">
        <f>C37/B37</f>
        <v>3.2213294002510824</v>
      </c>
      <c r="F37" s="43">
        <f t="shared" si="2"/>
        <v>4081.2212625547277</v>
      </c>
      <c r="G37" s="43">
        <f t="shared" si="3"/>
        <v>1266.9369553565748</v>
      </c>
      <c r="H37" s="27">
        <v>0.39071298188074877</v>
      </c>
      <c r="I37" s="59">
        <f>(B37/('Consumidores Inadimplentes'!B73*1000000))</f>
        <v>3.3053001793563963E-2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2095272</v>
      </c>
      <c r="C38" s="30">
        <v>6730078</v>
      </c>
      <c r="D38" s="30">
        <v>8618753230.6600513</v>
      </c>
      <c r="E38" s="34">
        <f t="shared" ref="E38:E46" si="4">C38/B38</f>
        <v>3.2120307053213137</v>
      </c>
      <c r="F38" s="43">
        <f t="shared" si="2"/>
        <v>4113.4292973227584</v>
      </c>
      <c r="G38" s="43">
        <f t="shared" si="3"/>
        <v>1280.6319972309461</v>
      </c>
      <c r="H38" s="27">
        <v>0.39017918910992033</v>
      </c>
      <c r="I38" s="59">
        <f>(B38/('Consumidores Inadimplentes'!B74*1000000))</f>
        <v>3.2601256549162301E-2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2106317</v>
      </c>
      <c r="C39" s="31">
        <v>6667644</v>
      </c>
      <c r="D39" s="31">
        <v>8448308343.3400364</v>
      </c>
      <c r="E39" s="35">
        <f t="shared" si="4"/>
        <v>3.1655463066575451</v>
      </c>
      <c r="F39" s="46">
        <f t="shared" si="2"/>
        <v>4010.9386874530455</v>
      </c>
      <c r="G39" s="46">
        <f t="shared" si="3"/>
        <v>1267.0605004316421</v>
      </c>
      <c r="H39" s="28">
        <v>0.39178517035439875</v>
      </c>
      <c r="I39" s="59">
        <f>(B39/('Consumidores Inadimplentes'!B75*1000000))</f>
        <v>3.2926197921322106E-2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2126881</v>
      </c>
      <c r="C40" s="29">
        <v>6773487</v>
      </c>
      <c r="D40" s="29">
        <v>8704075106.9999981</v>
      </c>
      <c r="E40" s="33">
        <f t="shared" si="4"/>
        <v>3.184704268833094</v>
      </c>
      <c r="F40" s="45">
        <f t="shared" si="2"/>
        <v>4092.4128369194132</v>
      </c>
      <c r="G40" s="45">
        <f t="shared" si="3"/>
        <v>1285.0213054221554</v>
      </c>
      <c r="H40" s="26">
        <v>0.39515542442011364</v>
      </c>
      <c r="I40" s="59">
        <f>(B40/('Consumidores Inadimplentes'!B76*1000000))</f>
        <v>3.2813405379373037E-2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2138534</v>
      </c>
      <c r="C41" s="30">
        <v>6821947</v>
      </c>
      <c r="D41" s="30">
        <v>8810385308.2700043</v>
      </c>
      <c r="E41" s="34">
        <f t="shared" si="4"/>
        <v>3.1900110075406798</v>
      </c>
      <c r="F41" s="43">
        <f t="shared" si="2"/>
        <v>4119.8247529709624</v>
      </c>
      <c r="G41" s="43">
        <f t="shared" si="3"/>
        <v>1291.4766573633603</v>
      </c>
      <c r="H41" s="27">
        <v>0.39686374066661284</v>
      </c>
      <c r="I41" s="59">
        <f>(B41/('Consumidores Inadimplentes'!B77*1000000))</f>
        <v>3.2815130031011913E-2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2148614</v>
      </c>
      <c r="C42" s="30">
        <v>6831688</v>
      </c>
      <c r="D42" s="30">
        <v>8894129708.3200302</v>
      </c>
      <c r="E42" s="34">
        <f t="shared" si="4"/>
        <v>3.179579021639066</v>
      </c>
      <c r="F42" s="43">
        <f t="shared" si="2"/>
        <v>4139.4730316008508</v>
      </c>
      <c r="G42" s="43">
        <f t="shared" si="3"/>
        <v>1301.8934278497541</v>
      </c>
      <c r="H42" s="27">
        <v>0.39827603912370202</v>
      </c>
      <c r="I42" s="59">
        <f>(B42/('Consumidores Inadimplentes'!B78*1000000))</f>
        <v>3.2706405283820364E-2</v>
      </c>
    </row>
    <row r="43" spans="1:16" x14ac:dyDescent="0.35">
      <c r="A43" s="5">
        <v>44652</v>
      </c>
      <c r="B43" s="30">
        <v>2176131</v>
      </c>
      <c r="C43" s="30">
        <v>6942207</v>
      </c>
      <c r="D43" s="30">
        <v>9068338744.2700539</v>
      </c>
      <c r="E43" s="34">
        <f t="shared" si="4"/>
        <v>3.1901604269228279</v>
      </c>
      <c r="F43" s="43">
        <f t="shared" si="2"/>
        <v>4167.1842110011085</v>
      </c>
      <c r="G43" s="43">
        <f t="shared" si="3"/>
        <v>1306.2616462272088</v>
      </c>
      <c r="H43" s="27">
        <v>0.40291305637443775</v>
      </c>
      <c r="I43" s="59">
        <f>(B43/('Consumidores Inadimplentes'!B79*1000000))</f>
        <v>3.2905536703719956E-2</v>
      </c>
    </row>
    <row r="44" spans="1:16" x14ac:dyDescent="0.35">
      <c r="A44" s="5">
        <v>44682</v>
      </c>
      <c r="B44" s="30">
        <v>2190589</v>
      </c>
      <c r="C44" s="30">
        <v>7035662</v>
      </c>
      <c r="D44" s="30">
        <v>9261315127.7900238</v>
      </c>
      <c r="E44" s="34">
        <f t="shared" si="4"/>
        <v>3.2117672461607358</v>
      </c>
      <c r="F44" s="43">
        <f t="shared" si="2"/>
        <v>4227.7739584148485</v>
      </c>
      <c r="G44" s="43">
        <f t="shared" si="3"/>
        <v>1316.3388360313534</v>
      </c>
      <c r="H44" s="27">
        <v>0.40512378937081961</v>
      </c>
      <c r="I44" s="59">
        <f>(B44/('Consumidores Inadimplentes'!B80*1000000))</f>
        <v>3.2901697027768982E-2</v>
      </c>
    </row>
    <row r="45" spans="1:16" x14ac:dyDescent="0.35">
      <c r="A45" s="5">
        <v>44713</v>
      </c>
      <c r="B45" s="30">
        <v>2216841</v>
      </c>
      <c r="C45" s="30">
        <v>7161193</v>
      </c>
      <c r="D45" s="30">
        <v>9420073947.4302197</v>
      </c>
      <c r="E45" s="34">
        <f t="shared" si="4"/>
        <v>3.2303593266273944</v>
      </c>
      <c r="F45" s="43">
        <f t="shared" si="2"/>
        <v>4249.3232249990951</v>
      </c>
      <c r="G45" s="43">
        <f t="shared" ref="G45:G50" si="5">F45/E45</f>
        <v>1315.4336082591574</v>
      </c>
      <c r="H45" s="27">
        <v>0.40950757477097244</v>
      </c>
      <c r="I45" s="59">
        <f>(B45/('Consumidores Inadimplentes'!B81*1000000))</f>
        <v>3.3176992193419123E-2</v>
      </c>
    </row>
    <row r="46" spans="1:16" x14ac:dyDescent="0.35">
      <c r="A46" s="5">
        <v>44743</v>
      </c>
      <c r="B46" s="30">
        <v>2230599</v>
      </c>
      <c r="C46" s="30">
        <v>7256100</v>
      </c>
      <c r="D46" s="30">
        <v>9612231156.6102009</v>
      </c>
      <c r="E46" s="34">
        <f t="shared" si="4"/>
        <v>3.2529827189916252</v>
      </c>
      <c r="F46" s="43">
        <f t="shared" si="2"/>
        <v>4309.2600492559177</v>
      </c>
      <c r="G46" s="43">
        <f t="shared" si="5"/>
        <v>1324.7104031932031</v>
      </c>
      <c r="H46" s="27">
        <v>0.411575373441254</v>
      </c>
      <c r="I46" s="59">
        <f>(B46/('Consumidores Inadimplentes'!B82*1000000))</f>
        <v>3.2981273190383957E-2</v>
      </c>
    </row>
    <row r="47" spans="1:16" x14ac:dyDescent="0.35">
      <c r="A47" s="5">
        <v>44774</v>
      </c>
      <c r="B47" s="30">
        <v>2273092</v>
      </c>
      <c r="C47" s="30">
        <v>7380177</v>
      </c>
      <c r="D47" s="30">
        <v>9686594447.1501408</v>
      </c>
      <c r="E47" s="34">
        <f t="shared" ref="E47" si="6">C47/B47</f>
        <v>3.2467568404622424</v>
      </c>
      <c r="F47" s="43">
        <f t="shared" ref="F47" si="7">D47/B47</f>
        <v>4261.4176844360636</v>
      </c>
      <c r="G47" s="43">
        <f t="shared" si="5"/>
        <v>1312.5151940326284</v>
      </c>
      <c r="H47" s="27">
        <v>0.41891108902891749</v>
      </c>
      <c r="I47" s="59">
        <f>(B47/('Consumidores Inadimplentes'!B83*1000000))</f>
        <v>3.3439507194874159E-2</v>
      </c>
    </row>
    <row r="48" spans="1:16" x14ac:dyDescent="0.35">
      <c r="A48" s="5">
        <v>44805</v>
      </c>
      <c r="B48" s="30">
        <v>2279404</v>
      </c>
      <c r="C48" s="30">
        <v>7509728</v>
      </c>
      <c r="D48" s="30">
        <v>9980301013.3701706</v>
      </c>
      <c r="E48" s="34">
        <f t="shared" ref="E48" si="8">C48/B48</f>
        <v>3.2946015712879331</v>
      </c>
      <c r="F48" s="43">
        <f t="shared" ref="F48" si="9">D48/B48</f>
        <v>4378.4695531683592</v>
      </c>
      <c r="G48" s="43">
        <f t="shared" si="5"/>
        <v>1328.9830222040227</v>
      </c>
      <c r="H48" s="27">
        <v>0.41956872151409669</v>
      </c>
      <c r="I48" s="59">
        <f>(B48/('Consumidores Inadimplentes'!B84*1000000))</f>
        <v>3.3330443452188552E-2</v>
      </c>
    </row>
    <row r="49" spans="1:16" x14ac:dyDescent="0.35">
      <c r="A49" s="5">
        <v>44835</v>
      </c>
      <c r="B49" s="30">
        <v>2290283</v>
      </c>
      <c r="C49" s="30">
        <v>7561444</v>
      </c>
      <c r="D49" s="30">
        <v>10197524973.12031</v>
      </c>
      <c r="E49" s="34">
        <f t="shared" ref="E49" si="10">C49/B49</f>
        <v>3.3015326053592502</v>
      </c>
      <c r="F49" s="43">
        <f t="shared" ref="F49" si="11">D49/B49</f>
        <v>4452.5174282480857</v>
      </c>
      <c r="G49" s="43">
        <f t="shared" si="5"/>
        <v>1348.6213708810528</v>
      </c>
      <c r="H49" s="27">
        <v>0.42106378824542523</v>
      </c>
      <c r="I49" s="59">
        <f>(B49/('Consumidores Inadimplentes'!B85*1000000))</f>
        <v>3.3165282875042862E-2</v>
      </c>
    </row>
    <row r="50" spans="1:16" x14ac:dyDescent="0.35">
      <c r="A50" s="5">
        <v>44866</v>
      </c>
      <c r="B50" s="30">
        <v>2358774</v>
      </c>
      <c r="C50" s="30">
        <v>7799291</v>
      </c>
      <c r="D50" s="30">
        <v>10544462562.070227</v>
      </c>
      <c r="E50" s="34">
        <f t="shared" ref="E50" si="12">C50/B50</f>
        <v>3.3065020218130265</v>
      </c>
      <c r="F50" s="43">
        <f t="shared" ref="F50" si="13">D50/B50</f>
        <v>4470.3149017541427</v>
      </c>
      <c r="G50" s="43">
        <f t="shared" si="5"/>
        <v>1351.9770658730681</v>
      </c>
      <c r="H50" s="27">
        <v>0.43313373729969318</v>
      </c>
      <c r="I50" s="59">
        <f>(B50/('Consumidores Inadimplentes'!B86*1000000))</f>
        <v>3.3776507630133887E-2</v>
      </c>
    </row>
    <row r="51" spans="1:16" ht="15" thickBot="1" x14ac:dyDescent="0.4">
      <c r="A51" s="12">
        <v>44896</v>
      </c>
      <c r="B51" s="31">
        <v>2359640</v>
      </c>
      <c r="C51" s="31">
        <v>7796387</v>
      </c>
      <c r="D51" s="31">
        <v>10546799836.910275</v>
      </c>
      <c r="E51" s="35">
        <f t="shared" ref="E51" si="14">C51/B51</f>
        <v>3.304057822379685</v>
      </c>
      <c r="F51" s="46">
        <f t="shared" ref="F51" si="15">D51/B51</f>
        <v>4469.6647950154575</v>
      </c>
      <c r="G51" s="46">
        <f t="shared" ref="G51" si="16">F51/E51</f>
        <v>1352.7804400820885</v>
      </c>
      <c r="H51" s="28">
        <v>0.43277120737378577</v>
      </c>
      <c r="I51" s="59">
        <f>(B51/('Consumidores Inadimplentes'!B87*1000000))</f>
        <v>3.398621988440733E-2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2376216</v>
      </c>
      <c r="C52" s="29">
        <v>7922115</v>
      </c>
      <c r="D52" s="29">
        <v>10880849524.340239</v>
      </c>
      <c r="E52" s="33">
        <f t="shared" ref="E52" si="17">C52/B52</f>
        <v>3.3339204011756509</v>
      </c>
      <c r="F52" s="45">
        <f t="shared" ref="F52" si="18">D52/B52</f>
        <v>4579.0658443257007</v>
      </c>
      <c r="G52" s="45">
        <f t="shared" ref="G52" si="19">F52/E52</f>
        <v>1373.4778558933112</v>
      </c>
      <c r="H52" s="26">
        <v>0.43528674930623323</v>
      </c>
      <c r="I52" s="59">
        <f>(B52/('Consumidores Inadimplentes'!B88*1000000))</f>
        <v>3.3900914209992819E-2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2337841</v>
      </c>
      <c r="C53" s="30">
        <v>7885819</v>
      </c>
      <c r="D53" s="30">
        <v>10963549027.580301</v>
      </c>
      <c r="E53" s="34">
        <f t="shared" ref="E53" si="20">C53/B53</f>
        <v>3.3731203276869555</v>
      </c>
      <c r="F53" s="43">
        <f t="shared" ref="F53" si="21">D53/B53</f>
        <v>4689.6042235465547</v>
      </c>
      <c r="G53" s="43">
        <f t="shared" ref="G53" si="22">F53/E53</f>
        <v>1390.2866687125716</v>
      </c>
      <c r="H53" s="27">
        <v>0.42774152847675234</v>
      </c>
      <c r="I53" s="59">
        <f>(B53/('Consumidores Inadimplentes'!B89*1000000))</f>
        <v>3.3148196524721105E-2</v>
      </c>
    </row>
    <row r="54" spans="1:16" x14ac:dyDescent="0.35">
      <c r="A54" s="5">
        <v>44986</v>
      </c>
      <c r="B54" s="30">
        <v>2325185</v>
      </c>
      <c r="C54" s="30">
        <v>7935303</v>
      </c>
      <c r="D54" s="30">
        <v>11214814682.380232</v>
      </c>
      <c r="E54" s="34">
        <f t="shared" ref="E54" si="23">C54/B54</f>
        <v>3.412761995282096</v>
      </c>
      <c r="F54" s="43">
        <f t="shared" ref="F54" si="24">D54/B54</f>
        <v>4823.1924265726093</v>
      </c>
      <c r="G54" s="43">
        <f t="shared" ref="G54" si="25">F54/E54</f>
        <v>1413.2812171608609</v>
      </c>
      <c r="H54" s="27">
        <v>0.42491383158998514</v>
      </c>
      <c r="I54" s="59">
        <f>(B54/('Consumidores Inadimplentes'!B90*1000000))</f>
        <v>3.2884607532646125E-2</v>
      </c>
    </row>
    <row r="55" spans="1:16" x14ac:dyDescent="0.35">
      <c r="A55" s="5">
        <v>45017</v>
      </c>
      <c r="B55" s="30">
        <v>2355566</v>
      </c>
      <c r="C55" s="30">
        <v>8101996</v>
      </c>
      <c r="D55" s="30">
        <v>11572675414.470213</v>
      </c>
      <c r="E55" s="34">
        <f t="shared" ref="E55:E56" si="26">C55/B55</f>
        <v>3.4395113531100381</v>
      </c>
      <c r="F55" s="43">
        <f t="shared" ref="F55:F56" si="27">D55/B55</f>
        <v>4912.9064583502277</v>
      </c>
      <c r="G55" s="43">
        <f t="shared" ref="G55:G56" si="28">F55/E55</f>
        <v>1428.3733803954251</v>
      </c>
      <c r="H55" s="27">
        <v>0.42994760827695772</v>
      </c>
      <c r="I55" s="59">
        <f>(B55/('Consumidores Inadimplentes'!B91*1000000))</f>
        <v>3.2972844071750933E-2</v>
      </c>
    </row>
    <row r="56" spans="1:16" x14ac:dyDescent="0.35">
      <c r="A56" s="5">
        <v>45047</v>
      </c>
      <c r="B56" s="30">
        <v>2355186</v>
      </c>
      <c r="C56" s="30">
        <v>8151851</v>
      </c>
      <c r="D56" s="30">
        <v>11690072633.460205</v>
      </c>
      <c r="E56" s="34">
        <f t="shared" si="26"/>
        <v>3.4612344842403107</v>
      </c>
      <c r="F56" s="43">
        <f t="shared" si="27"/>
        <v>4963.5453987329256</v>
      </c>
      <c r="G56" s="43">
        <f t="shared" si="28"/>
        <v>1434.0390462804341</v>
      </c>
      <c r="H56" s="27">
        <v>0.42936078059829025</v>
      </c>
      <c r="I56" s="59">
        <f>(B56/('Consumidores Inadimplentes'!B92*1000000))</f>
        <v>3.2754783510483082E-2</v>
      </c>
    </row>
    <row r="57" spans="1:16" x14ac:dyDescent="0.35">
      <c r="A57" s="5">
        <v>45078</v>
      </c>
      <c r="B57" s="30">
        <v>2347967</v>
      </c>
      <c r="C57" s="30">
        <v>8089680</v>
      </c>
      <c r="D57" s="30">
        <v>11698690188.360144</v>
      </c>
      <c r="E57" s="34">
        <f t="shared" ref="E57" si="29">C57/B57</f>
        <v>3.4453976567813771</v>
      </c>
      <c r="F57" s="43">
        <f t="shared" ref="F57" si="30">D57/B57</f>
        <v>4982.4764097451725</v>
      </c>
      <c r="G57" s="43">
        <f t="shared" ref="G57" si="31">F57/E57</f>
        <v>1446.1252099415731</v>
      </c>
      <c r="H57" s="27">
        <v>0.42752946043494267</v>
      </c>
      <c r="I57" s="59">
        <f>(B57/('Consumidores Inadimplentes'!B93*1000000))</f>
        <v>3.2860054199698507E-2</v>
      </c>
    </row>
    <row r="58" spans="1:16" x14ac:dyDescent="0.35">
      <c r="A58" s="5">
        <v>45108</v>
      </c>
      <c r="B58" s="30">
        <v>2326019</v>
      </c>
      <c r="C58" s="30">
        <v>7985666</v>
      </c>
      <c r="D58" s="30">
        <v>11797864674.680061</v>
      </c>
      <c r="E58" s="34">
        <f t="shared" ref="E58" si="32">C58/B58</f>
        <v>3.4331903565706039</v>
      </c>
      <c r="F58" s="43">
        <f t="shared" ref="F58" si="33">D58/B58</f>
        <v>5072.1273879018445</v>
      </c>
      <c r="G58" s="43">
        <f t="shared" ref="G58" si="34">F58/E58</f>
        <v>1477.3801802730118</v>
      </c>
      <c r="H58" s="27">
        <v>0.42302337757947128</v>
      </c>
      <c r="I58" s="59">
        <f>(B58/('Consumidores Inadimplentes'!B94*1000000))</f>
        <v>3.2568612411600778E-2</v>
      </c>
    </row>
    <row r="59" spans="1:16" x14ac:dyDescent="0.35">
      <c r="A59" s="5">
        <v>45139</v>
      </c>
      <c r="B59" s="30">
        <v>2352648</v>
      </c>
      <c r="C59" s="30">
        <v>8137021</v>
      </c>
      <c r="D59" s="30">
        <v>12025794106.780016</v>
      </c>
      <c r="E59" s="34">
        <f t="shared" ref="E59" si="35">C59/B59</f>
        <v>3.4586648746433806</v>
      </c>
      <c r="F59" s="43">
        <f t="shared" ref="F59" si="36">D59/B59</f>
        <v>5111.5994006668298</v>
      </c>
      <c r="G59" s="43">
        <f t="shared" ref="G59" si="37">F59/E59</f>
        <v>1477.9111552962706</v>
      </c>
      <c r="H59" s="27">
        <v>0.42734082669127316</v>
      </c>
      <c r="I59" s="59">
        <f>(B59/('Consumidores Inadimplentes'!B95*1000000))</f>
        <v>3.2794515813893761E-2</v>
      </c>
    </row>
    <row r="60" spans="1:16" x14ac:dyDescent="0.35">
      <c r="A60" s="5">
        <v>45170</v>
      </c>
      <c r="B60" s="30">
        <v>2369395</v>
      </c>
      <c r="C60" s="30">
        <v>8235272</v>
      </c>
      <c r="D60" s="30">
        <v>12430253237.980045</v>
      </c>
      <c r="E60" s="34">
        <f t="shared" ref="E60" si="38">C60/B60</f>
        <v>3.4756855653025349</v>
      </c>
      <c r="F60" s="43">
        <f t="shared" ref="F60" si="39">D60/B60</f>
        <v>5246.1718024981255</v>
      </c>
      <c r="G60" s="43">
        <f t="shared" ref="G60" si="40">F60/E60</f>
        <v>1509.3919469788061</v>
      </c>
      <c r="H60" s="27">
        <v>0.42985427122094727</v>
      </c>
      <c r="I60" s="59">
        <f>(B60/('Consumidores Inadimplentes'!B96*1000000))</f>
        <v>3.2989753620432605E-2</v>
      </c>
    </row>
    <row r="61" spans="1:16" x14ac:dyDescent="0.35">
      <c r="A61" s="5">
        <v>45200</v>
      </c>
      <c r="B61" s="30">
        <v>2376816</v>
      </c>
      <c r="C61" s="30">
        <v>8292621</v>
      </c>
      <c r="D61" s="30">
        <v>12865443752.930079</v>
      </c>
      <c r="E61" s="34">
        <f t="shared" ref="E61" si="41">C61/B61</f>
        <v>3.4889621241189896</v>
      </c>
      <c r="F61" s="43">
        <f t="shared" ref="F61" si="42">D61/B61</f>
        <v>5412.8900819121372</v>
      </c>
      <c r="G61" s="43">
        <f t="shared" ref="G61" si="43">F61/E61</f>
        <v>1551.4327439937358</v>
      </c>
      <c r="H61" s="27">
        <v>0.43067108351607014</v>
      </c>
      <c r="I61" s="59">
        <f>(B61/('Consumidores Inadimplentes'!B97*1000000))</f>
        <v>3.3033119593291763E-2</v>
      </c>
    </row>
    <row r="62" spans="1:16" x14ac:dyDescent="0.35">
      <c r="A62" s="5">
        <v>45231</v>
      </c>
      <c r="B62" s="30">
        <v>2354019</v>
      </c>
      <c r="C62" s="30">
        <v>8221493</v>
      </c>
      <c r="D62" s="30">
        <v>12837231541.600105</v>
      </c>
      <c r="E62" s="34">
        <f t="shared" ref="E62" si="44">C62/B62</f>
        <v>3.4925346821754624</v>
      </c>
      <c r="F62" s="43">
        <f t="shared" ref="F62" si="45">D62/B62</f>
        <v>5453.3253731597342</v>
      </c>
      <c r="G62" s="43">
        <f t="shared" ref="G62" si="46">F62/E62</f>
        <v>1561.4233985968369</v>
      </c>
      <c r="H62" s="27">
        <v>0.42601651352636755</v>
      </c>
      <c r="I62" s="59">
        <f>(B62/('Consumidores Inadimplentes'!B98*1000000))</f>
        <v>3.2781707342207624E-2</v>
      </c>
    </row>
    <row r="63" spans="1:16" ht="15" thickBot="1" x14ac:dyDescent="0.4">
      <c r="A63" s="12">
        <v>45261</v>
      </c>
      <c r="B63" s="31">
        <v>2399712</v>
      </c>
      <c r="C63" s="31">
        <v>8299796</v>
      </c>
      <c r="D63" s="31">
        <v>12651767840.500061</v>
      </c>
      <c r="E63" s="35">
        <f t="shared" ref="E63" si="47">C63/B63</f>
        <v>3.4586633729380858</v>
      </c>
      <c r="F63" s="46">
        <f t="shared" ref="F63" si="48">D63/B63</f>
        <v>5272.2025978534348</v>
      </c>
      <c r="G63" s="46">
        <f t="shared" ref="G63" si="49">F63/E63</f>
        <v>1524.3468442477456</v>
      </c>
      <c r="H63" s="28">
        <v>0.43375244873605634</v>
      </c>
      <c r="I63" s="59">
        <f>(B63/('Consumidores Inadimplentes'!B99*1000000))</f>
        <v>3.3750065873267725E-2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2361668</v>
      </c>
      <c r="C64" s="29">
        <v>8264303</v>
      </c>
      <c r="D64" s="29">
        <v>12999484439.640079</v>
      </c>
      <c r="E64" s="33">
        <f t="shared" ref="E64" si="50">C64/B64</f>
        <v>3.4993500356527676</v>
      </c>
      <c r="F64" s="45">
        <f t="shared" ref="F64" si="51">D64/B64</f>
        <v>5504.3657447363812</v>
      </c>
      <c r="G64" s="45">
        <f t="shared" ref="G64" si="52">F64/E64</f>
        <v>1572.9680336793169</v>
      </c>
      <c r="H64" s="26">
        <v>0.42635173583128971</v>
      </c>
      <c r="I64" s="59">
        <f>(B64/('Consumidores Inadimplentes'!B100*1000000))</f>
        <v>3.2769169273305761E-2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2338679</v>
      </c>
      <c r="C65" s="30">
        <v>8214226</v>
      </c>
      <c r="D65" s="30">
        <v>12952293306.100082</v>
      </c>
      <c r="E65" s="34">
        <f t="shared" ref="E65" si="53">C65/B65</f>
        <v>3.5123358100876607</v>
      </c>
      <c r="F65" s="43">
        <f t="shared" ref="F65" si="54">D65/B65</f>
        <v>5538.2946125141934</v>
      </c>
      <c r="G65" s="43">
        <f t="shared" ref="G65" si="55">F65/E65</f>
        <v>1576.8123869613621</v>
      </c>
      <c r="H65" s="27">
        <v>0.42168303654901618</v>
      </c>
      <c r="I65" s="59">
        <f>(B65/('Consumidores Inadimplentes'!B101*1000000))</f>
        <v>3.246394955484206E-2</v>
      </c>
    </row>
    <row r="66" spans="1:16" x14ac:dyDescent="0.35">
      <c r="A66" s="5">
        <v>45352</v>
      </c>
      <c r="B66" s="30">
        <v>2349691</v>
      </c>
      <c r="C66" s="30">
        <v>8154784</v>
      </c>
      <c r="D66" s="30">
        <v>12826243272.220089</v>
      </c>
      <c r="E66" s="34">
        <f t="shared" ref="E66" si="56">C66/B66</f>
        <v>3.4705771950439441</v>
      </c>
      <c r="F66" s="43">
        <f t="shared" ref="F66" si="57">D66/B66</f>
        <v>5458.6936206590944</v>
      </c>
      <c r="G66" s="43">
        <f t="shared" ref="G66" si="58">F66/E66</f>
        <v>1572.8489279691637</v>
      </c>
      <c r="H66" s="27">
        <v>0.42314832056457929</v>
      </c>
      <c r="I66" s="59">
        <f>(B66/('Consumidores Inadimplentes'!B102*1000000))</f>
        <v>3.2233990944294931E-2</v>
      </c>
    </row>
    <row r="67" spans="1:16" x14ac:dyDescent="0.35">
      <c r="A67" s="5">
        <v>45383</v>
      </c>
      <c r="B67" s="30">
        <v>2369408</v>
      </c>
      <c r="C67" s="30">
        <v>8288372</v>
      </c>
      <c r="D67" s="30">
        <v>13155300768.86002</v>
      </c>
      <c r="E67" s="34">
        <f t="shared" ref="E67" si="59">C67/B67</f>
        <v>3.4980771568256714</v>
      </c>
      <c r="F67" s="43">
        <f t="shared" ref="F67" si="60">D67/B67</f>
        <v>5552.1466834162875</v>
      </c>
      <c r="G67" s="43">
        <f t="shared" ref="G67" si="61">F67/E67</f>
        <v>1587.1996055268776</v>
      </c>
      <c r="H67" s="27">
        <v>0.42617505314129922</v>
      </c>
      <c r="I67" s="59">
        <f>(B67/('Consumidores Inadimplentes'!B103*1000000))</f>
        <v>3.2272064434294714E-2</v>
      </c>
    </row>
    <row r="68" spans="1:16" x14ac:dyDescent="0.35">
      <c r="A68" s="5">
        <v>45413</v>
      </c>
      <c r="B68" s="30">
        <v>2354741</v>
      </c>
      <c r="C68" s="30">
        <v>8292773</v>
      </c>
      <c r="D68" s="30">
        <v>13580747140.99007</v>
      </c>
      <c r="E68" s="34">
        <f t="shared" ref="E68" si="62">C68/B68</f>
        <v>3.5217346621135825</v>
      </c>
      <c r="F68" s="43">
        <f t="shared" ref="F68" si="63">D68/B68</f>
        <v>5767.4059019612223</v>
      </c>
      <c r="G68" s="43">
        <f t="shared" ref="G68" si="64">F68/E68</f>
        <v>1637.6605438241311</v>
      </c>
      <c r="H68" s="27">
        <v>0.42301683882022267</v>
      </c>
      <c r="I68" s="59">
        <f>(B68/('Consumidores Inadimplentes'!B104*1000000))</f>
        <v>3.2463356178882866E-2</v>
      </c>
    </row>
    <row r="69" spans="1:16" x14ac:dyDescent="0.35">
      <c r="A69" s="5">
        <v>45444</v>
      </c>
      <c r="B69" s="30">
        <v>2314995</v>
      </c>
      <c r="C69" s="30">
        <v>8115501</v>
      </c>
      <c r="D69" s="30">
        <v>13260067306.99</v>
      </c>
      <c r="E69" s="34">
        <f t="shared" ref="E69" si="65">C69/B69</f>
        <v>3.5056235542625362</v>
      </c>
      <c r="F69" s="43">
        <f t="shared" ref="F69" si="66">D69/B69</f>
        <v>5727.9032166332972</v>
      </c>
      <c r="G69" s="43">
        <f t="shared" ref="G69" si="67">F69/E69</f>
        <v>1633.9185106366199</v>
      </c>
      <c r="H69" s="27">
        <v>0.41536599115869599</v>
      </c>
      <c r="I69" s="59">
        <f>(B69/('Consumidores Inadimplentes'!B105*1000000))</f>
        <v>3.1930466961536542E-2</v>
      </c>
    </row>
    <row r="70" spans="1:16" x14ac:dyDescent="0.35">
      <c r="A70" s="5">
        <v>45474</v>
      </c>
      <c r="B70" s="30">
        <v>2355141</v>
      </c>
      <c r="C70" s="30">
        <v>8135690</v>
      </c>
      <c r="D70" s="30">
        <v>13028468227.120001</v>
      </c>
      <c r="E70" s="34">
        <f t="shared" ref="E70" si="68">C70/B70</f>
        <v>3.4544386089834962</v>
      </c>
      <c r="F70" s="43">
        <f t="shared" ref="F70" si="69">D70/B70</f>
        <v>5531.9270596197857</v>
      </c>
      <c r="G70" s="43">
        <f t="shared" ref="G70" si="70">F70/E70</f>
        <v>1601.3968363003016</v>
      </c>
      <c r="H70" s="27">
        <v>0.42205020250924735</v>
      </c>
      <c r="I70" s="59">
        <f>(B70/('Consumidores Inadimplentes'!B106*1000000))</f>
        <v>3.241132153400661E-2</v>
      </c>
    </row>
    <row r="71" spans="1:16" x14ac:dyDescent="0.35">
      <c r="A71" s="5">
        <v>45505</v>
      </c>
      <c r="B71" s="30">
        <v>2373328</v>
      </c>
      <c r="C71" s="30">
        <v>8213366</v>
      </c>
      <c r="D71" s="30">
        <v>13047108273.810148</v>
      </c>
      <c r="E71" s="34">
        <f t="shared" ref="E71" si="71">C71/B71</f>
        <v>3.46069569819258</v>
      </c>
      <c r="F71" s="43">
        <f t="shared" ref="F71" si="72">D71/B71</f>
        <v>5497.3894353457035</v>
      </c>
      <c r="G71" s="43">
        <f t="shared" ref="G71" si="73">F71/E71</f>
        <v>1588.5214750943946</v>
      </c>
      <c r="H71" s="27">
        <v>0.42481736094031863</v>
      </c>
      <c r="I71" s="59">
        <f>(B71/('Consumidores Inadimplentes'!B107*1000000))</f>
        <v>3.2752481489056275E-2</v>
      </c>
    </row>
    <row r="72" spans="1:16" x14ac:dyDescent="0.35">
      <c r="A72" s="5">
        <v>45536</v>
      </c>
      <c r="B72" s="30">
        <v>2381738</v>
      </c>
      <c r="C72" s="30">
        <v>8255787</v>
      </c>
      <c r="D72" s="30">
        <v>13224154053.650152</v>
      </c>
      <c r="E72" s="34">
        <f t="shared" ref="E72" si="74">C72/B72</f>
        <v>3.4662868040061503</v>
      </c>
      <c r="F72" s="43">
        <f t="shared" ref="F72" si="75">D72/B72</f>
        <v>5552.3126614472931</v>
      </c>
      <c r="G72" s="43">
        <f t="shared" ref="G72" si="76">F72/E72</f>
        <v>1601.8041712619465</v>
      </c>
      <c r="H72" s="27">
        <v>0.42582956504824099</v>
      </c>
      <c r="I72" s="59">
        <f>(B72/('Consumidores Inadimplentes'!B108*1000000))</f>
        <v>3.2787374057235211E-2</v>
      </c>
    </row>
    <row r="73" spans="1:16" x14ac:dyDescent="0.35">
      <c r="A73" s="5">
        <v>45566</v>
      </c>
      <c r="B73" s="30">
        <v>2395541</v>
      </c>
      <c r="C73" s="30">
        <v>8372472</v>
      </c>
      <c r="D73" s="30">
        <v>13524309804.350132</v>
      </c>
      <c r="E73" s="34">
        <f t="shared" ref="E73" si="77">C73/B73</f>
        <v>3.4950234623410745</v>
      </c>
      <c r="F73" s="43">
        <f t="shared" ref="F73" si="78">D73/B73</f>
        <v>5645.6181732435934</v>
      </c>
      <c r="G73" s="43">
        <f t="shared" ref="G73" si="79">F73/E73</f>
        <v>1615.3305504455711</v>
      </c>
      <c r="H73" s="27">
        <v>0.42780191619119051</v>
      </c>
      <c r="I73" s="59">
        <f>(B73/('Consumidores Inadimplentes'!B109*1000000))</f>
        <v>3.2768950094242459E-2</v>
      </c>
    </row>
    <row r="74" spans="1:16" x14ac:dyDescent="0.35">
      <c r="A74" s="5">
        <v>45597</v>
      </c>
      <c r="B74" s="30">
        <v>2410870</v>
      </c>
      <c r="C74" s="30">
        <v>8370898</v>
      </c>
      <c r="D74" s="30">
        <v>13733394398.950142</v>
      </c>
      <c r="E74" s="34">
        <f t="shared" ref="E74" si="80">C74/B74</f>
        <v>3.4721482286477494</v>
      </c>
      <c r="F74" s="43">
        <f t="shared" ref="F74" si="81">D74/B74</f>
        <v>5696.4475060663335</v>
      </c>
      <c r="G74" s="43">
        <f t="shared" ref="G74" si="82">F74/E74</f>
        <v>1640.6118434306741</v>
      </c>
      <c r="H74" s="27">
        <v>0.43004137431581652</v>
      </c>
      <c r="I74" s="59">
        <f>(B74/('Consumidores Inadimplentes'!B110*1000000))</f>
        <v>3.2672576272218243E-2</v>
      </c>
    </row>
    <row r="75" spans="1:16" ht="15" thickBot="1" x14ac:dyDescent="0.4">
      <c r="A75" s="12">
        <v>45627</v>
      </c>
      <c r="B75" s="31">
        <v>2419282</v>
      </c>
      <c r="C75" s="31">
        <v>8546155</v>
      </c>
      <c r="D75" s="31">
        <v>13777166681.710127</v>
      </c>
      <c r="E75" s="35">
        <f t="shared" ref="E75" si="83">C75/B75</f>
        <v>3.5325170856477253</v>
      </c>
      <c r="F75" s="46">
        <f t="shared" ref="F75" si="84">D75/B75</f>
        <v>5694.7336778887811</v>
      </c>
      <c r="G75" s="46">
        <f t="shared" ref="G75" si="85">F75/E75</f>
        <v>1612.0894930773109</v>
      </c>
      <c r="H75" s="28">
        <v>0.43104264170010909</v>
      </c>
      <c r="I75" s="59">
        <f>(B75/('Consumidores Inadimplentes'!B111*1000000))</f>
        <v>3.2909915479123128E-2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2440794</v>
      </c>
      <c r="C76" s="29">
        <v>8736067</v>
      </c>
      <c r="D76" s="29">
        <v>14292853299.520006</v>
      </c>
      <c r="E76" s="33">
        <f t="shared" ref="E76:E77" si="86">C76/B76</f>
        <v>3.5791906240346378</v>
      </c>
      <c r="F76" s="45">
        <f t="shared" ref="F76:F77" si="87">D76/B76</f>
        <v>5855.8212202750437</v>
      </c>
      <c r="G76" s="45">
        <f t="shared" ref="G76:G77" si="88">F76/E76</f>
        <v>1636.0741394863392</v>
      </c>
      <c r="H76" s="26">
        <v>0.4343723794866392</v>
      </c>
      <c r="I76" s="59">
        <f>(B76/('Consumidores Inadimplentes'!B112*1000000))</f>
        <v>3.2717140244682669E-2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2500448</v>
      </c>
      <c r="C77" s="30">
        <v>9036198</v>
      </c>
      <c r="D77" s="30">
        <v>15031414564.020075</v>
      </c>
      <c r="E77" s="34">
        <f t="shared" si="86"/>
        <v>3.6138316013770333</v>
      </c>
      <c r="F77" s="43">
        <f t="shared" si="87"/>
        <v>6011.4885668568495</v>
      </c>
      <c r="G77" s="43">
        <f t="shared" si="88"/>
        <v>1663.4667106696947</v>
      </c>
      <c r="H77" s="27">
        <v>0.44447383371409027</v>
      </c>
      <c r="I77" s="59">
        <f>(B77/('Consumidores Inadimplentes'!B113*1000000))</f>
        <v>3.3337801131567563E-2</v>
      </c>
    </row>
    <row r="78" spans="1:16" x14ac:dyDescent="0.35">
      <c r="A78" s="5">
        <v>45717</v>
      </c>
      <c r="B78" s="30">
        <v>2500374</v>
      </c>
      <c r="C78" s="30">
        <v>9080419</v>
      </c>
      <c r="D78" s="30">
        <v>15144681537.850147</v>
      </c>
      <c r="E78" s="34">
        <f t="shared" ref="E78:E79" si="89">C78/B78</f>
        <v>3.6316243090033731</v>
      </c>
      <c r="F78" s="43">
        <f t="shared" ref="F78:F79" si="90">D78/B78</f>
        <v>6056.9664929527135</v>
      </c>
      <c r="G78" s="43">
        <f t="shared" ref="G78:G79" si="91">F78/E78</f>
        <v>1667.839505847709</v>
      </c>
      <c r="H78" s="27">
        <v>0.44394654901830577</v>
      </c>
      <c r="I78" s="59">
        <f>(B78/('Consumidores Inadimplentes'!B114*1000000))</f>
        <v>3.2999729139144333E-2</v>
      </c>
    </row>
    <row r="79" spans="1:16" x14ac:dyDescent="0.35">
      <c r="A79" s="5">
        <v>45748</v>
      </c>
      <c r="B79" s="30">
        <v>2502736</v>
      </c>
      <c r="C79" s="30">
        <v>9206673</v>
      </c>
      <c r="D79" s="30">
        <v>15782433732</v>
      </c>
      <c r="E79" s="34">
        <f t="shared" si="89"/>
        <v>3.6786432927803809</v>
      </c>
      <c r="F79" s="43">
        <f t="shared" si="90"/>
        <v>6306.0721274637035</v>
      </c>
      <c r="G79" s="43">
        <f t="shared" si="91"/>
        <v>1714.2385454550194</v>
      </c>
      <c r="H79" s="27">
        <v>0.44385187013826299</v>
      </c>
      <c r="I79" s="59">
        <f>(B79/('Consumidores Inadimplentes'!B115*1000000))</f>
        <v>3.2656367069457529E-2</v>
      </c>
    </row>
    <row r="80" spans="1:16" x14ac:dyDescent="0.35">
      <c r="A80" s="5">
        <v>45778</v>
      </c>
      <c r="B80" s="30">
        <v>2541756</v>
      </c>
      <c r="C80" s="30">
        <v>9367391</v>
      </c>
      <c r="D80" s="30">
        <v>16042760521</v>
      </c>
      <c r="E80" s="34">
        <f t="shared" ref="E80" si="92">C80/B80</f>
        <v>3.6854013524508251</v>
      </c>
      <c r="F80" s="43">
        <f t="shared" ref="F80" si="93">D80/B80</f>
        <v>6311.6839385841913</v>
      </c>
      <c r="G80" s="43">
        <f t="shared" ref="G80" si="94">F80/E80</f>
        <v>1712.6177951790419</v>
      </c>
      <c r="H80" s="27">
        <v>0.45025043377521279</v>
      </c>
      <c r="I80" s="59">
        <f>(B80/('Consumidores Inadimplentes'!B116*1000000))</f>
        <v>3.2978860882278298E-2</v>
      </c>
    </row>
    <row r="81" spans="1:16" x14ac:dyDescent="0.35">
      <c r="A81" s="5">
        <v>45809</v>
      </c>
      <c r="B81" s="30">
        <v>2563724</v>
      </c>
      <c r="C81" s="30">
        <v>9541372</v>
      </c>
      <c r="D81" s="30">
        <v>16525330885</v>
      </c>
      <c r="E81" s="34">
        <f t="shared" ref="E81" si="95">C81/B81</f>
        <v>3.7216845495068891</v>
      </c>
      <c r="F81" s="43">
        <f t="shared" ref="F81" si="96">D81/B81</f>
        <v>6445.8307075956691</v>
      </c>
      <c r="G81" s="43">
        <f t="shared" ref="G81" si="97">F81/E81</f>
        <v>1731.9658938986972</v>
      </c>
      <c r="H81" s="27">
        <v>0.45361652148726506</v>
      </c>
      <c r="I81" s="59">
        <f>(B81/('Consumidores Inadimplentes'!B117*1000000))</f>
        <v>3.292118396654601E-2</v>
      </c>
    </row>
    <row r="82" spans="1:16" x14ac:dyDescent="0.35">
      <c r="A82" s="5">
        <v>45839</v>
      </c>
      <c r="B82" s="30">
        <v>2605063</v>
      </c>
      <c r="C82" s="30">
        <v>9736387</v>
      </c>
      <c r="D82" s="30">
        <v>16814392494</v>
      </c>
      <c r="E82" s="34">
        <f t="shared" ref="E82:E83" si="98">C82/B82</f>
        <v>3.7374861951515186</v>
      </c>
      <c r="F82" s="43">
        <f t="shared" ref="F82:F83" si="99">D82/B82</f>
        <v>6454.505128666754</v>
      </c>
      <c r="G82" s="43">
        <f t="shared" ref="G82:G83" si="100">F82/E82</f>
        <v>1726.964272681437</v>
      </c>
      <c r="H82" s="27">
        <v>0.46039765731301457</v>
      </c>
      <c r="I82" s="59">
        <f>(B82/('Consumidores Inadimplentes'!B118*1000000))</f>
        <v>3.3329369302678817E-2</v>
      </c>
    </row>
    <row r="83" spans="1:16" x14ac:dyDescent="0.35">
      <c r="A83" s="5">
        <v>45870</v>
      </c>
      <c r="B83" s="30">
        <v>2616868</v>
      </c>
      <c r="C83" s="30">
        <v>9914361</v>
      </c>
      <c r="D83" s="30">
        <v>17208915513</v>
      </c>
      <c r="E83" s="34">
        <f t="shared" si="98"/>
        <v>3.7886362628913646</v>
      </c>
      <c r="F83" s="43">
        <f t="shared" si="99"/>
        <v>6576.1496235194136</v>
      </c>
      <c r="G83" s="43">
        <f t="shared" si="100"/>
        <v>1735.756395495383</v>
      </c>
      <c r="H83" s="27">
        <v>0.46196651606540023</v>
      </c>
      <c r="I83" s="59">
        <f>(B83/('Consumidores Inadimplentes'!B119*1000000))</f>
        <v>3.3188413430492572E-2</v>
      </c>
    </row>
    <row r="84" spans="1:16" x14ac:dyDescent="0.35">
      <c r="A84" s="5">
        <v>45901</v>
      </c>
      <c r="B84" s="30">
        <v>2606125</v>
      </c>
      <c r="C84" s="30">
        <v>9874499</v>
      </c>
      <c r="D84" s="30">
        <v>17380642179</v>
      </c>
      <c r="E84" s="34">
        <f>IFERROR(C84/B84,"")</f>
        <v>3.7889583193438536</v>
      </c>
      <c r="F84" s="43">
        <f>IFERROR(D84/B84,"")</f>
        <v>6669.1513948870452</v>
      </c>
      <c r="G84" s="43">
        <f>IFERROR(F84/E84,"")</f>
        <v>1760.1543307665534</v>
      </c>
      <c r="H84" s="27">
        <v>0.45955525789935131</v>
      </c>
      <c r="I84" s="59">
        <f>(B84/('Consumidores Inadimplentes'!B120*1000000))</f>
        <v>3.2919355035924587E-2</v>
      </c>
    </row>
    <row r="85" spans="1:16" x14ac:dyDescent="0.35">
      <c r="A85" s="5">
        <v>45931</v>
      </c>
      <c r="B85" s="30">
        <v>2653051</v>
      </c>
      <c r="C85" s="30">
        <v>10054765</v>
      </c>
      <c r="D85" s="30">
        <v>17689125565</v>
      </c>
      <c r="E85" s="34">
        <f t="shared" ref="E85:E87" si="101">IFERROR(C85/B85,"")</f>
        <v>3.789887567182086</v>
      </c>
      <c r="F85" s="43">
        <f t="shared" ref="F85:F87" si="102">IFERROR(D85/B85,"")</f>
        <v>6667.465331424085</v>
      </c>
      <c r="G85" s="43">
        <f t="shared" ref="G85:G87" si="103">IFERROR(F85/E85,"")</f>
        <v>1759.2778712381642</v>
      </c>
      <c r="H85" s="27">
        <v>0.46730660430864962</v>
      </c>
      <c r="I85" s="59">
        <f>(B85/('Consumidores Inadimplentes'!B121*1000000))</f>
        <v>3.2983159940311702E-2</v>
      </c>
    </row>
    <row r="86" spans="1:16" x14ac:dyDescent="0.35">
      <c r="A86" s="5">
        <v>45962</v>
      </c>
      <c r="B86" s="30">
        <v>2655936</v>
      </c>
      <c r="C86" s="30">
        <v>10057167</v>
      </c>
      <c r="D86" s="30">
        <v>17869096021</v>
      </c>
      <c r="E86" s="34">
        <f t="shared" si="101"/>
        <v>3.7866752060290612</v>
      </c>
      <c r="F86" s="43">
        <f t="shared" si="102"/>
        <v>6727.9844171696905</v>
      </c>
      <c r="G86" s="43">
        <f t="shared" si="103"/>
        <v>1776.7524414181446</v>
      </c>
      <c r="H86" s="27">
        <v>0.46729136723494258</v>
      </c>
      <c r="I86" s="59">
        <f>(B86/('Consumidores Inadimplentes'!B122*1000000))</f>
        <v>3.2948026485988699E-2</v>
      </c>
    </row>
    <row r="87" spans="1:16" ht="15" thickBot="1" x14ac:dyDescent="0.4">
      <c r="A87" s="12">
        <v>45992</v>
      </c>
      <c r="B87" s="31">
        <v>2692703</v>
      </c>
      <c r="C87" s="31">
        <v>10274644</v>
      </c>
      <c r="D87" s="31">
        <v>18213205810</v>
      </c>
      <c r="E87" s="35">
        <f t="shared" si="101"/>
        <v>3.8157360837790133</v>
      </c>
      <c r="F87" s="46">
        <f t="shared" si="102"/>
        <v>6763.9118796243029</v>
      </c>
      <c r="G87" s="46">
        <f t="shared" si="103"/>
        <v>1772.636191579971</v>
      </c>
      <c r="H87" s="28">
        <v>0.47323019538144573</v>
      </c>
      <c r="I87" s="59">
        <f>(B87/('Consumidores Inadimplentes'!B123*1000000))</f>
        <v>3.3141769271018258E-2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2640328</v>
      </c>
      <c r="C88" s="29">
        <v>9849413</v>
      </c>
      <c r="D88" s="29">
        <v>17347461145</v>
      </c>
      <c r="E88" s="33">
        <f t="shared" ref="E88:E89" si="104">IFERROR(C88/B88,"")</f>
        <v>3.7303747867689165</v>
      </c>
      <c r="F88" s="45">
        <f t="shared" ref="F88:F89" si="105">IFERROR(D88/B88,"")</f>
        <v>6570.1917129235462</v>
      </c>
      <c r="G88" s="45">
        <f t="shared" ref="G88:G89" si="106">IFERROR(F88/E88,"")</f>
        <v>1761.2685288960877</v>
      </c>
      <c r="H88" s="26">
        <v>0.4635063905026699</v>
      </c>
      <c r="I88" s="59">
        <f>(B88/('Consumidores Inadimplentes'!B124*1000000))</f>
        <v>3.2468638177344619E-2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2643256</v>
      </c>
      <c r="C89" s="30">
        <v>9998336</v>
      </c>
      <c r="D89" s="30">
        <v>17841315695</v>
      </c>
      <c r="E89" s="34">
        <f t="shared" si="104"/>
        <v>3.7825832987799894</v>
      </c>
      <c r="F89" s="43">
        <f t="shared" si="105"/>
        <v>6749.7494359229677</v>
      </c>
      <c r="G89" s="43">
        <f t="shared" si="106"/>
        <v>1784.4284984021342</v>
      </c>
      <c r="H89" s="27">
        <v>0.46350127533798297</v>
      </c>
      <c r="I89" s="59">
        <f>(B89/('Consumidores Inadimplentes'!B125*1000000))</f>
        <v>3.2340560815924103E-2</v>
      </c>
    </row>
    <row r="90" spans="1:16" x14ac:dyDescent="0.35">
      <c r="A90" s="5">
        <v>46082</v>
      </c>
      <c r="B90" s="30">
        <v>2684224</v>
      </c>
      <c r="C90" s="30">
        <v>10232095</v>
      </c>
      <c r="D90" s="30">
        <v>18553889147</v>
      </c>
      <c r="E90" s="34">
        <f t="shared" ref="E90" si="107">IFERROR(C90/B90,"")</f>
        <v>3.8119378263513028</v>
      </c>
      <c r="F90" s="43">
        <f t="shared" ref="F90" si="108">IFERROR(D90/B90,"")</f>
        <v>6912.1985151015715</v>
      </c>
      <c r="G90" s="43">
        <f t="shared" ref="G90" si="109">IFERROR(F90/E90,"")</f>
        <v>1813.303057389518</v>
      </c>
      <c r="H90" s="27">
        <v>0.47015846381010268</v>
      </c>
      <c r="I90" s="59">
        <f>(B90/('Consumidores Inadimplentes'!B126*1000000))</f>
        <v>3.2405448243733245E-2</v>
      </c>
    </row>
    <row r="91" spans="1:16" x14ac:dyDescent="0.35">
      <c r="A91" s="5">
        <v>46113</v>
      </c>
      <c r="B91" s="30">
        <v>2685172</v>
      </c>
      <c r="C91" s="30">
        <v>10335363</v>
      </c>
      <c r="D91" s="30">
        <v>18973933832</v>
      </c>
      <c r="E91" s="34">
        <f t="shared" ref="E91" si="110">IFERROR(C91/B91,"")</f>
        <v>3.8490506380969265</v>
      </c>
      <c r="F91" s="43">
        <f t="shared" ref="F91" si="111">IFERROR(D91/B91,"")</f>
        <v>7066.1893658953695</v>
      </c>
      <c r="G91" s="43">
        <f t="shared" ref="G91" si="112">IFERROR(F91/E91,"")</f>
        <v>1835.8265531650898</v>
      </c>
      <c r="H91" s="27">
        <v>0.46979827961617227</v>
      </c>
      <c r="I91" s="59">
        <f>(B91/('Consumidores Inadimplentes'!B127*1000000))</f>
        <v>3.2200479889528129E-2</v>
      </c>
    </row>
    <row r="92" spans="1:16" x14ac:dyDescent="0.35">
      <c r="A92" s="5">
        <v>46143</v>
      </c>
      <c r="B92" s="30">
        <v>2696486</v>
      </c>
      <c r="C92" s="30">
        <v>10414878</v>
      </c>
      <c r="D92" s="30">
        <v>19298709175</v>
      </c>
      <c r="E92" s="34">
        <f t="shared" ref="E92" si="113">IFERROR(C92/B92,"")</f>
        <v>3.8623890500451328</v>
      </c>
      <c r="F92" s="43">
        <f t="shared" ref="F92" si="114">IFERROR(D92/B92,"")</f>
        <v>7156.9847479274877</v>
      </c>
      <c r="G92" s="43">
        <f t="shared" ref="G92" si="115">IFERROR(F92/E92,"")</f>
        <v>1852.9942621507423</v>
      </c>
      <c r="H92" s="27">
        <v>0.471249934681781</v>
      </c>
      <c r="I92" s="59">
        <f>(B92/('Consumidores Inadimplentes'!B128*1000000))</f>
        <v>3.2292144868930575E-2</v>
      </c>
    </row>
    <row r="93" spans="1:16" x14ac:dyDescent="0.35">
      <c r="A93" s="5">
        <v>46174</v>
      </c>
      <c r="B93" s="30">
        <v>2702395</v>
      </c>
      <c r="C93" s="30">
        <v>10463713</v>
      </c>
      <c r="D93" s="30">
        <v>19569553153</v>
      </c>
      <c r="E93" s="34">
        <f t="shared" ref="E93" si="116">IFERROR(C93/B93,"")</f>
        <v>3.8720146388666348</v>
      </c>
      <c r="F93" s="43">
        <f t="shared" ref="F93" si="117">IFERROR(D93/B93,"")</f>
        <v>7241.5591181155978</v>
      </c>
      <c r="G93" s="43">
        <f t="shared" ref="G93" si="118">IFERROR(F93/E93,"")</f>
        <v>1870.2303047684891</v>
      </c>
      <c r="H93" s="27">
        <v>0.47175422229887737</v>
      </c>
      <c r="I93" s="59">
        <f>(B93/('Consumidores Inadimplentes'!B129*1000000))</f>
        <v>3.227218389236481E-2</v>
      </c>
    </row>
    <row r="94" spans="1:16" x14ac:dyDescent="0.35">
      <c r="A94" s="5">
        <v>46204</v>
      </c>
      <c r="B94" s="30">
        <v>2706131</v>
      </c>
      <c r="C94" s="30">
        <v>10528433</v>
      </c>
      <c r="D94" s="30">
        <v>19756221591</v>
      </c>
      <c r="E94" s="34">
        <f t="shared" ref="E94" si="119">IFERROR(C94/B94,"")</f>
        <v>3.8905851194934762</v>
      </c>
      <c r="F94" s="43">
        <f t="shared" ref="F94" si="120">IFERROR(D94/B94,"")</f>
        <v>7300.5414708304952</v>
      </c>
      <c r="G94" s="43">
        <f t="shared" ref="G94" si="121">IFERROR(F94/E94,"")</f>
        <v>1876.4636286330547</v>
      </c>
      <c r="H94" s="27">
        <v>0.47187797470570519</v>
      </c>
      <c r="I94" s="59">
        <f>(B94/('Consumidores Inadimplentes'!B130*1000000))</f>
        <v>3.2241977360746125E-2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9CAD-B521-4763-8054-8A7F90C29289}">
  <sheetPr codeName="Planilha13"/>
  <dimension ref="A1:P99"/>
  <sheetViews>
    <sheetView zoomScale="90" zoomScaleNormal="90" workbookViewId="0">
      <pane xSplit="1" ySplit="3" topLeftCell="B84" activePane="bottomRight" state="frozen"/>
      <selection activeCell="H93" sqref="H93"/>
      <selection pane="topRight" activeCell="H93" sqref="H93"/>
      <selection pane="bottomLeft" activeCell="H93" sqref="H93"/>
      <selection pane="bottomRight" activeCell="I1" sqref="I1:I104857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29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1933867</v>
      </c>
      <c r="C4" s="29">
        <v>6289990</v>
      </c>
      <c r="D4" s="29">
        <v>4860907169.0600672</v>
      </c>
      <c r="E4" s="33">
        <f t="shared" ref="E4:E33" si="0">C4/B4</f>
        <v>3.2525452887918354</v>
      </c>
      <c r="F4" s="45">
        <f>D4/B4</f>
        <v>2513.5684972441577</v>
      </c>
      <c r="G4" s="45">
        <f t="shared" ref="G4" si="1">F4/E4</f>
        <v>772.80046058261894</v>
      </c>
      <c r="H4" s="26">
        <v>0.4130768677821744</v>
      </c>
      <c r="I4" s="58">
        <f>(B4/('Consumidores Inadimplentes'!B40*1000000))</f>
        <v>3.1102915931640867E-2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1929031</v>
      </c>
      <c r="C5" s="30">
        <v>6238085</v>
      </c>
      <c r="D5" s="30">
        <v>4774877721.7800703</v>
      </c>
      <c r="E5" s="34">
        <f t="shared" si="0"/>
        <v>3.2337919919379212</v>
      </c>
      <c r="F5" s="43">
        <f t="shared" ref="F5:F45" si="2">D5/B5</f>
        <v>2475.2726740939211</v>
      </c>
      <c r="G5" s="43">
        <f t="shared" ref="G5:G45" si="3">F5/E5</f>
        <v>765.43966967107224</v>
      </c>
      <c r="H5" s="27">
        <v>0.41153435008123562</v>
      </c>
      <c r="I5" s="59">
        <f>(B5/('Consumidores Inadimplentes'!B41*1000000))</f>
        <v>3.1026876772989029E-2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1941409</v>
      </c>
      <c r="C6" s="30">
        <v>6262113</v>
      </c>
      <c r="D6" s="30">
        <v>4876202302.0400486</v>
      </c>
      <c r="E6" s="34">
        <f t="shared" si="0"/>
        <v>3.2255506181335307</v>
      </c>
      <c r="F6" s="43">
        <f t="shared" si="2"/>
        <v>2511.6821350060955</v>
      </c>
      <c r="G6" s="43">
        <f t="shared" si="3"/>
        <v>778.68321795535292</v>
      </c>
      <c r="H6" s="27">
        <v>0.41358919339190631</v>
      </c>
      <c r="I6" s="59">
        <f>(B6/('Consumidores Inadimplentes'!B42*1000000))</f>
        <v>3.0835554357053638E-2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1949680</v>
      </c>
      <c r="C7" s="30">
        <v>6241572</v>
      </c>
      <c r="D7" s="30">
        <v>4867747725.7600355</v>
      </c>
      <c r="E7" s="34">
        <f t="shared" si="0"/>
        <v>3.2013315005539371</v>
      </c>
      <c r="F7" s="43">
        <f t="shared" si="2"/>
        <v>2496.6905983341039</v>
      </c>
      <c r="G7" s="43">
        <f t="shared" si="3"/>
        <v>779.89130394715232</v>
      </c>
      <c r="H7" s="27">
        <v>0.41462300524952744</v>
      </c>
      <c r="I7" s="59">
        <f>(B7/('Consumidores Inadimplentes'!B43*1000000))</f>
        <v>3.0846729498003052E-2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1991561</v>
      </c>
      <c r="C8" s="30">
        <v>6343548</v>
      </c>
      <c r="D8" s="30">
        <v>4978100792.7400351</v>
      </c>
      <c r="E8" s="34">
        <f t="shared" si="0"/>
        <v>3.1852140105173783</v>
      </c>
      <c r="F8" s="43">
        <f t="shared" si="2"/>
        <v>2499.5974478010139</v>
      </c>
      <c r="G8" s="43">
        <f t="shared" si="3"/>
        <v>784.75023641975042</v>
      </c>
      <c r="H8" s="27">
        <v>0.42008317598271266</v>
      </c>
      <c r="I8" s="59">
        <f>(B8/('Consumidores Inadimplentes'!B44*1000000))</f>
        <v>3.1425214564209054E-2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1985040</v>
      </c>
      <c r="C9" s="30">
        <v>6312836</v>
      </c>
      <c r="D9" s="30">
        <v>4935950650.8100462</v>
      </c>
      <c r="E9" s="34">
        <f t="shared" si="0"/>
        <v>3.1802059404344498</v>
      </c>
      <c r="F9" s="43">
        <f t="shared" si="2"/>
        <v>2486.5749056996565</v>
      </c>
      <c r="G9" s="43">
        <f t="shared" si="3"/>
        <v>781.89115808014753</v>
      </c>
      <c r="H9" s="27">
        <v>0.42016579943120519</v>
      </c>
      <c r="I9" s="59">
        <f>(B9/('Consumidores Inadimplentes'!B45*1000000))</f>
        <v>3.128481991362695E-2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1988493</v>
      </c>
      <c r="C10" s="30">
        <v>6266500</v>
      </c>
      <c r="D10" s="30">
        <v>4923744908.1400318</v>
      </c>
      <c r="E10" s="34">
        <f t="shared" si="0"/>
        <v>3.1513814733066701</v>
      </c>
      <c r="F10" s="43">
        <f t="shared" si="2"/>
        <v>2476.1188036065664</v>
      </c>
      <c r="G10" s="43">
        <f t="shared" si="3"/>
        <v>785.7248716412721</v>
      </c>
      <c r="H10" s="27">
        <v>0.41993081643285068</v>
      </c>
      <c r="I10" s="59">
        <f>(B10/('Consumidores Inadimplentes'!B46*1000000))</f>
        <v>3.133292579114301E-2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1987938</v>
      </c>
      <c r="C11" s="30">
        <v>6277023</v>
      </c>
      <c r="D11" s="30">
        <v>5029042376.9600296</v>
      </c>
      <c r="E11" s="34">
        <f t="shared" si="0"/>
        <v>3.1575547124709122</v>
      </c>
      <c r="F11" s="43">
        <f t="shared" si="2"/>
        <v>2529.778281294502</v>
      </c>
      <c r="G11" s="43">
        <f t="shared" si="3"/>
        <v>801.18272259955552</v>
      </c>
      <c r="H11" s="27">
        <v>0.41952772535862509</v>
      </c>
      <c r="I11" s="59">
        <f>(B11/('Consumidores Inadimplentes'!B47*1000000))</f>
        <v>3.1341677363976778E-2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1997330</v>
      </c>
      <c r="C12" s="30">
        <v>6295958</v>
      </c>
      <c r="D12" s="30">
        <v>5015584771.0000257</v>
      </c>
      <c r="E12" s="34">
        <f t="shared" si="0"/>
        <v>3.1521871698717789</v>
      </c>
      <c r="F12" s="43">
        <f t="shared" si="2"/>
        <v>2511.144763759632</v>
      </c>
      <c r="G12" s="43">
        <f t="shared" si="3"/>
        <v>796.63567816050011</v>
      </c>
      <c r="H12" s="27">
        <v>0.42106326099564062</v>
      </c>
      <c r="I12" s="59">
        <f>(B12/('Consumidores Inadimplentes'!B48*1000000))</f>
        <v>3.1600018282898233E-2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2012285</v>
      </c>
      <c r="C13" s="30">
        <v>6326081</v>
      </c>
      <c r="D13" s="30">
        <v>5079988661.520031</v>
      </c>
      <c r="E13" s="34">
        <f t="shared" si="0"/>
        <v>3.1437301376296101</v>
      </c>
      <c r="F13" s="43">
        <f t="shared" si="2"/>
        <v>2524.4876652760572</v>
      </c>
      <c r="G13" s="43">
        <f t="shared" si="3"/>
        <v>803.02301875679916</v>
      </c>
      <c r="H13" s="27">
        <v>0.42376661263635423</v>
      </c>
      <c r="I13" s="59">
        <f>(B13/('Consumidores Inadimplentes'!B49*1000000))</f>
        <v>3.151512237552781E-2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1998726</v>
      </c>
      <c r="C14" s="30">
        <v>6246294</v>
      </c>
      <c r="D14" s="30">
        <v>5063416906.4600325</v>
      </c>
      <c r="E14" s="34">
        <f t="shared" si="0"/>
        <v>3.1251377127230047</v>
      </c>
      <c r="F14" s="43">
        <f t="shared" si="2"/>
        <v>2533.322179458331</v>
      </c>
      <c r="G14" s="43">
        <f t="shared" si="3"/>
        <v>810.62737464167265</v>
      </c>
      <c r="H14" s="27">
        <v>0.42046531001208559</v>
      </c>
      <c r="I14" s="59">
        <f>(B14/('Consumidores Inadimplentes'!B50*1000000))</f>
        <v>3.1307889943022166E-2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1981033</v>
      </c>
      <c r="C15" s="31">
        <v>6179414</v>
      </c>
      <c r="D15" s="31">
        <v>5066261509.5600395</v>
      </c>
      <c r="E15" s="35">
        <f t="shared" si="0"/>
        <v>3.119288775098648</v>
      </c>
      <c r="F15" s="43">
        <f t="shared" si="2"/>
        <v>2557.3837031286403</v>
      </c>
      <c r="G15" s="43">
        <f t="shared" si="3"/>
        <v>819.86115666631815</v>
      </c>
      <c r="H15" s="27">
        <v>0.41630182198885984</v>
      </c>
      <c r="I15" s="59">
        <f>(B15/('Consumidores Inadimplentes'!B51*1000000))</f>
        <v>3.1292309961579022E-2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2041654</v>
      </c>
      <c r="C16" s="29">
        <v>6330949</v>
      </c>
      <c r="D16" s="29">
        <v>5147343991.2900448</v>
      </c>
      <c r="E16" s="33">
        <f t="shared" si="0"/>
        <v>3.1008922177802898</v>
      </c>
      <c r="F16" s="45">
        <f t="shared" si="2"/>
        <v>2521.1637188720738</v>
      </c>
      <c r="G16" s="45">
        <f t="shared" si="3"/>
        <v>813.0446148421106</v>
      </c>
      <c r="H16" s="26">
        <v>0.42858648292123003</v>
      </c>
      <c r="I16" s="59">
        <f>(B16/('Consumidores Inadimplentes'!B52*1000000))</f>
        <v>3.20096967249252E-2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2027430</v>
      </c>
      <c r="C17" s="30">
        <v>6224585</v>
      </c>
      <c r="D17" s="30">
        <v>4935979408.6400318</v>
      </c>
      <c r="E17" s="34">
        <f t="shared" si="0"/>
        <v>3.0701849139057824</v>
      </c>
      <c r="F17" s="43">
        <f t="shared" si="2"/>
        <v>2434.5991766127718</v>
      </c>
      <c r="G17" s="43">
        <f t="shared" si="3"/>
        <v>792.98128447760473</v>
      </c>
      <c r="H17" s="27">
        <v>0.42514968301926043</v>
      </c>
      <c r="I17" s="59">
        <f>(B17/('Consumidores Inadimplentes'!B53*1000000))</f>
        <v>3.1733286565227774E-2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1993198</v>
      </c>
      <c r="C18" s="30">
        <v>6101829</v>
      </c>
      <c r="D18" s="30">
        <v>4983242473.8100309</v>
      </c>
      <c r="E18" s="34">
        <f t="shared" si="0"/>
        <v>3.0613260699639473</v>
      </c>
      <c r="F18" s="43">
        <f t="shared" si="2"/>
        <v>2500.1241591703538</v>
      </c>
      <c r="G18" s="43">
        <f t="shared" si="3"/>
        <v>816.68012555088501</v>
      </c>
      <c r="H18" s="27">
        <v>0.41752850611074904</v>
      </c>
      <c r="I18" s="59">
        <f>(B18/('Consumidores Inadimplentes'!B54*1000000))</f>
        <v>3.0753227244467496E-2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1999030</v>
      </c>
      <c r="C19" s="30">
        <v>6057748</v>
      </c>
      <c r="D19" s="30">
        <v>4914176624.0800343</v>
      </c>
      <c r="E19" s="34">
        <f t="shared" si="0"/>
        <v>3.0303437167026006</v>
      </c>
      <c r="F19" s="43">
        <f t="shared" si="2"/>
        <v>2458.2805781204056</v>
      </c>
      <c r="G19" s="43">
        <f t="shared" si="3"/>
        <v>811.22169890197392</v>
      </c>
      <c r="H19" s="27">
        <v>0.41830652640460159</v>
      </c>
      <c r="I19" s="59">
        <f>(B19/('Consumidores Inadimplentes'!B55*1000000))</f>
        <v>3.0330330731285916E-2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1987067</v>
      </c>
      <c r="C20" s="30">
        <v>5972000</v>
      </c>
      <c r="D20" s="30">
        <v>4784482556.690033</v>
      </c>
      <c r="E20" s="34">
        <f t="shared" si="0"/>
        <v>3.0054346431197336</v>
      </c>
      <c r="F20" s="43">
        <f t="shared" si="2"/>
        <v>2407.8113907029974</v>
      </c>
      <c r="G20" s="43">
        <f t="shared" si="3"/>
        <v>801.15247097957683</v>
      </c>
      <c r="H20" s="27">
        <v>0.41536271836639821</v>
      </c>
      <c r="I20" s="59">
        <f>(B20/('Consumidores Inadimplentes'!B56*1000000))</f>
        <v>3.0461563899759968E-2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1965371</v>
      </c>
      <c r="C21" s="30">
        <v>5902920</v>
      </c>
      <c r="D21" s="30">
        <v>4686577124.2500162</v>
      </c>
      <c r="E21" s="34">
        <f t="shared" si="0"/>
        <v>3.0034634682205037</v>
      </c>
      <c r="F21" s="43">
        <f t="shared" si="2"/>
        <v>2384.5763086206198</v>
      </c>
      <c r="G21" s="43">
        <f t="shared" si="3"/>
        <v>793.94217171332434</v>
      </c>
      <c r="H21" s="27">
        <v>0.40995756436474623</v>
      </c>
      <c r="I21" s="59">
        <f>(B21/('Consumidores Inadimplentes'!B57*1000000))</f>
        <v>3.0708590318188907E-2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1944408</v>
      </c>
      <c r="C22" s="30">
        <v>5909949</v>
      </c>
      <c r="D22" s="30">
        <v>4714940967.920022</v>
      </c>
      <c r="E22" s="34">
        <f t="shared" si="0"/>
        <v>3.0394593110088004</v>
      </c>
      <c r="F22" s="43">
        <f t="shared" si="2"/>
        <v>2424.8722325355698</v>
      </c>
      <c r="G22" s="43">
        <f t="shared" si="3"/>
        <v>797.7972344465278</v>
      </c>
      <c r="H22" s="27">
        <v>0.40520436645295094</v>
      </c>
      <c r="I22" s="59">
        <f>(B22/('Consumidores Inadimplentes'!B58*1000000))</f>
        <v>3.0619090615805422E-2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1919705</v>
      </c>
      <c r="C23" s="30">
        <v>5752791</v>
      </c>
      <c r="D23" s="30">
        <v>4660104550.6699829</v>
      </c>
      <c r="E23" s="34">
        <f t="shared" si="0"/>
        <v>2.996705743851269</v>
      </c>
      <c r="F23" s="43">
        <f t="shared" si="2"/>
        <v>2427.5107637215006</v>
      </c>
      <c r="G23" s="43">
        <f t="shared" si="3"/>
        <v>810.05976936585785</v>
      </c>
      <c r="H23" s="27">
        <v>0.39968108043735162</v>
      </c>
      <c r="I23" s="59">
        <f>(B23/('Consumidores Inadimplentes'!B59*1000000))</f>
        <v>3.0447135246387133E-2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1889566</v>
      </c>
      <c r="C24" s="30">
        <v>5613929</v>
      </c>
      <c r="D24" s="30">
        <v>4606755166.9600096</v>
      </c>
      <c r="E24" s="34">
        <f t="shared" si="0"/>
        <v>2.9710150373154471</v>
      </c>
      <c r="F24" s="43">
        <f t="shared" si="2"/>
        <v>2437.9964324929692</v>
      </c>
      <c r="G24" s="43">
        <f t="shared" si="3"/>
        <v>820.59377077266379</v>
      </c>
      <c r="H24" s="27">
        <v>0.39303711080908943</v>
      </c>
      <c r="I24" s="59">
        <f>(B24/('Consumidores Inadimplentes'!B60*1000000))</f>
        <v>3.0106228334868094E-2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1852300</v>
      </c>
      <c r="C25" s="30">
        <v>5489525</v>
      </c>
      <c r="D25" s="30">
        <v>4533810357.1399956</v>
      </c>
      <c r="E25" s="34">
        <f t="shared" si="0"/>
        <v>2.9636263024348106</v>
      </c>
      <c r="F25" s="43">
        <f t="shared" si="2"/>
        <v>2447.6652578631947</v>
      </c>
      <c r="G25" s="43">
        <f t="shared" si="3"/>
        <v>825.90212397976074</v>
      </c>
      <c r="H25" s="27">
        <v>0.38492422044688862</v>
      </c>
      <c r="I25" s="59">
        <f>(B25/('Consumidores Inadimplentes'!B61*1000000))</f>
        <v>2.9741592239896263E-2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1845413</v>
      </c>
      <c r="C26" s="30">
        <v>5457545</v>
      </c>
      <c r="D26" s="30">
        <v>4497185362.5699978</v>
      </c>
      <c r="E26" s="34">
        <f t="shared" si="0"/>
        <v>2.9573569710411709</v>
      </c>
      <c r="F26" s="43">
        <f t="shared" si="2"/>
        <v>2436.9533337903213</v>
      </c>
      <c r="G26" s="43">
        <f t="shared" si="3"/>
        <v>824.03083484790284</v>
      </c>
      <c r="H26" s="27">
        <v>0.38313332505646058</v>
      </c>
      <c r="I26" s="59">
        <f>(B26/('Consumidores Inadimplentes'!B62*1000000))</f>
        <v>2.9789375553774762E-2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1848302</v>
      </c>
      <c r="C27" s="31">
        <v>5690177</v>
      </c>
      <c r="D27" s="31">
        <v>4438808079.8700523</v>
      </c>
      <c r="E27" s="35">
        <f t="shared" si="0"/>
        <v>3.0785970041692319</v>
      </c>
      <c r="F27" s="46">
        <f t="shared" si="2"/>
        <v>2401.5599614511329</v>
      </c>
      <c r="G27" s="46">
        <f t="shared" si="3"/>
        <v>780.08260197706545</v>
      </c>
      <c r="H27" s="28">
        <v>0.38337311977187216</v>
      </c>
      <c r="I27" s="59">
        <f>(B27/('Consumidores Inadimplentes'!B63*1000000))</f>
        <v>3.0121632235101732E-2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1865405</v>
      </c>
      <c r="C28" s="29">
        <v>5695153</v>
      </c>
      <c r="D28" s="29">
        <v>4545155692.900053</v>
      </c>
      <c r="E28" s="33">
        <f t="shared" si="0"/>
        <v>3.0530383482407304</v>
      </c>
      <c r="F28" s="45">
        <f t="shared" si="2"/>
        <v>2436.5516833610145</v>
      </c>
      <c r="G28" s="45">
        <f t="shared" si="3"/>
        <v>798.07437884461638</v>
      </c>
      <c r="H28" s="26">
        <v>0.38655763618173095</v>
      </c>
      <c r="I28" s="59">
        <f>(B28/('Consumidores Inadimplentes'!B64*1000000))</f>
        <v>3.0248495083027387E-2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1867003</v>
      </c>
      <c r="C29" s="30">
        <v>5664538</v>
      </c>
      <c r="D29" s="30">
        <v>4596512555.1100473</v>
      </c>
      <c r="E29" s="34">
        <f t="shared" si="0"/>
        <v>3.034027261873709</v>
      </c>
      <c r="F29" s="43">
        <f t="shared" si="2"/>
        <v>2461.9738453071832</v>
      </c>
      <c r="G29" s="43">
        <f t="shared" si="3"/>
        <v>811.45409477525732</v>
      </c>
      <c r="H29" s="27">
        <v>0.38652585857979405</v>
      </c>
      <c r="I29" s="59">
        <f>(B29/('Consumidores Inadimplentes'!B65*1000000))</f>
        <v>3.033063704096535E-2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1881953</v>
      </c>
      <c r="C30" s="30">
        <v>5656215</v>
      </c>
      <c r="D30" s="30">
        <v>4694119689.8100462</v>
      </c>
      <c r="E30" s="34">
        <f t="shared" si="0"/>
        <v>3.0055027941717993</v>
      </c>
      <c r="F30" s="43">
        <f t="shared" si="2"/>
        <v>2494.2810419867264</v>
      </c>
      <c r="G30" s="43">
        <f t="shared" si="3"/>
        <v>829.90474899027811</v>
      </c>
      <c r="H30" s="27">
        <v>0.38925549407932158</v>
      </c>
      <c r="I30" s="59">
        <f>(B30/('Consumidores Inadimplentes'!B66*1000000))</f>
        <v>3.0083651424206336E-2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1888244</v>
      </c>
      <c r="C31" s="30">
        <v>5645454</v>
      </c>
      <c r="D31" s="30">
        <v>4729585009.6300526</v>
      </c>
      <c r="E31" s="34">
        <f t="shared" si="0"/>
        <v>2.9897905143614913</v>
      </c>
      <c r="F31" s="43">
        <f t="shared" si="2"/>
        <v>2504.7530984502282</v>
      </c>
      <c r="G31" s="43">
        <f t="shared" si="3"/>
        <v>837.7687621987626</v>
      </c>
      <c r="H31" s="27">
        <v>0.39019029651043852</v>
      </c>
      <c r="I31" s="59">
        <f>(B31/('Consumidores Inadimplentes'!B67*1000000))</f>
        <v>2.9980896634336153E-2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1876457</v>
      </c>
      <c r="C32" s="30">
        <v>5572849</v>
      </c>
      <c r="D32" s="30">
        <v>4718474642.6900501</v>
      </c>
      <c r="E32" s="34">
        <f t="shared" si="0"/>
        <v>2.969878339871364</v>
      </c>
      <c r="F32" s="43">
        <f t="shared" si="2"/>
        <v>2514.5658241516062</v>
      </c>
      <c r="G32" s="43">
        <f t="shared" si="3"/>
        <v>846.689842608341</v>
      </c>
      <c r="H32" s="27">
        <v>0.38739085608631507</v>
      </c>
      <c r="I32" s="59">
        <f>(B32/('Consumidores Inadimplentes'!B68*1000000))</f>
        <v>2.9995090219514263E-2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1861769</v>
      </c>
      <c r="C33" s="30">
        <v>5536329</v>
      </c>
      <c r="D33" s="30">
        <v>4631562833.4200573</v>
      </c>
      <c r="E33" s="34">
        <f t="shared" si="0"/>
        <v>2.9736927620988425</v>
      </c>
      <c r="F33" s="43">
        <f t="shared" si="2"/>
        <v>2487.7215344224001</v>
      </c>
      <c r="G33" s="43">
        <f t="shared" si="3"/>
        <v>836.57651729513498</v>
      </c>
      <c r="H33" s="27">
        <v>0.38399800180761334</v>
      </c>
      <c r="I33" s="59">
        <f>(B33/('Consumidores Inadimplentes'!B69*1000000))</f>
        <v>2.9783809265776083E-2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1851886</v>
      </c>
      <c r="C34" s="30">
        <v>5447144</v>
      </c>
      <c r="D34" s="30">
        <v>4618314944.3900547</v>
      </c>
      <c r="E34" s="34">
        <f>C34/B34</f>
        <v>2.9414035205190818</v>
      </c>
      <c r="F34" s="43">
        <f t="shared" si="2"/>
        <v>2493.8440834857302</v>
      </c>
      <c r="G34" s="43">
        <f t="shared" si="3"/>
        <v>847.8415375819061</v>
      </c>
      <c r="H34" s="27">
        <v>0.38195958981779898</v>
      </c>
      <c r="I34" s="59">
        <f>(B34/('Consumidores Inadimplentes'!B70*1000000))</f>
        <v>2.976172664125536E-2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1843003</v>
      </c>
      <c r="C35" s="30">
        <v>5389693</v>
      </c>
      <c r="D35" s="30">
        <v>4636247608.5800543</v>
      </c>
      <c r="E35" s="34">
        <f>C35/B35</f>
        <v>2.9244081534321973</v>
      </c>
      <c r="F35" s="43">
        <f t="shared" si="2"/>
        <v>2515.594173520094</v>
      </c>
      <c r="G35" s="43">
        <f t="shared" si="3"/>
        <v>860.20625081615117</v>
      </c>
      <c r="H35" s="27">
        <v>0.37979646816649276</v>
      </c>
      <c r="I35" s="59">
        <f>(B35/('Consumidores Inadimplentes'!B71*1000000))</f>
        <v>2.9607066036903069E-2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1823409</v>
      </c>
      <c r="C36" s="30">
        <v>5156249</v>
      </c>
      <c r="D36" s="30">
        <v>4620377859.6900053</v>
      </c>
      <c r="E36" s="34">
        <f>C36/B36</f>
        <v>2.8278071458460499</v>
      </c>
      <c r="F36" s="43">
        <f t="shared" si="2"/>
        <v>2533.9229211274078</v>
      </c>
      <c r="G36" s="43">
        <f t="shared" si="3"/>
        <v>896.07345566321669</v>
      </c>
      <c r="H36" s="27">
        <v>0.37543145372831199</v>
      </c>
      <c r="I36" s="59">
        <f>(B36/('Consumidores Inadimplentes'!B72*1000000))</f>
        <v>2.9310417717203285E-2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1840567</v>
      </c>
      <c r="C37" s="30">
        <v>5225228</v>
      </c>
      <c r="D37" s="30">
        <v>4758169643.180006</v>
      </c>
      <c r="E37" s="34">
        <f>C37/B37</f>
        <v>2.8389230057911501</v>
      </c>
      <c r="F37" s="43">
        <f t="shared" si="2"/>
        <v>2585.1651383405256</v>
      </c>
      <c r="G37" s="43">
        <f t="shared" si="3"/>
        <v>910.61474124765584</v>
      </c>
      <c r="H37" s="27">
        <v>0.37863428365947566</v>
      </c>
      <c r="I37" s="59">
        <f>(B37/('Consumidores Inadimplentes'!B73*1000000))</f>
        <v>2.9028716217415072E-2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1862669</v>
      </c>
      <c r="C38" s="30">
        <v>5302937</v>
      </c>
      <c r="D38" s="30">
        <v>4901608493.6800079</v>
      </c>
      <c r="E38" s="34">
        <f t="shared" ref="E38:E45" si="4">C38/B38</f>
        <v>2.8469561688093807</v>
      </c>
      <c r="F38" s="43">
        <f t="shared" si="2"/>
        <v>2631.4973265137328</v>
      </c>
      <c r="G38" s="43">
        <f t="shared" si="3"/>
        <v>924.31957869384598</v>
      </c>
      <c r="H38" s="27">
        <v>0.38284740275222268</v>
      </c>
      <c r="I38" s="59">
        <f>(B38/('Consumidores Inadimplentes'!B74*1000000))</f>
        <v>2.8982084395329861E-2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1859242</v>
      </c>
      <c r="C39" s="31">
        <v>5213559</v>
      </c>
      <c r="D39" s="31">
        <v>4796331266.3200102</v>
      </c>
      <c r="E39" s="35">
        <f t="shared" si="4"/>
        <v>2.8041314686307648</v>
      </c>
      <c r="F39" s="46">
        <f t="shared" si="2"/>
        <v>2579.7240307179004</v>
      </c>
      <c r="G39" s="46">
        <f t="shared" si="3"/>
        <v>919.97256889583684</v>
      </c>
      <c r="H39" s="28">
        <v>0.38181028860197175</v>
      </c>
      <c r="I39" s="59">
        <f>(B39/('Consumidores Inadimplentes'!B75*1000000))</f>
        <v>2.9063892128124474E-2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1894270</v>
      </c>
      <c r="C40" s="29">
        <v>5307301</v>
      </c>
      <c r="D40" s="29">
        <v>5017399393.5500164</v>
      </c>
      <c r="E40" s="33">
        <f t="shared" si="4"/>
        <v>2.801765851752918</v>
      </c>
      <c r="F40" s="45">
        <f t="shared" si="2"/>
        <v>2648.7245184424692</v>
      </c>
      <c r="G40" s="45">
        <f t="shared" si="3"/>
        <v>945.37682968235947</v>
      </c>
      <c r="H40" s="26">
        <v>0.38866491293115601</v>
      </c>
      <c r="I40" s="59">
        <f>(B40/('Consumidores Inadimplentes'!B76*1000000))</f>
        <v>2.9224695414545979E-2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1884730</v>
      </c>
      <c r="C41" s="30">
        <v>5299686</v>
      </c>
      <c r="D41" s="30">
        <v>5019157144.3700113</v>
      </c>
      <c r="E41" s="34">
        <f t="shared" si="4"/>
        <v>2.8119072758432244</v>
      </c>
      <c r="F41" s="43">
        <f t="shared" si="2"/>
        <v>2663.0642820828507</v>
      </c>
      <c r="G41" s="43">
        <f t="shared" si="3"/>
        <v>947.06689120261296</v>
      </c>
      <c r="H41" s="27">
        <v>0.38637082070358675</v>
      </c>
      <c r="I41" s="59">
        <f>(B41/('Consumidores Inadimplentes'!B77*1000000))</f>
        <v>2.8920587665825788E-2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1903535</v>
      </c>
      <c r="C42" s="30">
        <v>5311456</v>
      </c>
      <c r="D42" s="30">
        <v>5070776979.5700302</v>
      </c>
      <c r="E42" s="34">
        <f t="shared" si="4"/>
        <v>2.790311709529901</v>
      </c>
      <c r="F42" s="43">
        <f t="shared" si="2"/>
        <v>2663.87378197408</v>
      </c>
      <c r="G42" s="43">
        <f t="shared" si="3"/>
        <v>954.68680895973353</v>
      </c>
      <c r="H42" s="27">
        <v>0.3898860881738776</v>
      </c>
      <c r="I42" s="59">
        <f>(B42/('Consumidores Inadimplentes'!B78*1000000))</f>
        <v>2.897578959363431E-2</v>
      </c>
    </row>
    <row r="43" spans="1:16" x14ac:dyDescent="0.35">
      <c r="A43" s="5">
        <v>44652</v>
      </c>
      <c r="B43" s="30">
        <v>1912299</v>
      </c>
      <c r="C43" s="30">
        <v>5337552</v>
      </c>
      <c r="D43" s="30">
        <v>5114973282.9200211</v>
      </c>
      <c r="E43" s="34">
        <f t="shared" si="4"/>
        <v>2.7911702092612085</v>
      </c>
      <c r="F43" s="43">
        <f t="shared" si="2"/>
        <v>2674.7769480191232</v>
      </c>
      <c r="G43" s="43">
        <f t="shared" si="3"/>
        <v>958.29947566225519</v>
      </c>
      <c r="H43" s="27">
        <v>0.39134016939187427</v>
      </c>
      <c r="I43" s="59">
        <f>(B43/('Consumidores Inadimplentes'!B79*1000000))</f>
        <v>2.8916101527429631E-2</v>
      </c>
    </row>
    <row r="44" spans="1:16" x14ac:dyDescent="0.35">
      <c r="A44" s="5">
        <v>44682</v>
      </c>
      <c r="B44" s="30">
        <v>1917959</v>
      </c>
      <c r="C44" s="30">
        <v>5394269</v>
      </c>
      <c r="D44" s="30">
        <v>5269936098.0300255</v>
      </c>
      <c r="E44" s="34">
        <f t="shared" si="4"/>
        <v>2.8125048554218313</v>
      </c>
      <c r="F44" s="43">
        <f t="shared" si="2"/>
        <v>2747.679224649758</v>
      </c>
      <c r="G44" s="43">
        <f t="shared" si="3"/>
        <v>976.95092662787579</v>
      </c>
      <c r="H44" s="27">
        <v>0.39215673846205434</v>
      </c>
      <c r="I44" s="59">
        <f>(B44/('Consumidores Inadimplentes'!B80*1000000))</f>
        <v>2.8806912629289555E-2</v>
      </c>
    </row>
    <row r="45" spans="1:16" x14ac:dyDescent="0.35">
      <c r="A45" s="5">
        <v>44713</v>
      </c>
      <c r="B45" s="30">
        <v>1934994</v>
      </c>
      <c r="C45" s="30">
        <v>5396218</v>
      </c>
      <c r="D45" s="30">
        <v>5328337684.12008</v>
      </c>
      <c r="E45" s="34">
        <f t="shared" si="4"/>
        <v>2.7887517997471827</v>
      </c>
      <c r="F45" s="43">
        <f t="shared" si="2"/>
        <v>2753.671424366215</v>
      </c>
      <c r="G45" s="43">
        <f t="shared" si="3"/>
        <v>987.42076100707561</v>
      </c>
      <c r="H45" s="27">
        <v>0.3952953376047153</v>
      </c>
      <c r="I45" s="59">
        <f>(B45/('Consumidores Inadimplentes'!B81*1000000))</f>
        <v>2.8958901803202326E-2</v>
      </c>
    </row>
    <row r="46" spans="1:16" x14ac:dyDescent="0.35">
      <c r="A46" s="5">
        <v>44743</v>
      </c>
      <c r="B46" s="30">
        <v>1957399</v>
      </c>
      <c r="C46" s="30">
        <v>5430008</v>
      </c>
      <c r="D46" s="30">
        <v>5442284830.3200598</v>
      </c>
      <c r="E46" s="34">
        <f t="shared" ref="E46" si="5">C46/B46</f>
        <v>2.7740935803073365</v>
      </c>
      <c r="F46" s="43">
        <f t="shared" ref="F46" si="6">D46/B46</f>
        <v>2780.3655924622726</v>
      </c>
      <c r="G46" s="43">
        <f t="shared" ref="G46" si="7">F46/E46</f>
        <v>1002.2609230631077</v>
      </c>
      <c r="H46" s="27">
        <v>0.39952430171999237</v>
      </c>
      <c r="I46" s="59">
        <f>(B46/('Consumidores Inadimplentes'!B82*1000000))</f>
        <v>2.8941782526390611E-2</v>
      </c>
    </row>
    <row r="47" spans="1:16" x14ac:dyDescent="0.35">
      <c r="A47" s="5">
        <v>44774</v>
      </c>
      <c r="B47" s="30">
        <v>1962949</v>
      </c>
      <c r="C47" s="30">
        <v>5431427</v>
      </c>
      <c r="D47" s="30">
        <v>5465198826.7100496</v>
      </c>
      <c r="E47" s="34">
        <f t="shared" ref="E47" si="8">C47/B47</f>
        <v>2.7669730594121398</v>
      </c>
      <c r="F47" s="43">
        <f t="shared" ref="F47" si="9">D47/B47</f>
        <v>2784.1776972860985</v>
      </c>
      <c r="G47" s="43">
        <f t="shared" ref="G47" si="10">F47/E47</f>
        <v>1006.2178552174316</v>
      </c>
      <c r="H47" s="27">
        <v>0.40030765145859137</v>
      </c>
      <c r="I47" s="59">
        <f>(B47/('Consumidores Inadimplentes'!B83*1000000))</f>
        <v>2.8876986593006814E-2</v>
      </c>
    </row>
    <row r="48" spans="1:16" x14ac:dyDescent="0.35">
      <c r="A48" s="5">
        <v>44805</v>
      </c>
      <c r="B48" s="30">
        <v>1985485</v>
      </c>
      <c r="C48" s="30">
        <v>5512259</v>
      </c>
      <c r="D48" s="30">
        <v>5618989695.9300499</v>
      </c>
      <c r="E48" s="34">
        <f t="shared" ref="E48" si="11">C48/B48</f>
        <v>2.7762783400529343</v>
      </c>
      <c r="F48" s="43">
        <f t="shared" ref="F48" si="12">D48/B48</f>
        <v>2830.0338184020779</v>
      </c>
      <c r="G48" s="43">
        <f t="shared" ref="G48" si="13">F48/E48</f>
        <v>1019.3624239953256</v>
      </c>
      <c r="H48" s="27">
        <v>0.40455027239856217</v>
      </c>
      <c r="I48" s="59">
        <f>(B48/('Consumidores Inadimplentes'!B84*1000000))</f>
        <v>2.9032631125359344E-2</v>
      </c>
    </row>
    <row r="49" spans="1:16" x14ac:dyDescent="0.35">
      <c r="A49" s="5">
        <v>44835</v>
      </c>
      <c r="B49" s="30">
        <v>1974272</v>
      </c>
      <c r="C49" s="30">
        <v>5445272</v>
      </c>
      <c r="D49" s="30">
        <v>5643224116.2800522</v>
      </c>
      <c r="E49" s="34">
        <f t="shared" ref="E49" si="14">C49/B49</f>
        <v>2.7581164094917012</v>
      </c>
      <c r="F49" s="43">
        <f t="shared" ref="F49" si="15">D49/B49</f>
        <v>2858.3822878914621</v>
      </c>
      <c r="G49" s="43">
        <f t="shared" ref="G49" si="16">F49/E49</f>
        <v>1036.3530263098064</v>
      </c>
      <c r="H49" s="27">
        <v>0.40191475613812727</v>
      </c>
      <c r="I49" s="59">
        <f>(B49/('Consumidores Inadimplentes'!B85*1000000))</f>
        <v>2.8589169701856331E-2</v>
      </c>
    </row>
    <row r="50" spans="1:16" x14ac:dyDescent="0.35">
      <c r="A50" s="5">
        <v>44866</v>
      </c>
      <c r="B50" s="30">
        <v>1967518</v>
      </c>
      <c r="C50" s="30">
        <v>5451168</v>
      </c>
      <c r="D50" s="30">
        <v>5810541655.130044</v>
      </c>
      <c r="E50" s="34">
        <f t="shared" ref="E50" si="17">C50/B50</f>
        <v>2.7705810061204015</v>
      </c>
      <c r="F50" s="43">
        <f t="shared" ref="F50" si="18">D50/B50</f>
        <v>2953.2343059275922</v>
      </c>
      <c r="G50" s="43">
        <f t="shared" ref="G50" si="19">F50/E50</f>
        <v>1065.9259914810998</v>
      </c>
      <c r="H50" s="27">
        <v>0.40019046247559725</v>
      </c>
      <c r="I50" s="59">
        <f>(B50/('Consumidores Inadimplentes'!B86*1000000))</f>
        <v>2.8173910149690375E-2</v>
      </c>
    </row>
    <row r="51" spans="1:16" ht="15" thickBot="1" x14ac:dyDescent="0.4">
      <c r="A51" s="12">
        <v>44896</v>
      </c>
      <c r="B51" s="31">
        <v>1896345</v>
      </c>
      <c r="C51" s="31">
        <v>5300263</v>
      </c>
      <c r="D51" s="31">
        <v>5826509932.0400095</v>
      </c>
      <c r="E51" s="35">
        <f t="shared" ref="E51" si="20">C51/B51</f>
        <v>2.7949887810498617</v>
      </c>
      <c r="F51" s="46">
        <f t="shared" ref="F51" si="21">D51/B51</f>
        <v>3072.4946842689542</v>
      </c>
      <c r="G51" s="46">
        <f t="shared" ref="G51" si="22">F51/E51</f>
        <v>1099.2869470892313</v>
      </c>
      <c r="H51" s="28">
        <v>0.38537754234825372</v>
      </c>
      <c r="I51" s="59">
        <f>(B51/('Consumidores Inadimplentes'!B87*1000000))</f>
        <v>2.731331819544355E-2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1950231</v>
      </c>
      <c r="C52" s="29">
        <v>5438504</v>
      </c>
      <c r="D52" s="29">
        <v>6102070893.7000256</v>
      </c>
      <c r="E52" s="33">
        <f t="shared" ref="E52" si="23">C52/B52</f>
        <v>2.7886460629535681</v>
      </c>
      <c r="F52" s="45">
        <f t="shared" ref="F52" si="24">D52/B52</f>
        <v>3128.8964710847204</v>
      </c>
      <c r="G52" s="45">
        <f t="shared" ref="G52" si="25">F52/E52</f>
        <v>1122.0127619102652</v>
      </c>
      <c r="H52" s="26">
        <v>0.39598261294015363</v>
      </c>
      <c r="I52" s="59">
        <f>(B52/('Consumidores Inadimplentes'!B88*1000000))</f>
        <v>2.7823486509925239E-2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1953982</v>
      </c>
      <c r="C53" s="30">
        <v>5450439</v>
      </c>
      <c r="D53" s="30">
        <v>6178946318.8600407</v>
      </c>
      <c r="E53" s="34">
        <f t="shared" ref="E53" si="26">C53/B53</f>
        <v>2.7894008235490397</v>
      </c>
      <c r="F53" s="43">
        <f t="shared" ref="F53" si="27">D53/B53</f>
        <v>3162.2329780213126</v>
      </c>
      <c r="G53" s="43">
        <f t="shared" ref="G53" si="28">F53/E53</f>
        <v>1133.6603012821611</v>
      </c>
      <c r="H53" s="27">
        <v>0.39639822037063371</v>
      </c>
      <c r="I53" s="59">
        <f>(B53/('Consumidores Inadimplentes'!B89*1000000))</f>
        <v>2.7705468139949462E-2</v>
      </c>
    </row>
    <row r="54" spans="1:16" x14ac:dyDescent="0.35">
      <c r="A54" s="5">
        <v>44986</v>
      </c>
      <c r="B54" s="30">
        <v>1938760</v>
      </c>
      <c r="C54" s="30">
        <v>5430498</v>
      </c>
      <c r="D54" s="30">
        <v>6307981579.1300306</v>
      </c>
      <c r="E54" s="34">
        <f t="shared" ref="E54" si="29">C54/B54</f>
        <v>2.8010161133920652</v>
      </c>
      <c r="F54" s="43">
        <f t="shared" ref="F54" si="30">D54/B54</f>
        <v>3253.6165276413949</v>
      </c>
      <c r="G54" s="43">
        <f t="shared" ref="G54" si="31">F54/E54</f>
        <v>1161.5843665037773</v>
      </c>
      <c r="H54" s="27">
        <v>0.39296714558245388</v>
      </c>
      <c r="I54" s="59">
        <f>(B54/('Consumidores Inadimplentes'!B90*1000000))</f>
        <v>2.7419479181223429E-2</v>
      </c>
    </row>
    <row r="55" spans="1:16" x14ac:dyDescent="0.35">
      <c r="A55" s="5">
        <v>45017</v>
      </c>
      <c r="B55" s="30">
        <v>1982580</v>
      </c>
      <c r="C55" s="30">
        <v>5602633</v>
      </c>
      <c r="D55" s="30">
        <v>6538147150.8700294</v>
      </c>
      <c r="E55" s="34">
        <f t="shared" ref="E55" si="32">C55/B55</f>
        <v>2.8259303533779216</v>
      </c>
      <c r="F55" s="43">
        <f t="shared" ref="F55" si="33">D55/B55</f>
        <v>3297.7973907080823</v>
      </c>
      <c r="G55" s="43">
        <f t="shared" ref="G55" si="34">F55/E55</f>
        <v>1166.9775890853514</v>
      </c>
      <c r="H55" s="27">
        <v>0.40149851628742367</v>
      </c>
      <c r="I55" s="59">
        <f>(B55/('Consumidores Inadimplentes'!B91*1000000))</f>
        <v>2.7751844439838219E-2</v>
      </c>
    </row>
    <row r="56" spans="1:16" x14ac:dyDescent="0.35">
      <c r="A56" s="5">
        <v>45047</v>
      </c>
      <c r="B56" s="30">
        <v>1982700</v>
      </c>
      <c r="C56" s="30">
        <v>5618615</v>
      </c>
      <c r="D56" s="30">
        <v>6662430859.8300266</v>
      </c>
      <c r="E56" s="34">
        <f t="shared" ref="E56" si="35">C56/B56</f>
        <v>2.8338200433751952</v>
      </c>
      <c r="F56" s="43">
        <f t="shared" ref="F56" si="36">D56/B56</f>
        <v>3360.2818680738519</v>
      </c>
      <c r="G56" s="43">
        <f t="shared" ref="G56" si="37">F56/E56</f>
        <v>1185.7781428038809</v>
      </c>
      <c r="H56" s="27">
        <v>0.40117258049047178</v>
      </c>
      <c r="I56" s="59">
        <f>(B56/('Consumidores Inadimplentes'!B92*1000000))</f>
        <v>2.7574429054110717E-2</v>
      </c>
    </row>
    <row r="57" spans="1:16" x14ac:dyDescent="0.35">
      <c r="A57" s="5">
        <v>45078</v>
      </c>
      <c r="B57" s="30">
        <v>1965724</v>
      </c>
      <c r="C57" s="30">
        <v>5557358</v>
      </c>
      <c r="D57" s="30">
        <v>6675477357.0300493</v>
      </c>
      <c r="E57" s="34">
        <f t="shared" ref="E57" si="38">C57/B57</f>
        <v>2.8271303601115925</v>
      </c>
      <c r="F57" s="43">
        <f t="shared" ref="F57" si="39">D57/B57</f>
        <v>3395.9382685616338</v>
      </c>
      <c r="G57" s="43">
        <f t="shared" ref="G57" si="40">F57/E57</f>
        <v>1201.1962081676309</v>
      </c>
      <c r="H57" s="27">
        <v>0.39739084166502242</v>
      </c>
      <c r="I57" s="59">
        <f>(B57/('Consumidores Inadimplentes'!B93*1000000))</f>
        <v>2.751052173290687E-2</v>
      </c>
    </row>
    <row r="58" spans="1:16" x14ac:dyDescent="0.35">
      <c r="A58" s="5">
        <v>45108</v>
      </c>
      <c r="B58" s="30">
        <v>1933650</v>
      </c>
      <c r="C58" s="30">
        <v>5451889</v>
      </c>
      <c r="D58" s="30">
        <v>6766879266.5</v>
      </c>
      <c r="E58" s="34">
        <f t="shared" ref="E58" si="41">C58/B58</f>
        <v>2.8194807747006956</v>
      </c>
      <c r="F58" s="43">
        <f t="shared" ref="F58" si="42">D58/B58</f>
        <v>3499.5367654435913</v>
      </c>
      <c r="G58" s="43">
        <f t="shared" ref="G58" si="43">F58/E58</f>
        <v>1241.1990167994984</v>
      </c>
      <c r="H58" s="27">
        <v>0.39056590396924351</v>
      </c>
      <c r="I58" s="59">
        <f>(B58/('Consumidores Inadimplentes'!B94*1000000))</f>
        <v>2.7074713228779232E-2</v>
      </c>
    </row>
    <row r="59" spans="1:16" x14ac:dyDescent="0.35">
      <c r="A59" s="5">
        <v>45139</v>
      </c>
      <c r="B59" s="30">
        <v>1917848</v>
      </c>
      <c r="C59" s="30">
        <v>5369829</v>
      </c>
      <c r="D59" s="30">
        <v>6726032258.4300232</v>
      </c>
      <c r="E59" s="34">
        <f t="shared" ref="E59" si="44">C59/B59</f>
        <v>2.7999241858583162</v>
      </c>
      <c r="F59" s="43">
        <f t="shared" ref="F59" si="45">D59/B59</f>
        <v>3507.0726451887863</v>
      </c>
      <c r="G59" s="43">
        <f t="shared" ref="G59" si="46">F59/E59</f>
        <v>1252.5598596212326</v>
      </c>
      <c r="H59" s="27">
        <v>0.3869927052752416</v>
      </c>
      <c r="I59" s="59">
        <f>(B59/('Consumidores Inadimplentes'!B95*1000000))</f>
        <v>2.6733662054265885E-2</v>
      </c>
    </row>
    <row r="60" spans="1:16" x14ac:dyDescent="0.35">
      <c r="A60" s="5">
        <v>45170</v>
      </c>
      <c r="B60" s="30">
        <v>1991006</v>
      </c>
      <c r="C60" s="30">
        <v>5698958</v>
      </c>
      <c r="D60" s="30">
        <v>7206051610.5300093</v>
      </c>
      <c r="E60" s="34">
        <f t="shared" ref="E60" si="47">C60/B60</f>
        <v>2.8623509924128809</v>
      </c>
      <c r="F60" s="43">
        <f t="shared" ref="F60" si="48">D60/B60</f>
        <v>3619.3018054842673</v>
      </c>
      <c r="G60" s="43">
        <f t="shared" ref="G60" si="49">F60/E60</f>
        <v>1264.4507312617516</v>
      </c>
      <c r="H60" s="27">
        <v>0.4013592551633271</v>
      </c>
      <c r="I60" s="59">
        <f>(B60/('Consumidores Inadimplentes'!B96*1000000))</f>
        <v>2.7721337048825984E-2</v>
      </c>
    </row>
    <row r="61" spans="1:16" x14ac:dyDescent="0.35">
      <c r="A61" s="5">
        <v>45200</v>
      </c>
      <c r="B61" s="30">
        <v>1978425</v>
      </c>
      <c r="C61" s="30">
        <v>5688687</v>
      </c>
      <c r="D61" s="30">
        <v>7439772894.4799795</v>
      </c>
      <c r="E61" s="34">
        <f t="shared" ref="E61" si="50">C61/B61</f>
        <v>2.8753614617688315</v>
      </c>
      <c r="F61" s="43">
        <f t="shared" ref="F61" si="51">D61/B61</f>
        <v>3760.4523267144214</v>
      </c>
      <c r="G61" s="43">
        <f t="shared" ref="G61" si="52">F61/E61</f>
        <v>1307.8189913559982</v>
      </c>
      <c r="H61" s="27">
        <v>0.39843034444536635</v>
      </c>
      <c r="I61" s="59">
        <f>(B61/('Consumidores Inadimplentes'!B97*1000000))</f>
        <v>2.7496259546956205E-2</v>
      </c>
    </row>
    <row r="62" spans="1:16" x14ac:dyDescent="0.35">
      <c r="A62" s="5">
        <v>45231</v>
      </c>
      <c r="B62" s="30">
        <v>1964304</v>
      </c>
      <c r="C62" s="30">
        <v>5625027</v>
      </c>
      <c r="D62" s="30">
        <v>7502571055.0099869</v>
      </c>
      <c r="E62" s="34">
        <f t="shared" ref="E62" si="53">C62/B62</f>
        <v>2.8636234513598708</v>
      </c>
      <c r="F62" s="43">
        <f t="shared" ref="F62" si="54">D62/B62</f>
        <v>3819.4551632588373</v>
      </c>
      <c r="G62" s="43">
        <f t="shared" ref="G62" si="55">F62/E62</f>
        <v>1333.7840076163168</v>
      </c>
      <c r="H62" s="27">
        <v>0.39519704686223078</v>
      </c>
      <c r="I62" s="59">
        <f>(B62/('Consumidores Inadimplentes'!B98*1000000))</f>
        <v>2.7354596058539803E-2</v>
      </c>
    </row>
    <row r="63" spans="1:16" ht="15" thickBot="1" x14ac:dyDescent="0.4">
      <c r="A63" s="12">
        <v>45261</v>
      </c>
      <c r="B63" s="31">
        <v>1925570</v>
      </c>
      <c r="C63" s="31">
        <v>5485752</v>
      </c>
      <c r="D63" s="31">
        <v>7182938867.3399963</v>
      </c>
      <c r="E63" s="35">
        <f t="shared" ref="E63:E64" si="56">C63/B63</f>
        <v>2.8488977289841451</v>
      </c>
      <c r="F63" s="46">
        <f t="shared" ref="F63:F64" si="57">D63/B63</f>
        <v>3730.2922601307646</v>
      </c>
      <c r="G63" s="46">
        <f t="shared" ref="G63:G64" si="58">F63/E63</f>
        <v>1309.3808956985288</v>
      </c>
      <c r="H63" s="28">
        <v>0.38702271864380755</v>
      </c>
      <c r="I63" s="59">
        <f>(B63/('Consumidores Inadimplentes'!B99*1000000))</f>
        <v>2.7081630772187715E-2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1984840</v>
      </c>
      <c r="C64" s="29">
        <v>5634456</v>
      </c>
      <c r="D64" s="29">
        <v>7593474009.2200079</v>
      </c>
      <c r="E64" s="33">
        <f t="shared" si="56"/>
        <v>2.8387456923479979</v>
      </c>
      <c r="F64" s="45">
        <f t="shared" si="57"/>
        <v>3825.7360841276918</v>
      </c>
      <c r="G64" s="45">
        <f t="shared" si="58"/>
        <v>1347.6853859928992</v>
      </c>
      <c r="H64" s="26">
        <v>0.3985426419784569</v>
      </c>
      <c r="I64" s="59">
        <f>(B64/('Consumidores Inadimplentes'!B100*1000000))</f>
        <v>2.7540517100806808E-2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1979705</v>
      </c>
      <c r="C65" s="30">
        <v>5601908</v>
      </c>
      <c r="D65" s="30">
        <v>7553107301.1799984</v>
      </c>
      <c r="E65" s="34">
        <f t="shared" ref="E65" si="59">C65/B65</f>
        <v>2.829668056604393</v>
      </c>
      <c r="F65" s="43">
        <f t="shared" ref="F65" si="60">D65/B65</f>
        <v>3815.269093718508</v>
      </c>
      <c r="G65" s="43">
        <f t="shared" ref="G65" si="61">F65/E65</f>
        <v>1348.3097725239327</v>
      </c>
      <c r="H65" s="27">
        <v>0.39712012908728594</v>
      </c>
      <c r="I65" s="59">
        <f>(B65/('Consumidores Inadimplentes'!B101*1000000))</f>
        <v>2.7480916899441349E-2</v>
      </c>
    </row>
    <row r="66" spans="1:16" x14ac:dyDescent="0.35">
      <c r="A66" s="5">
        <v>45352</v>
      </c>
      <c r="B66" s="30">
        <v>2056302</v>
      </c>
      <c r="C66" s="30">
        <v>5720270</v>
      </c>
      <c r="D66" s="30">
        <v>7838729151.789959</v>
      </c>
      <c r="E66" s="34">
        <f t="shared" ref="E66" si="62">C66/B66</f>
        <v>2.7818238760648972</v>
      </c>
      <c r="F66" s="43">
        <f t="shared" ref="F66" si="63">D66/B66</f>
        <v>3812.0515137319126</v>
      </c>
      <c r="G66" s="43">
        <f t="shared" ref="G66" si="64">F66/E66</f>
        <v>1370.3425103692587</v>
      </c>
      <c r="H66" s="27">
        <v>0.41207895363349756</v>
      </c>
      <c r="I66" s="59">
        <f>(B66/('Consumidores Inadimplentes'!B102*1000000))</f>
        <v>2.8209164544076459E-2</v>
      </c>
    </row>
    <row r="67" spans="1:16" x14ac:dyDescent="0.35">
      <c r="A67" s="5">
        <v>45383</v>
      </c>
      <c r="B67" s="30">
        <v>2063867</v>
      </c>
      <c r="C67" s="30">
        <v>5798649</v>
      </c>
      <c r="D67" s="30">
        <v>8110244145.5400181</v>
      </c>
      <c r="E67" s="34">
        <f t="shared" ref="E67:E68" si="65">C67/B67</f>
        <v>2.8096040103359372</v>
      </c>
      <c r="F67" s="43">
        <f t="shared" ref="F67:F68" si="66">D67/B67</f>
        <v>3929.635071223106</v>
      </c>
      <c r="G67" s="43">
        <f t="shared" ref="G67:G68" si="67">F67/E67</f>
        <v>1398.6437436616734</v>
      </c>
      <c r="H67" s="27">
        <v>0.41318766194987094</v>
      </c>
      <c r="I67" s="59">
        <f>(B67/('Consumidores Inadimplentes'!B103*1000000))</f>
        <v>2.811050220469186E-2</v>
      </c>
    </row>
    <row r="68" spans="1:16" x14ac:dyDescent="0.35">
      <c r="A68" s="5">
        <v>45413</v>
      </c>
      <c r="B68" s="30">
        <v>2038555</v>
      </c>
      <c r="C68" s="30">
        <v>5738375</v>
      </c>
      <c r="D68" s="30">
        <v>8020439877.5200653</v>
      </c>
      <c r="E68" s="34">
        <f t="shared" si="65"/>
        <v>2.8149228252365033</v>
      </c>
      <c r="F68" s="43">
        <f t="shared" si="66"/>
        <v>3934.3750242304304</v>
      </c>
      <c r="G68" s="43">
        <f t="shared" si="67"/>
        <v>1397.6848633141028</v>
      </c>
      <c r="H68" s="27">
        <v>0.40771833893010073</v>
      </c>
      <c r="I68" s="59">
        <f>(B68/('Consumidores Inadimplentes'!B104*1000000))</f>
        <v>2.8104295570189064E-2</v>
      </c>
    </row>
    <row r="69" spans="1:16" x14ac:dyDescent="0.35">
      <c r="A69" s="5">
        <v>45444</v>
      </c>
      <c r="B69" s="30">
        <v>2068021</v>
      </c>
      <c r="C69" s="30">
        <v>5771366</v>
      </c>
      <c r="D69" s="30">
        <v>8162033536.2600002</v>
      </c>
      <c r="E69" s="34">
        <f t="shared" ref="E69" si="68">C69/B69</f>
        <v>2.7907675985882157</v>
      </c>
      <c r="F69" s="43">
        <f t="shared" ref="F69" si="69">D69/B69</f>
        <v>3946.7846488309356</v>
      </c>
      <c r="G69" s="43">
        <f t="shared" ref="G69" si="70">F69/E69</f>
        <v>1414.2290640136148</v>
      </c>
      <c r="H69" s="27">
        <v>0.41320438343858484</v>
      </c>
      <c r="I69" s="59">
        <f>(B69/('Consumidores Inadimplentes'!B105*1000000))</f>
        <v>2.8523982218650049E-2</v>
      </c>
    </row>
    <row r="70" spans="1:16" x14ac:dyDescent="0.35">
      <c r="A70" s="5">
        <v>45474</v>
      </c>
      <c r="B70" s="30">
        <v>2066014</v>
      </c>
      <c r="C70" s="30">
        <v>5726454</v>
      </c>
      <c r="D70" s="30">
        <v>8110339747.8500004</v>
      </c>
      <c r="E70" s="34">
        <f t="shared" ref="E70" si="71">C70/B70</f>
        <v>2.7717401721382333</v>
      </c>
      <c r="F70" s="43">
        <f t="shared" ref="F70" si="72">D70/B70</f>
        <v>3925.5976715791858</v>
      </c>
      <c r="G70" s="43">
        <f t="shared" ref="G70" si="73">F70/E70</f>
        <v>1416.2935296171067</v>
      </c>
      <c r="H70" s="27">
        <v>0.4123968939897652</v>
      </c>
      <c r="I70" s="59">
        <f>(B70/('Consumidores Inadimplentes'!B106*1000000))</f>
        <v>2.8432371585293249E-2</v>
      </c>
    </row>
    <row r="71" spans="1:16" x14ac:dyDescent="0.35">
      <c r="A71" s="5">
        <v>45505</v>
      </c>
      <c r="B71" s="30">
        <v>2059530</v>
      </c>
      <c r="C71" s="30">
        <v>5704228</v>
      </c>
      <c r="D71" s="30">
        <v>8117794165.2299805</v>
      </c>
      <c r="E71" s="34">
        <f t="shared" ref="E71" si="74">C71/B71</f>
        <v>2.7696746345039887</v>
      </c>
      <c r="F71" s="43">
        <f t="shared" ref="F71" si="75">D71/B71</f>
        <v>3941.5760708656735</v>
      </c>
      <c r="G71" s="43">
        <f t="shared" ref="G71" si="76">F71/E71</f>
        <v>1423.1188103333143</v>
      </c>
      <c r="H71" s="27">
        <v>0.41072483751228217</v>
      </c>
      <c r="I71" s="59">
        <f>(B71/('Consumidores Inadimplentes'!B107*1000000))</f>
        <v>2.8421995695983054E-2</v>
      </c>
    </row>
    <row r="72" spans="1:16" x14ac:dyDescent="0.35">
      <c r="A72" s="5">
        <v>45536</v>
      </c>
      <c r="B72" s="30">
        <v>2064794</v>
      </c>
      <c r="C72" s="30">
        <v>5723047</v>
      </c>
      <c r="D72" s="30">
        <v>8299491451.2699795</v>
      </c>
      <c r="E72" s="34">
        <f t="shared" ref="E72" si="77">C72/B72</f>
        <v>2.771727833381926</v>
      </c>
      <c r="F72" s="43">
        <f t="shared" ref="F72" si="78">D72/B72</f>
        <v>4019.525168743216</v>
      </c>
      <c r="G72" s="43">
        <f t="shared" ref="G72" si="79">F72/E72</f>
        <v>1450.1875401809525</v>
      </c>
      <c r="H72" s="27">
        <v>0.41139615285300313</v>
      </c>
      <c r="I72" s="59">
        <f>(B72/('Consumidores Inadimplentes'!B108*1000000))</f>
        <v>2.8424273882826291E-2</v>
      </c>
    </row>
    <row r="73" spans="1:16" x14ac:dyDescent="0.35">
      <c r="A73" s="5">
        <v>45566</v>
      </c>
      <c r="B73" s="30">
        <v>2086032</v>
      </c>
      <c r="C73" s="30">
        <v>5829614</v>
      </c>
      <c r="D73" s="30">
        <v>8455012425.0000086</v>
      </c>
      <c r="E73" s="34">
        <f t="shared" ref="E73" si="80">C73/B73</f>
        <v>2.7945947137915428</v>
      </c>
      <c r="F73" s="43">
        <f t="shared" ref="F73" si="81">D73/B73</f>
        <v>4053.1556682735495</v>
      </c>
      <c r="G73" s="43">
        <f t="shared" ref="G73" si="82">F73/E73</f>
        <v>1450.3554480622577</v>
      </c>
      <c r="H73" s="27">
        <v>0.41524569288732466</v>
      </c>
      <c r="I73" s="59">
        <f>(B73/('Consumidores Inadimplentes'!B109*1000000))</f>
        <v>2.8535131940130763E-2</v>
      </c>
    </row>
    <row r="74" spans="1:16" x14ac:dyDescent="0.35">
      <c r="A74" s="5">
        <v>45597</v>
      </c>
      <c r="B74" s="30">
        <v>2110963</v>
      </c>
      <c r="C74" s="30">
        <v>5860311</v>
      </c>
      <c r="D74" s="30">
        <v>8485492151.4700069</v>
      </c>
      <c r="E74" s="34">
        <f t="shared" ref="E74" si="83">C74/B74</f>
        <v>2.7761315570192373</v>
      </c>
      <c r="F74" s="43">
        <f t="shared" ref="F74" si="84">D74/B74</f>
        <v>4019.7256661864785</v>
      </c>
      <c r="G74" s="43">
        <f t="shared" ref="G74" si="85">F74/E74</f>
        <v>1447.9593576979119</v>
      </c>
      <c r="H74" s="27">
        <v>0.41982228338799138</v>
      </c>
      <c r="I74" s="59">
        <f>(B74/('Consumidores Inadimplentes'!B110*1000000))</f>
        <v>2.8608178634820892E-2</v>
      </c>
    </row>
    <row r="75" spans="1:16" ht="15" thickBot="1" x14ac:dyDescent="0.4">
      <c r="A75" s="12">
        <v>45627</v>
      </c>
      <c r="B75" s="31">
        <v>2117831</v>
      </c>
      <c r="C75" s="31">
        <v>5867316</v>
      </c>
      <c r="D75" s="31">
        <v>8365632156.930027</v>
      </c>
      <c r="E75" s="35">
        <f t="shared" ref="E75" si="86">C75/B75</f>
        <v>2.7704363568197841</v>
      </c>
      <c r="F75" s="46">
        <f t="shared" ref="F75" si="87">D75/B75</f>
        <v>3950.0942978594735</v>
      </c>
      <c r="G75" s="46">
        <f t="shared" ref="G75" si="88">F75/E75</f>
        <v>1425.802216367761</v>
      </c>
      <c r="H75" s="28">
        <v>0.4208011158676338</v>
      </c>
      <c r="I75" s="59">
        <f>(B75/('Consumidores Inadimplentes'!B111*1000000))</f>
        <v>2.8809224889478287E-2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2149043</v>
      </c>
      <c r="C76" s="29">
        <v>5982039</v>
      </c>
      <c r="D76" s="29">
        <v>8729311009.0300236</v>
      </c>
      <c r="E76" s="33">
        <f t="shared" ref="E76:E77" si="89">C76/B76</f>
        <v>2.783582738921464</v>
      </c>
      <c r="F76" s="45">
        <f t="shared" ref="F76:F77" si="90">D76/B76</f>
        <v>4061.9526966328845</v>
      </c>
      <c r="G76" s="45">
        <f t="shared" ref="G76:G77" si="91">F76/E76</f>
        <v>1459.2534433543519</v>
      </c>
      <c r="H76" s="26">
        <v>0.42661030256169497</v>
      </c>
      <c r="I76" s="59">
        <f>(B76/('Consumidores Inadimplentes'!B112*1000000))</f>
        <v>2.8806421690176873E-2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2155691</v>
      </c>
      <c r="C77" s="30">
        <v>6067122</v>
      </c>
      <c r="D77" s="30">
        <v>9083091478.3700047</v>
      </c>
      <c r="E77" s="34">
        <f t="shared" si="89"/>
        <v>2.8144673796012509</v>
      </c>
      <c r="F77" s="43">
        <f t="shared" si="90"/>
        <v>4213.540566978294</v>
      </c>
      <c r="G77" s="43">
        <f t="shared" si="91"/>
        <v>1497.1005162530118</v>
      </c>
      <c r="H77" s="27">
        <v>0.42753671620999029</v>
      </c>
      <c r="I77" s="59">
        <f>(B77/('Consumidores Inadimplentes'!B113*1000000))</f>
        <v>2.8741248711874837E-2</v>
      </c>
    </row>
    <row r="78" spans="1:16" x14ac:dyDescent="0.35">
      <c r="A78" s="5">
        <v>45717</v>
      </c>
      <c r="B78" s="30">
        <v>2184023</v>
      </c>
      <c r="C78" s="30">
        <v>6081191</v>
      </c>
      <c r="D78" s="30">
        <v>8953374569.2200336</v>
      </c>
      <c r="E78" s="34">
        <f t="shared" ref="E78" si="92">C78/B78</f>
        <v>2.7843987906720762</v>
      </c>
      <c r="F78" s="43">
        <f t="shared" ref="F78" si="93">D78/B78</f>
        <v>4099.4873081556534</v>
      </c>
      <c r="G78" s="43">
        <f t="shared" ref="G78" si="94">F78/E78</f>
        <v>1472.3060941878055</v>
      </c>
      <c r="H78" s="27">
        <v>0.43275770955486859</v>
      </c>
      <c r="I78" s="59">
        <f>(B78/('Consumidores Inadimplentes'!B114*1000000))</f>
        <v>2.8824554820063488E-2</v>
      </c>
    </row>
    <row r="79" spans="1:16" x14ac:dyDescent="0.35">
      <c r="A79" s="5">
        <v>45748</v>
      </c>
      <c r="B79" s="30">
        <v>2155712</v>
      </c>
      <c r="C79" s="30">
        <v>6145866</v>
      </c>
      <c r="D79" s="30">
        <v>9373678192</v>
      </c>
      <c r="E79" s="34">
        <f t="shared" ref="E79" si="95">C79/B79</f>
        <v>2.8509680328355551</v>
      </c>
      <c r="F79" s="43">
        <f t="shared" ref="F79" si="96">D79/B79</f>
        <v>4348.2980064127305</v>
      </c>
      <c r="G79" s="43">
        <f t="shared" ref="G79" si="97">F79/E79</f>
        <v>1525.2005481408153</v>
      </c>
      <c r="H79" s="27">
        <v>0.42675543943370936</v>
      </c>
      <c r="I79" s="59">
        <f>(B79/('Consumidores Inadimplentes'!B115*1000000))</f>
        <v>2.8128305329860773E-2</v>
      </c>
    </row>
    <row r="80" spans="1:16" x14ac:dyDescent="0.35">
      <c r="A80" s="5">
        <v>45778</v>
      </c>
      <c r="B80" s="30">
        <v>2226511</v>
      </c>
      <c r="C80" s="30">
        <v>6366931</v>
      </c>
      <c r="D80" s="30">
        <v>9579469855</v>
      </c>
      <c r="E80" s="34">
        <f t="shared" ref="E80" si="98">C80/B80</f>
        <v>2.8596000648548334</v>
      </c>
      <c r="F80" s="43">
        <f t="shared" ref="F80" si="99">D80/B80</f>
        <v>4302.4579061140948</v>
      </c>
      <c r="G80" s="43">
        <f t="shared" ref="G80" si="100">F80/E80</f>
        <v>1504.5663059643648</v>
      </c>
      <c r="H80" s="27">
        <v>0.44036604888484004</v>
      </c>
      <c r="I80" s="59">
        <f>(B80/('Consumidores Inadimplentes'!B116*1000000))</f>
        <v>2.8888609497474318E-2</v>
      </c>
    </row>
    <row r="81" spans="1:16" x14ac:dyDescent="0.35">
      <c r="A81" s="5">
        <v>45809</v>
      </c>
      <c r="B81" s="30">
        <v>2267528</v>
      </c>
      <c r="C81" s="30">
        <v>6577057</v>
      </c>
      <c r="D81" s="30">
        <v>9821350875</v>
      </c>
      <c r="E81" s="34">
        <f t="shared" ref="E81:E82" si="101">C81/B81</f>
        <v>2.9005405886939433</v>
      </c>
      <c r="F81" s="43">
        <f t="shared" ref="F81:F82" si="102">D81/B81</f>
        <v>4331.3030202934651</v>
      </c>
      <c r="G81" s="43">
        <f t="shared" ref="G81:G82" si="103">F81/E81</f>
        <v>1493.2744044942899</v>
      </c>
      <c r="H81" s="27">
        <v>0.44806634343055907</v>
      </c>
      <c r="I81" s="59">
        <f>(B81/('Consumidores Inadimplentes'!B117*1000000))</f>
        <v>2.9117684445476244E-2</v>
      </c>
    </row>
    <row r="82" spans="1:16" x14ac:dyDescent="0.35">
      <c r="A82" s="5">
        <v>45839</v>
      </c>
      <c r="B82" s="30">
        <v>2291401</v>
      </c>
      <c r="C82" s="30">
        <v>6664310</v>
      </c>
      <c r="D82" s="30">
        <v>9945799788</v>
      </c>
      <c r="E82" s="34">
        <f t="shared" si="101"/>
        <v>2.9083997083007294</v>
      </c>
      <c r="F82" s="43">
        <f t="shared" si="102"/>
        <v>4340.4885430354616</v>
      </c>
      <c r="G82" s="43">
        <f t="shared" si="103"/>
        <v>1492.3975307271121</v>
      </c>
      <c r="H82" s="27">
        <v>0.45236757484968471</v>
      </c>
      <c r="I82" s="59">
        <f>(B82/('Consumidores Inadimplentes'!B118*1000000))</f>
        <v>2.9316354402763981E-2</v>
      </c>
    </row>
    <row r="83" spans="1:16" x14ac:dyDescent="0.35">
      <c r="A83" s="5">
        <v>45870</v>
      </c>
      <c r="B83" s="30">
        <v>2298035</v>
      </c>
      <c r="C83" s="30">
        <v>6722305</v>
      </c>
      <c r="D83" s="30">
        <v>10177045338</v>
      </c>
      <c r="E83" s="34">
        <f t="shared" ref="E83" si="104">C83/B83</f>
        <v>2.9252404771902953</v>
      </c>
      <c r="F83" s="43">
        <f t="shared" ref="F83" si="105">D83/B83</f>
        <v>4428.5858735833008</v>
      </c>
      <c r="G83" s="43">
        <f t="shared" ref="G83" si="106">F83/E83</f>
        <v>1513.9219862829789</v>
      </c>
      <c r="H83" s="27">
        <v>0.45328735830794231</v>
      </c>
      <c r="I83" s="59">
        <f>(B83/('Consumidores Inadimplentes'!B119*1000000))</f>
        <v>2.914481573306028E-2</v>
      </c>
    </row>
    <row r="84" spans="1:16" x14ac:dyDescent="0.35">
      <c r="A84" s="5">
        <v>45901</v>
      </c>
      <c r="B84" s="30">
        <v>2306305</v>
      </c>
      <c r="C84" s="30">
        <v>6682405</v>
      </c>
      <c r="D84" s="30">
        <v>10238984054</v>
      </c>
      <c r="E84" s="34">
        <f>IFERROR(C84/B84,"")</f>
        <v>2.8974506841029264</v>
      </c>
      <c r="F84" s="43">
        <f>IFERROR(D84/B84,"")</f>
        <v>4439.5620067597301</v>
      </c>
      <c r="G84" s="43">
        <f>IFERROR(F84/E84,"")</f>
        <v>1532.2303951945444</v>
      </c>
      <c r="H84" s="27">
        <v>0.45452762772291277</v>
      </c>
      <c r="I84" s="59">
        <f>(B84/('Consumidores Inadimplentes'!B120*1000000))</f>
        <v>2.9132168685741495E-2</v>
      </c>
    </row>
    <row r="85" spans="1:16" x14ac:dyDescent="0.35">
      <c r="A85" s="5">
        <v>45931</v>
      </c>
      <c r="B85" s="30">
        <v>2322656</v>
      </c>
      <c r="C85" s="30">
        <v>6829639</v>
      </c>
      <c r="D85" s="30">
        <v>10402295995</v>
      </c>
      <c r="E85" s="34">
        <f t="shared" ref="E85:E87" si="107">IFERROR(C85/B85,"")</f>
        <v>2.9404436128294504</v>
      </c>
      <c r="F85" s="43">
        <f t="shared" ref="F85:F87" si="108">IFERROR(D85/B85,"")</f>
        <v>4478.6210248095285</v>
      </c>
      <c r="G85" s="43">
        <f t="shared" ref="G85:G87" si="109">IFERROR(F85/E85,"")</f>
        <v>1523.1106644143269</v>
      </c>
      <c r="H85" s="27">
        <v>0.45735673634825225</v>
      </c>
      <c r="I85" s="59">
        <f>(B85/('Consumidores Inadimplentes'!B121*1000000))</f>
        <v>2.8875635762118636E-2</v>
      </c>
    </row>
    <row r="86" spans="1:16" x14ac:dyDescent="0.35">
      <c r="A86" s="5">
        <v>45962</v>
      </c>
      <c r="B86" s="30">
        <v>2321831</v>
      </c>
      <c r="C86" s="30">
        <v>6867754</v>
      </c>
      <c r="D86" s="30">
        <v>10608288963</v>
      </c>
      <c r="E86" s="34">
        <f t="shared" si="107"/>
        <v>2.9579043435977899</v>
      </c>
      <c r="F86" s="43">
        <f t="shared" si="108"/>
        <v>4568.9324343589178</v>
      </c>
      <c r="G86" s="43">
        <f t="shared" si="109"/>
        <v>1544.6518560507554</v>
      </c>
      <c r="H86" s="27">
        <v>0.45680138632195394</v>
      </c>
      <c r="I86" s="59">
        <f>(B86/('Consumidores Inadimplentes'!B122*1000000))</f>
        <v>2.8803310502960023E-2</v>
      </c>
    </row>
    <row r="87" spans="1:16" ht="15" thickBot="1" x14ac:dyDescent="0.4">
      <c r="A87" s="12">
        <v>45992</v>
      </c>
      <c r="B87" s="31">
        <v>2343269</v>
      </c>
      <c r="C87" s="31">
        <v>6952822</v>
      </c>
      <c r="D87" s="31">
        <v>10774406175</v>
      </c>
      <c r="E87" s="35">
        <f t="shared" si="107"/>
        <v>2.9671463242162979</v>
      </c>
      <c r="F87" s="46">
        <f t="shared" si="108"/>
        <v>4598.0236050577205</v>
      </c>
      <c r="G87" s="46">
        <f t="shared" si="109"/>
        <v>1549.6450470039358</v>
      </c>
      <c r="H87" s="28">
        <v>0.4606229313170731</v>
      </c>
      <c r="I87" s="59">
        <f>(B87/('Consumidores Inadimplentes'!B123*1000000))</f>
        <v>2.8840938097491511E-2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2332855</v>
      </c>
      <c r="C88" s="29">
        <v>6824608</v>
      </c>
      <c r="D88" s="29">
        <v>10463629104</v>
      </c>
      <c r="E88" s="33">
        <f t="shared" ref="E88:E89" si="110">IFERROR(C88/B88,"")</f>
        <v>2.925431713501268</v>
      </c>
      <c r="F88" s="45">
        <f t="shared" ref="F88:F89" si="111">IFERROR(D88/B88,"")</f>
        <v>4485.3319661959276</v>
      </c>
      <c r="G88" s="45">
        <f t="shared" ref="G88:G89" si="112">IFERROR(F88/E88,"")</f>
        <v>1533.2205313477345</v>
      </c>
      <c r="H88" s="26">
        <v>0.45818169319755281</v>
      </c>
      <c r="I88" s="59">
        <f>(B88/('Consumidores Inadimplentes'!B124*1000000))</f>
        <v>2.8687581586533673E-2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2337093</v>
      </c>
      <c r="C89" s="30">
        <v>6899394</v>
      </c>
      <c r="D89" s="30">
        <v>10762767662</v>
      </c>
      <c r="E89" s="34">
        <f t="shared" si="110"/>
        <v>2.9521264237238314</v>
      </c>
      <c r="F89" s="43">
        <f t="shared" si="111"/>
        <v>4605.1944282918994</v>
      </c>
      <c r="G89" s="43">
        <f t="shared" si="112"/>
        <v>1559.9584053324104</v>
      </c>
      <c r="H89" s="27">
        <v>0.4586195257784153</v>
      </c>
      <c r="I89" s="59">
        <f>(B89/('Consumidores Inadimplentes'!B125*1000000))</f>
        <v>2.8594619022512577E-2</v>
      </c>
    </row>
    <row r="90" spans="1:16" x14ac:dyDescent="0.35">
      <c r="A90" s="5">
        <v>46082</v>
      </c>
      <c r="B90" s="30">
        <v>2375463</v>
      </c>
      <c r="C90" s="30">
        <v>7082243</v>
      </c>
      <c r="D90" s="30">
        <v>11223755646</v>
      </c>
      <c r="E90" s="34">
        <f t="shared" ref="E90" si="113">IFERROR(C90/B90,"")</f>
        <v>2.9814158334606771</v>
      </c>
      <c r="F90" s="43">
        <f t="shared" ref="F90" si="114">IFERROR(D90/B90,"")</f>
        <v>4724.8707498285594</v>
      </c>
      <c r="G90" s="43">
        <f t="shared" ref="G90" si="115">IFERROR(F90/E90,"")</f>
        <v>1584.7741522000867</v>
      </c>
      <c r="H90" s="27">
        <v>0.46574847465243802</v>
      </c>
      <c r="I90" s="59">
        <f>(B90/('Consumidores Inadimplentes'!B126*1000000))</f>
        <v>2.8677913356487131E-2</v>
      </c>
    </row>
    <row r="91" spans="1:16" x14ac:dyDescent="0.35">
      <c r="A91" s="5">
        <v>46113</v>
      </c>
      <c r="B91" s="30">
        <v>2385337</v>
      </c>
      <c r="C91" s="30">
        <v>7153536</v>
      </c>
      <c r="D91" s="30">
        <v>11384222484</v>
      </c>
      <c r="E91" s="34">
        <f t="shared" ref="E91" si="116">IFERROR(C91/B91,"")</f>
        <v>2.9989624107620854</v>
      </c>
      <c r="F91" s="43">
        <f t="shared" ref="F91" si="117">IFERROR(D91/B91,"")</f>
        <v>4772.5845379499833</v>
      </c>
      <c r="G91" s="43">
        <f t="shared" ref="G91" si="118">IFERROR(F91/E91,"")</f>
        <v>1591.411923278222</v>
      </c>
      <c r="H91" s="27">
        <v>0.46728250435872826</v>
      </c>
      <c r="I91" s="59">
        <f>(B91/('Consumidores Inadimplentes'!B127*1000000))</f>
        <v>2.8604870041191909E-2</v>
      </c>
    </row>
    <row r="92" spans="1:16" x14ac:dyDescent="0.35">
      <c r="A92" s="5">
        <v>46143</v>
      </c>
      <c r="B92" s="30">
        <v>2368015</v>
      </c>
      <c r="C92" s="30">
        <v>7087773</v>
      </c>
      <c r="D92" s="30">
        <v>11383383032</v>
      </c>
      <c r="E92" s="34">
        <f t="shared" ref="E92" si="119">IFERROR(C92/B92,"")</f>
        <v>2.9931284219061114</v>
      </c>
      <c r="F92" s="43">
        <f t="shared" ref="F92" si="120">IFERROR(D92/B92,"")</f>
        <v>4807.1414378709596</v>
      </c>
      <c r="G92" s="43">
        <f t="shared" ref="G92" si="121">IFERROR(F92/E92,"")</f>
        <v>1606.0591996950241</v>
      </c>
      <c r="H92" s="27">
        <v>0.46349047217988482</v>
      </c>
      <c r="I92" s="59">
        <f>(B92/('Consumidores Inadimplentes'!B128*1000000))</f>
        <v>2.8358494511672092E-2</v>
      </c>
    </row>
    <row r="93" spans="1:16" x14ac:dyDescent="0.35">
      <c r="A93" s="5">
        <v>46174</v>
      </c>
      <c r="B93" s="30">
        <v>2364051</v>
      </c>
      <c r="C93" s="30">
        <v>7069424</v>
      </c>
      <c r="D93" s="30">
        <v>11491499744</v>
      </c>
      <c r="E93" s="34">
        <f t="shared" ref="E93" si="122">IFERROR(C93/B93,"")</f>
        <v>2.990385571208066</v>
      </c>
      <c r="F93" s="43">
        <f t="shared" ref="F93" si="123">IFERROR(D93/B93,"")</f>
        <v>4860.935632945313</v>
      </c>
      <c r="G93" s="43">
        <f t="shared" ref="G93" si="124">IFERROR(F93/E93,"")</f>
        <v>1625.5213641167938</v>
      </c>
      <c r="H93" s="27">
        <v>0.46231690083829308</v>
      </c>
      <c r="I93" s="59">
        <f>(B93/('Consumidores Inadimplentes'!B129*1000000))</f>
        <v>2.823165695722828E-2</v>
      </c>
    </row>
    <row r="94" spans="1:16" x14ac:dyDescent="0.35">
      <c r="A94" s="5">
        <v>46204</v>
      </c>
      <c r="B94" s="30">
        <v>2397803</v>
      </c>
      <c r="C94" s="30">
        <v>7165955</v>
      </c>
      <c r="D94" s="30">
        <v>11550690805</v>
      </c>
      <c r="E94" s="34">
        <f t="shared" ref="E94" si="125">IFERROR(C94/B94,"")</f>
        <v>2.9885503521348502</v>
      </c>
      <c r="F94" s="43">
        <f t="shared" ref="F94" si="126">IFERROR(D94/B94,"")</f>
        <v>4817.1975783665293</v>
      </c>
      <c r="G94" s="43">
        <f t="shared" ref="G94" si="127">IFERROR(F94/E94,"")</f>
        <v>1611.8843622378313</v>
      </c>
      <c r="H94" s="27">
        <v>0.46851452670674054</v>
      </c>
      <c r="I94" s="59">
        <f>(B94/('Consumidores Inadimplentes'!B130*1000000))</f>
        <v>2.8568428520839951E-2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311D-DC05-4429-93EF-9742654B1B14}">
  <sheetPr codeName="Planilha14"/>
  <dimension ref="A1:P99"/>
  <sheetViews>
    <sheetView zoomScale="90" zoomScaleNormal="90" workbookViewId="0">
      <pane xSplit="1" ySplit="3" topLeftCell="B84" activePane="bottomRight" state="frozen"/>
      <selection activeCell="H93" sqref="H93"/>
      <selection pane="topRight" activeCell="H93" sqref="H93"/>
      <selection pane="bottomLeft" activeCell="H93" sqref="H93"/>
      <selection pane="bottomRight" activeCell="I1" sqref="I1:I104857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30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5846615</v>
      </c>
      <c r="C4" s="29">
        <v>21880295</v>
      </c>
      <c r="D4" s="29">
        <v>23779205928.980572</v>
      </c>
      <c r="E4" s="33">
        <f t="shared" ref="E4:E33" si="0">C4/B4</f>
        <v>3.7423868340911794</v>
      </c>
      <c r="F4" s="45">
        <f>D4/B4</f>
        <v>4067.17492582983</v>
      </c>
      <c r="G4" s="45">
        <f t="shared" ref="G4" si="1">F4/E4</f>
        <v>1086.7863494975991</v>
      </c>
      <c r="H4" s="26">
        <v>0.36799512114846616</v>
      </c>
      <c r="I4" s="58">
        <f>(B4/('Consumidores Inadimplentes'!B40*1000000))</f>
        <v>9.4032720362708738E-2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5845607</v>
      </c>
      <c r="C5" s="30">
        <v>21851556</v>
      </c>
      <c r="D5" s="30">
        <v>23699280572.830547</v>
      </c>
      <c r="E5" s="34">
        <f t="shared" si="0"/>
        <v>3.7381158192810431</v>
      </c>
      <c r="F5" s="43">
        <f t="shared" ref="F5:F46" si="2">D5/B5</f>
        <v>4054.2035365755082</v>
      </c>
      <c r="G5" s="43">
        <f t="shared" ref="G5:G44" si="3">F5/E5</f>
        <v>1084.5580320609913</v>
      </c>
      <c r="H5" s="27">
        <v>0.36753805333976919</v>
      </c>
      <c r="I5" s="59">
        <f>(B5/('Consumidores Inadimplentes'!B41*1000000))</f>
        <v>9.4021779874103678E-2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5900932</v>
      </c>
      <c r="C6" s="30">
        <v>22010380</v>
      </c>
      <c r="D6" s="30">
        <v>24199735667.970638</v>
      </c>
      <c r="E6" s="34">
        <f t="shared" si="0"/>
        <v>3.7299836703761371</v>
      </c>
      <c r="F6" s="43">
        <f t="shared" si="2"/>
        <v>4101.0022938699576</v>
      </c>
      <c r="G6" s="43">
        <f t="shared" si="3"/>
        <v>1099.4692353321768</v>
      </c>
      <c r="H6" s="27">
        <v>0.37055413995114644</v>
      </c>
      <c r="I6" s="59">
        <f>(B6/('Consumidores Inadimplentes'!B42*1000000))</f>
        <v>9.3724974718504578E-2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5919486</v>
      </c>
      <c r="C7" s="30">
        <v>21760713</v>
      </c>
      <c r="D7" s="30">
        <v>24036907376.40052</v>
      </c>
      <c r="E7" s="34">
        <f t="shared" si="0"/>
        <v>3.6761152910911523</v>
      </c>
      <c r="F7" s="43">
        <f t="shared" si="2"/>
        <v>4060.640970584358</v>
      </c>
      <c r="G7" s="43">
        <f t="shared" si="3"/>
        <v>1104.6010935579418</v>
      </c>
      <c r="H7" s="27">
        <v>0.37104996922414185</v>
      </c>
      <c r="I7" s="59">
        <f>(B7/('Consumidores Inadimplentes'!B43*1000000))</f>
        <v>9.3654745091100125E-2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6013777</v>
      </c>
      <c r="C8" s="30">
        <v>22994892</v>
      </c>
      <c r="D8" s="30">
        <v>24485035599.420593</v>
      </c>
      <c r="E8" s="34">
        <f t="shared" si="0"/>
        <v>3.8237021425969071</v>
      </c>
      <c r="F8" s="43">
        <f t="shared" si="2"/>
        <v>4071.4904459245154</v>
      </c>
      <c r="G8" s="43">
        <f t="shared" si="3"/>
        <v>1064.8032441039772</v>
      </c>
      <c r="H8" s="27">
        <v>0.37421289507434619</v>
      </c>
      <c r="I8" s="59">
        <f>(B8/('Consumidores Inadimplentes'!B44*1000000))</f>
        <v>9.4892515251255402E-2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5977722</v>
      </c>
      <c r="C9" s="30">
        <v>22665312</v>
      </c>
      <c r="D9" s="30">
        <v>24529509628.1106</v>
      </c>
      <c r="E9" s="34">
        <f t="shared" si="0"/>
        <v>3.7916303233907498</v>
      </c>
      <c r="F9" s="43">
        <f t="shared" si="2"/>
        <v>4103.4878550910526</v>
      </c>
      <c r="G9" s="43">
        <f t="shared" si="3"/>
        <v>1082.2489285879055</v>
      </c>
      <c r="H9" s="27">
        <v>0.37440990283255399</v>
      </c>
      <c r="I9" s="59">
        <f>(B9/('Consumidores Inadimplentes'!B45*1000000))</f>
        <v>9.4210673973182377E-2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5967029</v>
      </c>
      <c r="C10" s="30">
        <v>22488492</v>
      </c>
      <c r="D10" s="30">
        <v>24438977243.920586</v>
      </c>
      <c r="E10" s="34">
        <f t="shared" si="0"/>
        <v>3.7687921409465246</v>
      </c>
      <c r="F10" s="43">
        <f t="shared" si="2"/>
        <v>4095.6692591774877</v>
      </c>
      <c r="G10" s="43">
        <f t="shared" si="3"/>
        <v>1086.7325938938275</v>
      </c>
      <c r="H10" s="27">
        <v>0.37313769853296402</v>
      </c>
      <c r="I10" s="59">
        <f>(B10/('Consumidores Inadimplentes'!B46*1000000))</f>
        <v>9.4023200911744861E-2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5959387</v>
      </c>
      <c r="C11" s="30">
        <v>22434838</v>
      </c>
      <c r="D11" s="30">
        <v>24678926351.430683</v>
      </c>
      <c r="E11" s="34">
        <f t="shared" si="0"/>
        <v>3.7646217639498829</v>
      </c>
      <c r="F11" s="43">
        <f t="shared" si="2"/>
        <v>4141.1853855825575</v>
      </c>
      <c r="G11" s="43">
        <f t="shared" si="3"/>
        <v>1100.0269469933628</v>
      </c>
      <c r="H11" s="27">
        <v>0.37221272371442549</v>
      </c>
      <c r="I11" s="59">
        <f>(B11/('Consumidores Inadimplentes'!B47*1000000))</f>
        <v>9.3955236350971458E-2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5972773</v>
      </c>
      <c r="C12" s="30">
        <v>22273982</v>
      </c>
      <c r="D12" s="30">
        <v>24408499818.350704</v>
      </c>
      <c r="E12" s="34">
        <f t="shared" si="0"/>
        <v>3.7292530621873627</v>
      </c>
      <c r="F12" s="43">
        <f t="shared" si="2"/>
        <v>4086.6277386317383</v>
      </c>
      <c r="G12" s="43">
        <f t="shared" si="3"/>
        <v>1095.8300953260491</v>
      </c>
      <c r="H12" s="27">
        <v>0.37271405991645223</v>
      </c>
      <c r="I12" s="59">
        <f>(B12/('Consumidores Inadimplentes'!B48*1000000))</f>
        <v>9.4496020186749768E-2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6033279</v>
      </c>
      <c r="C13" s="30">
        <v>22325064</v>
      </c>
      <c r="D13" s="30">
        <v>24632961978.210655</v>
      </c>
      <c r="E13" s="34">
        <f t="shared" si="0"/>
        <v>3.7003201741540543</v>
      </c>
      <c r="F13" s="43">
        <f t="shared" si="2"/>
        <v>4082.8481457944604</v>
      </c>
      <c r="G13" s="43">
        <f t="shared" si="3"/>
        <v>1103.3769927024916</v>
      </c>
      <c r="H13" s="27">
        <v>0.37615197058855804</v>
      </c>
      <c r="I13" s="59">
        <f>(B13/('Consumidores Inadimplentes'!B49*1000000))</f>
        <v>9.4489362098660004E-2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5973667</v>
      </c>
      <c r="C14" s="30">
        <v>21316036</v>
      </c>
      <c r="D14" s="30">
        <v>24629345696.210705</v>
      </c>
      <c r="E14" s="34">
        <f t="shared" si="0"/>
        <v>3.5683334876215898</v>
      </c>
      <c r="F14" s="43">
        <f t="shared" si="2"/>
        <v>4122.986047968644</v>
      </c>
      <c r="G14" s="43">
        <f t="shared" si="3"/>
        <v>1155.437422615101</v>
      </c>
      <c r="H14" s="27">
        <v>0.3721012296345132</v>
      </c>
      <c r="I14" s="59">
        <f>(B14/('Consumidores Inadimplentes'!B50*1000000))</f>
        <v>9.3571059260880884E-2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5983774</v>
      </c>
      <c r="C15" s="31">
        <v>21320547</v>
      </c>
      <c r="D15" s="31">
        <v>24921568703.620773</v>
      </c>
      <c r="E15" s="35">
        <f t="shared" si="0"/>
        <v>3.5630602024742246</v>
      </c>
      <c r="F15" s="43">
        <f t="shared" si="2"/>
        <v>4164.8579481144798</v>
      </c>
      <c r="G15" s="43">
        <f t="shared" si="3"/>
        <v>1168.8991236304009</v>
      </c>
      <c r="H15" s="27">
        <v>0.37239637091506855</v>
      </c>
      <c r="I15" s="59">
        <f>(B15/('Consumidores Inadimplentes'!B51*1000000))</f>
        <v>9.4519430392142667E-2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6011884</v>
      </c>
      <c r="C16" s="29">
        <v>21339576</v>
      </c>
      <c r="D16" s="29">
        <v>24895480852.700733</v>
      </c>
      <c r="E16" s="33">
        <f t="shared" si="0"/>
        <v>3.5495654939449928</v>
      </c>
      <c r="F16" s="45">
        <f t="shared" si="2"/>
        <v>4141.044779423677</v>
      </c>
      <c r="G16" s="45">
        <f t="shared" si="3"/>
        <v>1166.6342786145674</v>
      </c>
      <c r="H16" s="26">
        <v>0.37381008178776692</v>
      </c>
      <c r="I16" s="59">
        <f>(B16/('Consumidores Inadimplentes'!B52*1000000))</f>
        <v>9.4256217549805302E-2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5985689</v>
      </c>
      <c r="C17" s="30">
        <v>21123372</v>
      </c>
      <c r="D17" s="30">
        <v>24587997592.660751</v>
      </c>
      <c r="E17" s="34">
        <f t="shared" si="0"/>
        <v>3.5289792035637002</v>
      </c>
      <c r="F17" s="43">
        <f t="shared" si="2"/>
        <v>4107.7973801613734</v>
      </c>
      <c r="G17" s="43">
        <f t="shared" si="3"/>
        <v>1164.0185853215457</v>
      </c>
      <c r="H17" s="27">
        <v>0.3718473798431351</v>
      </c>
      <c r="I17" s="59">
        <f>(B17/('Consumidores Inadimplentes'!B53*1000000))</f>
        <v>9.3687863120961834E-2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6064365</v>
      </c>
      <c r="C18" s="30">
        <v>21209348</v>
      </c>
      <c r="D18" s="30">
        <v>24901691885.120949</v>
      </c>
      <c r="E18" s="34">
        <f t="shared" si="0"/>
        <v>3.4973732616687814</v>
      </c>
      <c r="F18" s="43">
        <f t="shared" si="2"/>
        <v>4106.2323730713688</v>
      </c>
      <c r="G18" s="43">
        <f t="shared" si="3"/>
        <v>1174.0904003801038</v>
      </c>
      <c r="H18" s="27">
        <v>0.37639692639263755</v>
      </c>
      <c r="I18" s="59">
        <f>(B18/('Consumidores Inadimplentes'!B54*1000000))</f>
        <v>9.3567620948041857E-2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6234631</v>
      </c>
      <c r="C19" s="30">
        <v>21667046</v>
      </c>
      <c r="D19" s="30">
        <v>24780068913.260784</v>
      </c>
      <c r="E19" s="34">
        <f t="shared" si="0"/>
        <v>3.4752731957993985</v>
      </c>
      <c r="F19" s="43">
        <f t="shared" si="2"/>
        <v>3974.5846888550077</v>
      </c>
      <c r="G19" s="43">
        <f t="shared" si="3"/>
        <v>1143.6754651861995</v>
      </c>
      <c r="H19" s="27">
        <v>0.38661762481682632</v>
      </c>
      <c r="I19" s="59">
        <f>(B19/('Consumidores Inadimplentes'!B55*1000000))</f>
        <v>9.4595088726796422E-2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6188287</v>
      </c>
      <c r="C20" s="30">
        <v>21454212</v>
      </c>
      <c r="D20" s="30">
        <v>24252666847.1408</v>
      </c>
      <c r="E20" s="34">
        <f t="shared" si="0"/>
        <v>3.4669064314567182</v>
      </c>
      <c r="F20" s="43">
        <f t="shared" si="2"/>
        <v>3919.1244438308695</v>
      </c>
      <c r="G20" s="43">
        <f t="shared" si="3"/>
        <v>1130.4384820631399</v>
      </c>
      <c r="H20" s="27">
        <v>0.38339946171675565</v>
      </c>
      <c r="I20" s="59">
        <f>(B20/('Consumidores Inadimplentes'!B56*1000000))</f>
        <v>9.4865900284466467E-2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6030219</v>
      </c>
      <c r="C21" s="30">
        <v>20843658</v>
      </c>
      <c r="D21" s="30">
        <v>23752205943.890686</v>
      </c>
      <c r="E21" s="34">
        <f t="shared" si="0"/>
        <v>3.4565341656745798</v>
      </c>
      <c r="F21" s="43">
        <f t="shared" si="2"/>
        <v>3938.8629076142483</v>
      </c>
      <c r="G21" s="43">
        <f t="shared" si="3"/>
        <v>1139.5411469469843</v>
      </c>
      <c r="H21" s="27">
        <v>0.3729360778617723</v>
      </c>
      <c r="I21" s="59">
        <f>(B21/('Consumidores Inadimplentes'!B57*1000000))</f>
        <v>9.4221154580971633E-2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6137567</v>
      </c>
      <c r="C22" s="30">
        <v>21112515</v>
      </c>
      <c r="D22" s="30">
        <v>24167401757.710663</v>
      </c>
      <c r="E22" s="34">
        <f t="shared" si="0"/>
        <v>3.4398834261198288</v>
      </c>
      <c r="F22" s="43">
        <f t="shared" si="2"/>
        <v>3937.6192158408476</v>
      </c>
      <c r="G22" s="43">
        <f t="shared" si="3"/>
        <v>1144.6955399539404</v>
      </c>
      <c r="H22" s="27">
        <v>0.37929575173001778</v>
      </c>
      <c r="I22" s="59">
        <f>(B22/('Consumidores Inadimplentes'!B58*1000000))</f>
        <v>9.6649838991393289E-2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6124657</v>
      </c>
      <c r="C23" s="30">
        <v>21718903</v>
      </c>
      <c r="D23" s="30">
        <v>23991061718.940468</v>
      </c>
      <c r="E23" s="34">
        <f t="shared" si="0"/>
        <v>3.5461419308869053</v>
      </c>
      <c r="F23" s="43">
        <f t="shared" si="2"/>
        <v>3917.1273948794956</v>
      </c>
      <c r="G23" s="43">
        <f t="shared" si="3"/>
        <v>1104.6166428820306</v>
      </c>
      <c r="H23" s="27">
        <v>0.37821949976759039</v>
      </c>
      <c r="I23" s="59">
        <f>(B23/('Consumidores Inadimplentes'!B59*1000000))</f>
        <v>9.7139018764201626E-2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6068817</v>
      </c>
      <c r="C24" s="30">
        <v>21358329</v>
      </c>
      <c r="D24" s="30">
        <v>23759383510.080688</v>
      </c>
      <c r="E24" s="34">
        <f t="shared" si="0"/>
        <v>3.5193562435644377</v>
      </c>
      <c r="F24" s="43">
        <f t="shared" si="2"/>
        <v>3914.9942254117545</v>
      </c>
      <c r="G24" s="43">
        <f t="shared" si="3"/>
        <v>1112.4177134868878</v>
      </c>
      <c r="H24" s="27">
        <v>0.37449551267538</v>
      </c>
      <c r="I24" s="59">
        <f>(B24/('Consumidores Inadimplentes'!B60*1000000))</f>
        <v>9.6693733018338168E-2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6002675</v>
      </c>
      <c r="C25" s="30">
        <v>21041903</v>
      </c>
      <c r="D25" s="30">
        <v>23537275925.220684</v>
      </c>
      <c r="E25" s="34">
        <f t="shared" si="0"/>
        <v>3.505420999804254</v>
      </c>
      <c r="F25" s="43">
        <f t="shared" si="2"/>
        <v>3921.1311498991172</v>
      </c>
      <c r="G25" s="43">
        <f t="shared" si="3"/>
        <v>1118.5906486319552</v>
      </c>
      <c r="H25" s="27">
        <v>0.37014154441303893</v>
      </c>
      <c r="I25" s="59">
        <f>(B25/('Consumidores Inadimplentes'!B61*1000000))</f>
        <v>9.6382396047410959E-2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5916988</v>
      </c>
      <c r="C26" s="30">
        <v>20706799</v>
      </c>
      <c r="D26" s="30">
        <v>22991445601.770622</v>
      </c>
      <c r="E26" s="34">
        <f t="shared" si="0"/>
        <v>3.4995506159552798</v>
      </c>
      <c r="F26" s="43">
        <f t="shared" si="2"/>
        <v>3885.6670998438094</v>
      </c>
      <c r="G26" s="43">
        <f t="shared" si="3"/>
        <v>1110.333161671711</v>
      </c>
      <c r="H26" s="27">
        <v>0.36458946169800321</v>
      </c>
      <c r="I26" s="59">
        <f>(B26/('Consumidores Inadimplentes'!B62*1000000))</f>
        <v>9.551432534569694E-2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5832610</v>
      </c>
      <c r="C27" s="31">
        <v>20396181</v>
      </c>
      <c r="D27" s="31">
        <v>22555302490.740704</v>
      </c>
      <c r="E27" s="35">
        <f t="shared" si="0"/>
        <v>3.4969217897304978</v>
      </c>
      <c r="F27" s="46">
        <f t="shared" si="2"/>
        <v>3867.1028048747821</v>
      </c>
      <c r="G27" s="46">
        <f t="shared" si="3"/>
        <v>1105.8591062091823</v>
      </c>
      <c r="H27" s="28">
        <v>0.35912593996709713</v>
      </c>
      <c r="I27" s="59">
        <f>(B27/('Consumidores Inadimplentes'!B63*1000000))</f>
        <v>9.5053586151384747E-2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5859125</v>
      </c>
      <c r="C28" s="29">
        <v>20380149</v>
      </c>
      <c r="D28" s="29">
        <v>22632520386.720669</v>
      </c>
      <c r="E28" s="33">
        <f t="shared" si="0"/>
        <v>3.4783605060482579</v>
      </c>
      <c r="F28" s="45">
        <f t="shared" si="2"/>
        <v>3862.7816246829807</v>
      </c>
      <c r="G28" s="45">
        <f t="shared" si="3"/>
        <v>1110.5179057680427</v>
      </c>
      <c r="H28" s="26">
        <v>0.36049316677292342</v>
      </c>
      <c r="I28" s="59">
        <f>(B28/('Consumidores Inadimplentes'!B64*1000000))</f>
        <v>9.5008705215941222E-2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5855809</v>
      </c>
      <c r="C29" s="30">
        <v>20257386</v>
      </c>
      <c r="D29" s="30">
        <v>22652792334.520802</v>
      </c>
      <c r="E29" s="34">
        <f t="shared" si="0"/>
        <v>3.4593659048647249</v>
      </c>
      <c r="F29" s="43">
        <f t="shared" si="2"/>
        <v>3868.4308751396779</v>
      </c>
      <c r="G29" s="43">
        <f t="shared" si="3"/>
        <v>1118.2485407801778</v>
      </c>
      <c r="H29" s="27">
        <v>0.36002412781371784</v>
      </c>
      <c r="I29" s="59">
        <f>(B29/('Consumidores Inadimplentes'!B65*1000000))</f>
        <v>9.5131297250308791E-2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5892149</v>
      </c>
      <c r="C30" s="30">
        <v>20158678</v>
      </c>
      <c r="D30" s="30">
        <v>22813158563.590733</v>
      </c>
      <c r="E30" s="34">
        <f t="shared" si="0"/>
        <v>3.4212777036018607</v>
      </c>
      <c r="F30" s="43">
        <f t="shared" si="2"/>
        <v>3871.7891491866094</v>
      </c>
      <c r="G30" s="43">
        <f t="shared" si="3"/>
        <v>1131.6792977987311</v>
      </c>
      <c r="H30" s="27">
        <v>0.36199189790218961</v>
      </c>
      <c r="I30" s="59">
        <f>(B30/('Consumidores Inadimplentes'!B66*1000000))</f>
        <v>9.4187982726181757E-2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5929747</v>
      </c>
      <c r="C31" s="30">
        <v>20130958</v>
      </c>
      <c r="D31" s="30">
        <v>23051586059.510727</v>
      </c>
      <c r="E31" s="34">
        <f t="shared" si="0"/>
        <v>3.3949101032472382</v>
      </c>
      <c r="F31" s="43">
        <f t="shared" si="2"/>
        <v>3887.4484964553676</v>
      </c>
      <c r="G31" s="43">
        <f t="shared" si="3"/>
        <v>1145.0814243172495</v>
      </c>
      <c r="H31" s="27">
        <v>0.36403380416024284</v>
      </c>
      <c r="I31" s="59">
        <f>(B31/('Consumidores Inadimplentes'!B67*1000000))</f>
        <v>9.415050802479176E-2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5901344</v>
      </c>
      <c r="C32" s="30">
        <v>19983334</v>
      </c>
      <c r="D32" s="30">
        <v>23179828980.200687</v>
      </c>
      <c r="E32" s="34">
        <f t="shared" si="0"/>
        <v>3.3862343899965839</v>
      </c>
      <c r="F32" s="43">
        <f t="shared" si="2"/>
        <v>3927.8898129308659</v>
      </c>
      <c r="G32" s="43">
        <f t="shared" si="3"/>
        <v>1159.9580420464717</v>
      </c>
      <c r="H32" s="27">
        <v>0.36202361181454479</v>
      </c>
      <c r="I32" s="59">
        <f>(B32/('Consumidores Inadimplentes'!B68*1000000))</f>
        <v>9.4332748203869943E-2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5823292</v>
      </c>
      <c r="C33" s="30">
        <v>19643604</v>
      </c>
      <c r="D33" s="30">
        <v>22714443628.110741</v>
      </c>
      <c r="E33" s="34">
        <f t="shared" si="0"/>
        <v>3.3732816420677514</v>
      </c>
      <c r="F33" s="43">
        <f t="shared" si="2"/>
        <v>3900.6190361243675</v>
      </c>
      <c r="G33" s="43">
        <f t="shared" si="3"/>
        <v>1156.3277099309648</v>
      </c>
      <c r="H33" s="27">
        <v>0.35697265100111619</v>
      </c>
      <c r="I33" s="59">
        <f>(B33/('Consumidores Inadimplentes'!B69*1000000))</f>
        <v>9.3158613247357608E-2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5763979</v>
      </c>
      <c r="C34" s="30">
        <v>19240433</v>
      </c>
      <c r="D34" s="30">
        <v>22470868122.43063</v>
      </c>
      <c r="E34" s="34">
        <f>C34/B34</f>
        <v>3.338047033134576</v>
      </c>
      <c r="F34" s="43">
        <f t="shared" si="2"/>
        <v>3898.4993044614889</v>
      </c>
      <c r="G34" s="43">
        <f t="shared" si="3"/>
        <v>1167.89825480698</v>
      </c>
      <c r="H34" s="27">
        <v>0.35333673634712359</v>
      </c>
      <c r="I34" s="59">
        <f>(B34/('Consumidores Inadimplentes'!B70*1000000))</f>
        <v>9.2633114221899418E-2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5728059</v>
      </c>
      <c r="C35" s="30">
        <v>19060498</v>
      </c>
      <c r="D35" s="30">
        <v>22249554979.460609</v>
      </c>
      <c r="E35" s="34">
        <f>C35/B35</f>
        <v>3.3275666329554219</v>
      </c>
      <c r="F35" s="43">
        <f t="shared" si="2"/>
        <v>3884.3096726937711</v>
      </c>
      <c r="G35" s="43">
        <f t="shared" si="3"/>
        <v>1167.312364003323</v>
      </c>
      <c r="H35" s="27">
        <v>0.35091633984549669</v>
      </c>
      <c r="I35" s="59">
        <f>(B35/('Consumidores Inadimplentes'!B71*1000000))</f>
        <v>9.2018852425241271E-2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5822008</v>
      </c>
      <c r="C36" s="30">
        <v>19682138</v>
      </c>
      <c r="D36" s="30">
        <v>22216674265.650688</v>
      </c>
      <c r="E36" s="34">
        <f>C36/B36</f>
        <v>3.3806442725602577</v>
      </c>
      <c r="F36" s="43">
        <f t="shared" si="2"/>
        <v>3815.9814046374872</v>
      </c>
      <c r="G36" s="43">
        <f t="shared" si="3"/>
        <v>1128.7734221582375</v>
      </c>
      <c r="H36" s="27">
        <v>0.35645000042551084</v>
      </c>
      <c r="I36" s="59">
        <f>(B36/('Consumidores Inadimplentes'!B72*1000000))</f>
        <v>9.3585962574989634E-2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5989499</v>
      </c>
      <c r="C37" s="30">
        <v>20681191</v>
      </c>
      <c r="D37" s="30">
        <v>23019746050.430649</v>
      </c>
      <c r="E37" s="34">
        <f>C37/B37</f>
        <v>3.4529083317319196</v>
      </c>
      <c r="F37" s="43">
        <f t="shared" si="2"/>
        <v>3843.3508462779023</v>
      </c>
      <c r="G37" s="43">
        <f t="shared" si="3"/>
        <v>1113.0764205229113</v>
      </c>
      <c r="H37" s="27">
        <v>0.36647640116748714</v>
      </c>
      <c r="I37" s="59">
        <f>(B37/('Consumidores Inadimplentes'!B73*1000000))</f>
        <v>9.4464079142726864E-2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6283328</v>
      </c>
      <c r="C38" s="30">
        <v>21564670</v>
      </c>
      <c r="D38" s="30">
        <v>23571159787.150631</v>
      </c>
      <c r="E38" s="34">
        <f t="shared" ref="E38:E44" si="4">C38/B38</f>
        <v>3.4320458839646761</v>
      </c>
      <c r="F38" s="43">
        <f t="shared" si="2"/>
        <v>3751.3813996580525</v>
      </c>
      <c r="G38" s="43">
        <f t="shared" si="3"/>
        <v>1093.0452349676871</v>
      </c>
      <c r="H38" s="27">
        <v>0.38421556333621609</v>
      </c>
      <c r="I38" s="59">
        <f>(B38/('Consumidores Inadimplentes'!B74*1000000))</f>
        <v>9.7765057763638738E-2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6276829</v>
      </c>
      <c r="C39" s="31">
        <v>21373096</v>
      </c>
      <c r="D39" s="31">
        <v>23125974985.210487</v>
      </c>
      <c r="E39" s="35">
        <f t="shared" si="4"/>
        <v>3.4050785834694555</v>
      </c>
      <c r="F39" s="46">
        <f t="shared" si="2"/>
        <v>3684.3404504424907</v>
      </c>
      <c r="G39" s="46">
        <f t="shared" si="3"/>
        <v>1082.0133398179885</v>
      </c>
      <c r="H39" s="28">
        <v>0.38357936165815421</v>
      </c>
      <c r="I39" s="59">
        <f>(B39/('Consumidores Inadimplentes'!B75*1000000))</f>
        <v>9.8120137648936193E-2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6334560</v>
      </c>
      <c r="C40" s="29">
        <v>21587947</v>
      </c>
      <c r="D40" s="29">
        <v>23685245711.320503</v>
      </c>
      <c r="E40" s="33">
        <f t="shared" si="4"/>
        <v>3.4079631418756788</v>
      </c>
      <c r="F40" s="45">
        <f t="shared" si="2"/>
        <v>3739.0514434026204</v>
      </c>
      <c r="G40" s="45">
        <f t="shared" si="3"/>
        <v>1097.1513739273355</v>
      </c>
      <c r="H40" s="26">
        <v>0.38686646445204481</v>
      </c>
      <c r="I40" s="59">
        <f>(B40/('Consumidores Inadimplentes'!B76*1000000))</f>
        <v>9.7729250099070561E-2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6326023</v>
      </c>
      <c r="C41" s="30">
        <v>21604574</v>
      </c>
      <c r="D41" s="30">
        <v>23839278229.88044</v>
      </c>
      <c r="E41" s="34">
        <f t="shared" si="4"/>
        <v>3.4151905549505588</v>
      </c>
      <c r="F41" s="43">
        <f t="shared" si="2"/>
        <v>3768.4463413870672</v>
      </c>
      <c r="G41" s="43">
        <f t="shared" si="3"/>
        <v>1103.4366254979357</v>
      </c>
      <c r="H41" s="27">
        <v>0.38610471199842578</v>
      </c>
      <c r="I41" s="59">
        <f>(B41/('Consumidores Inadimplentes'!B77*1000000))</f>
        <v>9.707082857891064E-2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6313993</v>
      </c>
      <c r="C42" s="30">
        <v>21546994</v>
      </c>
      <c r="D42" s="30">
        <v>23942506226.030579</v>
      </c>
      <c r="E42" s="34">
        <f t="shared" si="4"/>
        <v>3.412578062725125</v>
      </c>
      <c r="F42" s="43">
        <f t="shared" si="2"/>
        <v>3791.9754149284895</v>
      </c>
      <c r="G42" s="43">
        <f t="shared" si="3"/>
        <v>1111.1761680553018</v>
      </c>
      <c r="H42" s="27">
        <v>0.38513070547923145</v>
      </c>
      <c r="I42" s="59">
        <f>(B42/('Consumidores Inadimplentes'!B78*1000000))</f>
        <v>9.6112197917915823E-2</v>
      </c>
    </row>
    <row r="43" spans="1:16" x14ac:dyDescent="0.35">
      <c r="A43" s="5">
        <v>44652</v>
      </c>
      <c r="B43" s="30">
        <v>6364317</v>
      </c>
      <c r="C43" s="30">
        <v>21710980</v>
      </c>
      <c r="D43" s="30">
        <v>24447065708.300606</v>
      </c>
      <c r="E43" s="34">
        <f t="shared" si="4"/>
        <v>3.4113605591927616</v>
      </c>
      <c r="F43" s="43">
        <f t="shared" si="2"/>
        <v>3841.2709028008198</v>
      </c>
      <c r="G43" s="43">
        <f t="shared" si="3"/>
        <v>1126.0231324565084</v>
      </c>
      <c r="H43" s="27">
        <v>0.38795874797000823</v>
      </c>
      <c r="I43" s="59">
        <f>(B43/('Consumidores Inadimplentes'!B79*1000000))</f>
        <v>9.6235597322775548E-2</v>
      </c>
    </row>
    <row r="44" spans="1:16" x14ac:dyDescent="0.35">
      <c r="A44" s="5">
        <v>44682</v>
      </c>
      <c r="B44" s="30">
        <v>6391014</v>
      </c>
      <c r="C44" s="30">
        <v>21852811</v>
      </c>
      <c r="D44" s="30">
        <v>24923682714.530602</v>
      </c>
      <c r="E44" s="34">
        <f t="shared" si="4"/>
        <v>3.4193026333536429</v>
      </c>
      <c r="F44" s="43">
        <f t="shared" si="2"/>
        <v>3899.8009884707812</v>
      </c>
      <c r="G44" s="43">
        <f t="shared" si="3"/>
        <v>1140.5252493388884</v>
      </c>
      <c r="H44" s="27">
        <v>0.38934376194803288</v>
      </c>
      <c r="I44" s="59">
        <f>(B44/('Consumidores Inadimplentes'!B80*1000000))</f>
        <v>9.5990259390615937E-2</v>
      </c>
    </row>
    <row r="45" spans="1:16" x14ac:dyDescent="0.35">
      <c r="A45" s="5">
        <v>44713</v>
      </c>
      <c r="B45" s="30">
        <v>6403252</v>
      </c>
      <c r="C45" s="30">
        <v>21936697</v>
      </c>
      <c r="D45" s="30">
        <v>25157109596.300999</v>
      </c>
      <c r="E45" s="34">
        <f t="shared" ref="E45:E50" si="5">C45/B45</f>
        <v>3.4258681370028854</v>
      </c>
      <c r="F45" s="43">
        <f t="shared" si="2"/>
        <v>3928.8020518794197</v>
      </c>
      <c r="G45" s="43">
        <f t="shared" ref="G45:G50" si="6">F45/E45</f>
        <v>1146.8048082307469</v>
      </c>
      <c r="H45" s="27">
        <v>0.389846609341643</v>
      </c>
      <c r="I45" s="59">
        <f>(B45/('Consumidores Inadimplentes'!B81*1000000))</f>
        <v>9.5830346703482755E-2</v>
      </c>
    </row>
    <row r="46" spans="1:16" x14ac:dyDescent="0.35">
      <c r="A46" s="5">
        <v>44743</v>
      </c>
      <c r="B46" s="30">
        <v>6457021</v>
      </c>
      <c r="C46" s="30">
        <v>22095894</v>
      </c>
      <c r="D46" s="30">
        <v>25665097585.201</v>
      </c>
      <c r="E46" s="34">
        <f t="shared" si="5"/>
        <v>3.4219950655263474</v>
      </c>
      <c r="F46" s="43">
        <f t="shared" si="2"/>
        <v>3974.7582647169647</v>
      </c>
      <c r="G46" s="43">
        <f t="shared" si="6"/>
        <v>1161.5324360807035</v>
      </c>
      <c r="H46" s="27">
        <v>0.3928756070553342</v>
      </c>
      <c r="I46" s="59">
        <f>(B46/('Consumidores Inadimplentes'!B82*1000000))</f>
        <v>9.5472459907426768E-2</v>
      </c>
    </row>
    <row r="47" spans="1:16" x14ac:dyDescent="0.35">
      <c r="A47" s="5">
        <v>44774</v>
      </c>
      <c r="B47" s="30">
        <v>6478179</v>
      </c>
      <c r="C47" s="30">
        <v>22263193</v>
      </c>
      <c r="D47" s="30">
        <v>26025267179.4515</v>
      </c>
      <c r="E47" s="34">
        <f t="shared" si="5"/>
        <v>3.4366436926179409</v>
      </c>
      <c r="F47" s="43">
        <f t="shared" ref="F47" si="7">D47/B47</f>
        <v>4017.373891559881</v>
      </c>
      <c r="G47" s="43">
        <f t="shared" si="6"/>
        <v>1168.9817888858754</v>
      </c>
      <c r="H47" s="27">
        <v>0.39390651126253884</v>
      </c>
      <c r="I47" s="59">
        <f>(B47/('Consumidores Inadimplentes'!B83*1000000))</f>
        <v>9.5300635997215555E-2</v>
      </c>
    </row>
    <row r="48" spans="1:16" x14ac:dyDescent="0.35">
      <c r="A48" s="5">
        <v>44805</v>
      </c>
      <c r="B48" s="30">
        <v>6477381</v>
      </c>
      <c r="C48" s="30">
        <v>22369664</v>
      </c>
      <c r="D48" s="30">
        <v>26596837906.051399</v>
      </c>
      <c r="E48" s="34">
        <f t="shared" si="5"/>
        <v>3.4535044333504543</v>
      </c>
      <c r="F48" s="43">
        <f t="shared" ref="F48" si="8">D48/B48</f>
        <v>4106.1098468735127</v>
      </c>
      <c r="G48" s="43">
        <f t="shared" si="6"/>
        <v>1188.9690388756578</v>
      </c>
      <c r="H48" s="27">
        <v>0.39360173808970556</v>
      </c>
      <c r="I48" s="59">
        <f>(B48/('Consumidores Inadimplentes'!B84*1000000))</f>
        <v>9.4715101464584839E-2</v>
      </c>
    </row>
    <row r="49" spans="1:16" x14ac:dyDescent="0.35">
      <c r="A49" s="5">
        <v>44835</v>
      </c>
      <c r="B49" s="30">
        <v>6501442</v>
      </c>
      <c r="C49" s="30">
        <v>22413045</v>
      </c>
      <c r="D49" s="30">
        <v>27164145024.151421</v>
      </c>
      <c r="E49" s="34">
        <f t="shared" si="5"/>
        <v>3.4473959776923335</v>
      </c>
      <c r="F49" s="43">
        <f t="shared" ref="F49" si="9">D49/B49</f>
        <v>4178.1723230248645</v>
      </c>
      <c r="G49" s="43">
        <f t="shared" si="6"/>
        <v>1211.9792301381369</v>
      </c>
      <c r="H49" s="27">
        <v>0.39480678251493467</v>
      </c>
      <c r="I49" s="59">
        <f>(B49/('Consumidores Inadimplentes'!B85*1000000))</f>
        <v>9.4146515092538532E-2</v>
      </c>
    </row>
    <row r="50" spans="1:16" x14ac:dyDescent="0.35">
      <c r="A50" s="5">
        <v>44866</v>
      </c>
      <c r="B50" s="30">
        <v>6610408</v>
      </c>
      <c r="C50" s="30">
        <v>22670896</v>
      </c>
      <c r="D50" s="30">
        <v>27866342918.391167</v>
      </c>
      <c r="E50" s="34">
        <f t="shared" si="5"/>
        <v>3.4295759051483659</v>
      </c>
      <c r="F50" s="43">
        <f t="shared" ref="F50" si="10">D50/B50</f>
        <v>4215.5254136191243</v>
      </c>
      <c r="G50" s="43">
        <f t="shared" si="6"/>
        <v>1229.1681333808408</v>
      </c>
      <c r="H50" s="27">
        <v>0.40116268096797192</v>
      </c>
      <c r="I50" s="59">
        <f>(B50/('Consumidores Inadimplentes'!B86*1000000))</f>
        <v>9.465785880728636E-2</v>
      </c>
    </row>
    <row r="51" spans="1:16" ht="15" thickBot="1" x14ac:dyDescent="0.4">
      <c r="A51" s="12">
        <v>44896</v>
      </c>
      <c r="B51" s="31">
        <v>6625859</v>
      </c>
      <c r="C51" s="31">
        <v>22762186</v>
      </c>
      <c r="D51" s="31">
        <v>27973757669.270599</v>
      </c>
      <c r="E51" s="35">
        <f t="shared" ref="E51" si="11">C51/B51</f>
        <v>3.4353562307921131</v>
      </c>
      <c r="F51" s="46">
        <f t="shared" ref="F51" si="12">D51/B51</f>
        <v>4221.9065738148965</v>
      </c>
      <c r="G51" s="46">
        <f t="shared" ref="G51" si="13">F51/E51</f>
        <v>1228.9574327031066</v>
      </c>
      <c r="H51" s="28">
        <v>0.40183873333563386</v>
      </c>
      <c r="I51" s="59">
        <f>(B51/('Consumidores Inadimplentes'!B87*1000000))</f>
        <v>9.5433159675662085E-2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6614370</v>
      </c>
      <c r="C52" s="29">
        <v>22845202</v>
      </c>
      <c r="D52" s="29">
        <v>28864819227.500778</v>
      </c>
      <c r="E52" s="33">
        <f t="shared" ref="E52" si="14">C52/B52</f>
        <v>3.4538742162896843</v>
      </c>
      <c r="F52" s="45">
        <f t="shared" ref="F52" si="15">D52/B52</f>
        <v>4363.9559364687457</v>
      </c>
      <c r="G52" s="45">
        <f t="shared" ref="G52" si="16">F52/E52</f>
        <v>1263.4959072588099</v>
      </c>
      <c r="H52" s="26">
        <v>0.40088096755882241</v>
      </c>
      <c r="I52" s="59">
        <f>(B52/('Consumidores Inadimplentes'!B88*1000000))</f>
        <v>9.4365659486827042E-2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6689130</v>
      </c>
      <c r="C53" s="30">
        <v>23023429</v>
      </c>
      <c r="D53" s="30">
        <v>29178116722.921021</v>
      </c>
      <c r="E53" s="34">
        <f t="shared" ref="E53" si="17">C53/B53</f>
        <v>3.4419168113043099</v>
      </c>
      <c r="F53" s="43">
        <f t="shared" ref="F53" si="18">D53/B53</f>
        <v>4362.0196831158937</v>
      </c>
      <c r="G53" s="43">
        <f t="shared" ref="G53" si="19">F53/E53</f>
        <v>1267.3228094269111</v>
      </c>
      <c r="H53" s="27">
        <v>0.40514821995056671</v>
      </c>
      <c r="I53" s="59">
        <f>(B53/('Consumidores Inadimplentes'!B89*1000000))</f>
        <v>9.484502830577772E-2</v>
      </c>
    </row>
    <row r="54" spans="1:16" x14ac:dyDescent="0.35">
      <c r="A54" s="5">
        <v>44986</v>
      </c>
      <c r="B54" s="30">
        <v>6675007</v>
      </c>
      <c r="C54" s="30">
        <v>23339547</v>
      </c>
      <c r="D54" s="30">
        <v>29856184126.321171</v>
      </c>
      <c r="E54" s="34">
        <f t="shared" ref="E54" si="20">C54/B54</f>
        <v>3.4965576815125439</v>
      </c>
      <c r="F54" s="43">
        <f t="shared" ref="F54" si="21">D54/B54</f>
        <v>4472.8318826214218</v>
      </c>
      <c r="G54" s="43">
        <f t="shared" ref="G54" si="22">F54/E54</f>
        <v>1279.2100946227092</v>
      </c>
      <c r="H54" s="27">
        <v>0.40402977360374265</v>
      </c>
      <c r="I54" s="59">
        <f>(B54/('Consumidores Inadimplentes'!B90*1000000))</f>
        <v>9.440323478461525E-2</v>
      </c>
    </row>
    <row r="55" spans="1:16" x14ac:dyDescent="0.35">
      <c r="A55" s="5">
        <v>45017</v>
      </c>
      <c r="B55" s="30">
        <v>6662767</v>
      </c>
      <c r="C55" s="30">
        <v>23155495</v>
      </c>
      <c r="D55" s="30">
        <v>29686762306.881119</v>
      </c>
      <c r="E55" s="34">
        <f t="shared" ref="E55" si="23">C55/B55</f>
        <v>3.4753571601708417</v>
      </c>
      <c r="F55" s="43">
        <f t="shared" ref="F55" si="24">D55/B55</f>
        <v>4455.6206613380173</v>
      </c>
      <c r="G55" s="43">
        <f t="shared" ref="G55" si="25">F55/E55</f>
        <v>1282.0612259371314</v>
      </c>
      <c r="H55" s="27">
        <v>0.40302651254703575</v>
      </c>
      <c r="I55" s="59">
        <f>(B55/('Consumidores Inadimplentes'!B91*1000000))</f>
        <v>9.3264369318205365E-2</v>
      </c>
    </row>
    <row r="56" spans="1:16" x14ac:dyDescent="0.35">
      <c r="A56" s="5">
        <v>45047</v>
      </c>
      <c r="B56" s="30">
        <v>6707852</v>
      </c>
      <c r="C56" s="30">
        <v>23433171</v>
      </c>
      <c r="D56" s="30">
        <v>30203207492.320957</v>
      </c>
      <c r="E56" s="34">
        <f t="shared" ref="E56:E57" si="26">C56/B56</f>
        <v>3.4933941595610638</v>
      </c>
      <c r="F56" s="43">
        <f t="shared" ref="F56:F57" si="27">D56/B56</f>
        <v>4502.6645627126172</v>
      </c>
      <c r="G56" s="43">
        <f t="shared" ref="G56:G57" si="28">F56/E56</f>
        <v>1288.9082528489616</v>
      </c>
      <c r="H56" s="27">
        <v>0.40548968251415918</v>
      </c>
      <c r="I56" s="59">
        <f>(B56/('Consumidores Inadimplentes'!B92*1000000))</f>
        <v>9.328954913979659E-2</v>
      </c>
    </row>
    <row r="57" spans="1:16" x14ac:dyDescent="0.35">
      <c r="A57" s="5">
        <v>45078</v>
      </c>
      <c r="B57" s="30">
        <v>6633373</v>
      </c>
      <c r="C57" s="30">
        <v>22966802</v>
      </c>
      <c r="D57" s="30">
        <v>30559549813.231274</v>
      </c>
      <c r="E57" s="34">
        <f t="shared" si="26"/>
        <v>3.4623112555256581</v>
      </c>
      <c r="F57" s="43">
        <f t="shared" si="27"/>
        <v>4606.9397594905749</v>
      </c>
      <c r="G57" s="43">
        <f t="shared" si="28"/>
        <v>1330.5966504710266</v>
      </c>
      <c r="H57" s="27">
        <v>0.40072653501408717</v>
      </c>
      <c r="I57" s="59">
        <f>(B57/('Consumidores Inadimplentes'!B93*1000000))</f>
        <v>9.2834778472958387E-2</v>
      </c>
    </row>
    <row r="58" spans="1:16" x14ac:dyDescent="0.35">
      <c r="A58" s="5">
        <v>45108</v>
      </c>
      <c r="B58" s="30">
        <v>6610105</v>
      </c>
      <c r="C58" s="30">
        <v>22717343</v>
      </c>
      <c r="D58" s="30">
        <v>30931171816.390842</v>
      </c>
      <c r="E58" s="34">
        <f t="shared" ref="E58" si="29">C58/B58</f>
        <v>3.4367597791563069</v>
      </c>
      <c r="F58" s="43">
        <f t="shared" ref="F58" si="30">D58/B58</f>
        <v>4679.3767748607388</v>
      </c>
      <c r="G58" s="43">
        <f t="shared" ref="G58" si="31">F58/E58</f>
        <v>1361.5664391910111</v>
      </c>
      <c r="H58" s="27">
        <v>0.39906116466052571</v>
      </c>
      <c r="I58" s="59">
        <f>(B58/('Consumidores Inadimplentes'!B94*1000000))</f>
        <v>9.2553821677718182E-2</v>
      </c>
    </row>
    <row r="59" spans="1:16" x14ac:dyDescent="0.35">
      <c r="A59" s="5">
        <v>45139</v>
      </c>
      <c r="B59" s="30">
        <v>6558145</v>
      </c>
      <c r="C59" s="30">
        <v>22570456</v>
      </c>
      <c r="D59" s="30">
        <v>31121598523.180969</v>
      </c>
      <c r="E59" s="34">
        <f t="shared" ref="E59" si="32">C59/B59</f>
        <v>3.4415914866170234</v>
      </c>
      <c r="F59" s="43">
        <f t="shared" ref="F59" si="33">D59/B59</f>
        <v>4745.4880188194938</v>
      </c>
      <c r="G59" s="43">
        <f t="shared" ref="G59" si="34">F59/E59</f>
        <v>1378.8644112099894</v>
      </c>
      <c r="H59" s="27">
        <v>0.39566836580692449</v>
      </c>
      <c r="I59" s="59">
        <f>(B59/('Consumidores Inadimplentes'!B95*1000000))</f>
        <v>9.1416646226850903E-2</v>
      </c>
    </row>
    <row r="60" spans="1:16" x14ac:dyDescent="0.35">
      <c r="A60" s="5">
        <v>45170</v>
      </c>
      <c r="B60" s="30">
        <v>6570984</v>
      </c>
      <c r="C60" s="30">
        <v>22617561</v>
      </c>
      <c r="D60" s="30">
        <v>31980402586.240837</v>
      </c>
      <c r="E60" s="34">
        <f t="shared" ref="E60" si="35">C60/B60</f>
        <v>3.4420356220620838</v>
      </c>
      <c r="F60" s="43">
        <f t="shared" ref="F60" si="36">D60/B60</f>
        <v>4866.9122594486362</v>
      </c>
      <c r="G60" s="43">
        <f t="shared" ref="G60" si="37">F60/E60</f>
        <v>1413.9633617542067</v>
      </c>
      <c r="H60" s="27">
        <v>0.39618673409715782</v>
      </c>
      <c r="I60" s="59">
        <f>(B60/('Consumidores Inadimplentes'!B96*1000000))</f>
        <v>9.1489660104712267E-2</v>
      </c>
    </row>
    <row r="61" spans="1:16" x14ac:dyDescent="0.35">
      <c r="A61" s="5">
        <v>45200</v>
      </c>
      <c r="B61" s="30">
        <v>6639532</v>
      </c>
      <c r="C61" s="30">
        <v>22766504</v>
      </c>
      <c r="D61" s="30">
        <v>33017886922.760845</v>
      </c>
      <c r="E61" s="34">
        <f t="shared" ref="E61" si="38">C61/B61</f>
        <v>3.4289320391858946</v>
      </c>
      <c r="F61" s="43">
        <f t="shared" ref="F61" si="39">D61/B61</f>
        <v>4972.9238329992004</v>
      </c>
      <c r="G61" s="43">
        <f t="shared" ref="G61" si="40">F61/E61</f>
        <v>1450.2835798926724</v>
      </c>
      <c r="H61" s="27">
        <v>0.40006097744678032</v>
      </c>
      <c r="I61" s="59">
        <f>(B61/('Consumidores Inadimplentes'!B97*1000000))</f>
        <v>9.2276581190755894E-2</v>
      </c>
    </row>
    <row r="62" spans="1:16" x14ac:dyDescent="0.35">
      <c r="A62" s="5">
        <v>45231</v>
      </c>
      <c r="B62" s="30">
        <v>6765999</v>
      </c>
      <c r="C62" s="30">
        <v>23009863</v>
      </c>
      <c r="D62" s="30">
        <v>33279062029.330772</v>
      </c>
      <c r="E62" s="34">
        <f t="shared" ref="E62" si="41">C62/B62</f>
        <v>3.4008079220821639</v>
      </c>
      <c r="F62" s="43">
        <f t="shared" ref="F62" si="42">D62/B62</f>
        <v>4918.5733000153814</v>
      </c>
      <c r="G62" s="43">
        <f t="shared" ref="G62" si="43">F62/E62</f>
        <v>1446.295531152479</v>
      </c>
      <c r="H62" s="27">
        <v>0.40741766410546276</v>
      </c>
      <c r="I62" s="59">
        <f>(B62/('Consumidores Inadimplentes'!B98*1000000))</f>
        <v>9.4222263752191227E-2</v>
      </c>
    </row>
    <row r="63" spans="1:16" ht="15" thickBot="1" x14ac:dyDescent="0.4">
      <c r="A63" s="12">
        <v>45261</v>
      </c>
      <c r="B63" s="31">
        <v>6717194</v>
      </c>
      <c r="C63" s="31">
        <v>22942501</v>
      </c>
      <c r="D63" s="31">
        <v>32294234737.980762</v>
      </c>
      <c r="E63" s="35">
        <f t="shared" ref="E63" si="44">C63/B63</f>
        <v>3.4154888186942345</v>
      </c>
      <c r="F63" s="46">
        <f t="shared" ref="F63" si="45">D63/B63</f>
        <v>4807.6971929023875</v>
      </c>
      <c r="G63" s="46">
        <f t="shared" ref="G63" si="46">F63/E63</f>
        <v>1407.6161416743869</v>
      </c>
      <c r="H63" s="28">
        <v>0.40421741177744913</v>
      </c>
      <c r="I63" s="59">
        <f>(B63/('Consumidores Inadimplentes'!B99*1000000))</f>
        <v>9.4472061640529653E-2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6786437</v>
      </c>
      <c r="C64" s="29">
        <v>23250195</v>
      </c>
      <c r="D64" s="29">
        <v>34031351270.580841</v>
      </c>
      <c r="E64" s="33">
        <f t="shared" ref="E64" si="47">C64/B64</f>
        <v>3.425979641452503</v>
      </c>
      <c r="F64" s="45">
        <f t="shared" ref="F64" si="48">D64/B64</f>
        <v>5014.6124204174948</v>
      </c>
      <c r="G64" s="45">
        <f t="shared" ref="G64" si="49">F64/E64</f>
        <v>1463.701756934978</v>
      </c>
      <c r="H64" s="26">
        <v>0.40812025217152481</v>
      </c>
      <c r="I64" s="59">
        <f>(B64/('Consumidores Inadimplentes'!B100*1000000))</f>
        <v>9.4164761014514042E-2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6903001</v>
      </c>
      <c r="C65" s="30">
        <v>23715477</v>
      </c>
      <c r="D65" s="30">
        <v>34254368465.730911</v>
      </c>
      <c r="E65" s="34">
        <f t="shared" ref="E65:E70" si="50">C65/B65</f>
        <v>3.435531444946915</v>
      </c>
      <c r="F65" s="43">
        <f t="shared" ref="F65:F70" si="51">D65/B65</f>
        <v>4962.2430107906566</v>
      </c>
      <c r="G65" s="43">
        <f t="shared" ref="G65" si="52">F65/E65</f>
        <v>1444.388762061624</v>
      </c>
      <c r="H65" s="27">
        <v>0.41486181071077721</v>
      </c>
      <c r="I65" s="59">
        <f>(B65/('Consumidores Inadimplentes'!B101*1000000))</f>
        <v>9.5822759874708882E-2</v>
      </c>
    </row>
    <row r="66" spans="1:16" x14ac:dyDescent="0.35">
      <c r="A66" s="5">
        <v>45352</v>
      </c>
      <c r="B66" s="30">
        <v>6950036</v>
      </c>
      <c r="C66" s="30">
        <v>24139973</v>
      </c>
      <c r="D66" s="30">
        <v>34906263453.480988</v>
      </c>
      <c r="E66" s="34">
        <f t="shared" si="50"/>
        <v>3.4733594185699181</v>
      </c>
      <c r="F66" s="43">
        <f t="shared" si="51"/>
        <v>5022.4579345317043</v>
      </c>
      <c r="G66" s="43">
        <f t="shared" ref="G66" si="53">F66/E66</f>
        <v>1445.9943038660808</v>
      </c>
      <c r="H66" s="27">
        <v>0.41741857677218791</v>
      </c>
      <c r="I66" s="59">
        <f>(B66/('Consumidores Inadimplentes'!B102*1000000))</f>
        <v>9.5343344076529113E-2</v>
      </c>
    </row>
    <row r="67" spans="1:16" x14ac:dyDescent="0.35">
      <c r="A67" s="5">
        <v>45383</v>
      </c>
      <c r="B67" s="30">
        <v>7043756</v>
      </c>
      <c r="C67" s="30">
        <v>24902916</v>
      </c>
      <c r="D67" s="30">
        <v>35686777466.20092</v>
      </c>
      <c r="E67" s="34">
        <f t="shared" si="50"/>
        <v>3.5354597745861724</v>
      </c>
      <c r="F67" s="43">
        <f t="shared" si="51"/>
        <v>5066.4414647811363</v>
      </c>
      <c r="G67" s="43">
        <f t="shared" ref="G67" si="54">F67/E67</f>
        <v>1433.0360936928398</v>
      </c>
      <c r="H67" s="27">
        <v>0.42277394813181041</v>
      </c>
      <c r="I67" s="59">
        <f>(B67/('Consumidores Inadimplentes'!B103*1000000))</f>
        <v>9.5938119349411322E-2</v>
      </c>
    </row>
    <row r="68" spans="1:16" x14ac:dyDescent="0.35">
      <c r="A68" s="5">
        <v>45413</v>
      </c>
      <c r="B68" s="30">
        <v>6878696</v>
      </c>
      <c r="C68" s="30">
        <v>24481817</v>
      </c>
      <c r="D68" s="30">
        <v>35917288781.960464</v>
      </c>
      <c r="E68" s="34">
        <f t="shared" si="50"/>
        <v>3.5590782031943262</v>
      </c>
      <c r="F68" s="43">
        <f t="shared" si="51"/>
        <v>5221.5258214580881</v>
      </c>
      <c r="G68" s="43">
        <f t="shared" ref="G68" si="55">F68/E68</f>
        <v>1467.1006152019054</v>
      </c>
      <c r="H68" s="27">
        <v>0.41260000173948669</v>
      </c>
      <c r="I68" s="59">
        <f>(B68/('Consumidores Inadimplentes'!B104*1000000))</f>
        <v>9.4832322660647977E-2</v>
      </c>
    </row>
    <row r="69" spans="1:16" x14ac:dyDescent="0.35">
      <c r="A69" s="5">
        <v>45444</v>
      </c>
      <c r="B69" s="30">
        <v>6867886</v>
      </c>
      <c r="C69" s="30">
        <v>24373466</v>
      </c>
      <c r="D69" s="30">
        <v>36251697318.68</v>
      </c>
      <c r="E69" s="34">
        <f t="shared" si="50"/>
        <v>3.5489036946740233</v>
      </c>
      <c r="F69" s="43">
        <f t="shared" si="51"/>
        <v>5278.4360891663027</v>
      </c>
      <c r="G69" s="43">
        <f t="shared" ref="G69" si="56">F69/E69</f>
        <v>1487.3427242018022</v>
      </c>
      <c r="H69" s="27">
        <v>0.41168531949421089</v>
      </c>
      <c r="I69" s="59">
        <f>(B69/('Consumidores Inadimplentes'!B105*1000000))</f>
        <v>9.4727983005837763E-2</v>
      </c>
    </row>
    <row r="70" spans="1:16" x14ac:dyDescent="0.35">
      <c r="A70" s="5">
        <v>45474</v>
      </c>
      <c r="B70" s="30">
        <v>6838396</v>
      </c>
      <c r="C70" s="30">
        <v>23987514</v>
      </c>
      <c r="D70" s="30">
        <v>35448864481.32</v>
      </c>
      <c r="E70" s="34">
        <f t="shared" si="50"/>
        <v>3.5077690733324012</v>
      </c>
      <c r="F70" s="43">
        <f t="shared" si="51"/>
        <v>5183.7981423304527</v>
      </c>
      <c r="G70" s="43">
        <f t="shared" ref="G70" si="57">F70/E70</f>
        <v>1477.8048480271862</v>
      </c>
      <c r="H70" s="27">
        <v>0.40965264988521943</v>
      </c>
      <c r="I70" s="59">
        <f>(B70/('Consumidores Inadimplentes'!B106*1000000))</f>
        <v>9.4109631454280085E-2</v>
      </c>
    </row>
    <row r="71" spans="1:16" x14ac:dyDescent="0.35">
      <c r="A71" s="5">
        <v>45505</v>
      </c>
      <c r="B71" s="30">
        <v>6824601</v>
      </c>
      <c r="C71" s="30">
        <v>23958586</v>
      </c>
      <c r="D71" s="30">
        <v>35475629788.910339</v>
      </c>
      <c r="E71" s="34">
        <f t="shared" ref="E71" si="58">C71/B71</f>
        <v>3.5106207674265497</v>
      </c>
      <c r="F71" s="43">
        <f t="shared" ref="F71" si="59">D71/B71</f>
        <v>5198.1983692395115</v>
      </c>
      <c r="G71" s="43">
        <f t="shared" ref="G71" si="60">F71/E71</f>
        <v>1480.7063233577451</v>
      </c>
      <c r="H71" s="27">
        <v>0.40858610226720771</v>
      </c>
      <c r="I71" s="59">
        <f>(B71/('Consumidores Inadimplentes'!B107*1000000))</f>
        <v>9.4181089981113006E-2</v>
      </c>
    </row>
    <row r="72" spans="1:16" x14ac:dyDescent="0.35">
      <c r="A72" s="5">
        <v>45536</v>
      </c>
      <c r="B72" s="30">
        <v>6883515</v>
      </c>
      <c r="C72" s="30">
        <v>24074477</v>
      </c>
      <c r="D72" s="30">
        <v>35913332779.160332</v>
      </c>
      <c r="E72" s="34">
        <f t="shared" ref="E72" si="61">C72/B72</f>
        <v>3.4974104073282328</v>
      </c>
      <c r="F72" s="43">
        <f t="shared" ref="F72" si="62">D72/B72</f>
        <v>5217.2956373539291</v>
      </c>
      <c r="G72" s="43">
        <f t="shared" ref="G72" si="63">F72/E72</f>
        <v>1491.7596248990303</v>
      </c>
      <c r="H72" s="27">
        <v>0.411871161883413</v>
      </c>
      <c r="I72" s="59">
        <f>(B72/('Consumidores Inadimplentes'!B108*1000000))</f>
        <v>9.4759533220526118E-2</v>
      </c>
    </row>
    <row r="73" spans="1:16" x14ac:dyDescent="0.35">
      <c r="A73" s="5">
        <v>45566</v>
      </c>
      <c r="B73" s="30">
        <v>6971707</v>
      </c>
      <c r="C73" s="30">
        <v>24647277</v>
      </c>
      <c r="D73" s="30">
        <v>36732149291.020615</v>
      </c>
      <c r="E73" s="34">
        <f t="shared" ref="E73" si="64">C73/B73</f>
        <v>3.5353288656565747</v>
      </c>
      <c r="F73" s="43">
        <f t="shared" ref="F73" si="65">D73/B73</f>
        <v>5268.7454150067715</v>
      </c>
      <c r="G73" s="43">
        <f t="shared" ref="G73" si="66">F73/E73</f>
        <v>1490.3126739323218</v>
      </c>
      <c r="H73" s="27">
        <v>0.41690301831454429</v>
      </c>
      <c r="I73" s="59">
        <f>(B73/('Consumidores Inadimplentes'!B109*1000000))</f>
        <v>9.5366983389005164E-2</v>
      </c>
    </row>
    <row r="74" spans="1:16" x14ac:dyDescent="0.35">
      <c r="A74" s="5">
        <v>45597</v>
      </c>
      <c r="B74" s="30">
        <v>7050978</v>
      </c>
      <c r="C74" s="30">
        <v>24930400</v>
      </c>
      <c r="D74" s="30">
        <v>37531643330.200531</v>
      </c>
      <c r="E74" s="34">
        <f t="shared" ref="E74" si="67">C74/B74</f>
        <v>3.5357364609561963</v>
      </c>
      <c r="F74" s="43">
        <f t="shared" ref="F74" si="68">D74/B74</f>
        <v>5322.8989411398716</v>
      </c>
      <c r="G74" s="43">
        <f t="shared" ref="G74" si="69">F74/E74</f>
        <v>1505.4569252880231</v>
      </c>
      <c r="H74" s="27">
        <v>0.42139568407237676</v>
      </c>
      <c r="I74" s="59">
        <f>(B74/('Consumidores Inadimplentes'!B110*1000000))</f>
        <v>9.555621684235685E-2</v>
      </c>
    </row>
    <row r="75" spans="1:16" ht="15" thickBot="1" x14ac:dyDescent="0.4">
      <c r="A75" s="12">
        <v>45627</v>
      </c>
      <c r="B75" s="31">
        <v>7059204</v>
      </c>
      <c r="C75" s="31">
        <v>24850297</v>
      </c>
      <c r="D75" s="31">
        <v>36933585266.980751</v>
      </c>
      <c r="E75" s="35">
        <f t="shared" ref="E75" si="70">C75/B75</f>
        <v>3.5202689991676115</v>
      </c>
      <c r="F75" s="46">
        <f t="shared" ref="F75" si="71">D75/B75</f>
        <v>5231.9759093207604</v>
      </c>
      <c r="G75" s="46">
        <f t="shared" ref="G75" si="72">F75/E75</f>
        <v>1486.2432133901962</v>
      </c>
      <c r="H75" s="28">
        <v>0.42163947253285472</v>
      </c>
      <c r="I75" s="59">
        <f>(B75/('Consumidores Inadimplentes'!B111*1000000))</f>
        <v>9.6027584626301482E-2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7136874</v>
      </c>
      <c r="C76" s="29">
        <v>25401143</v>
      </c>
      <c r="D76" s="29">
        <v>38279740777.650566</v>
      </c>
      <c r="E76" s="33">
        <f t="shared" ref="E76:E77" si="73">C76/B76</f>
        <v>3.5591412991177931</v>
      </c>
      <c r="F76" s="45">
        <f t="shared" ref="F76:F77" si="74">D76/B76</f>
        <v>5363.6565221202682</v>
      </c>
      <c r="G76" s="45">
        <f t="shared" ref="G76:G77" si="75">F76/E76</f>
        <v>1507.0085931822268</v>
      </c>
      <c r="H76" s="26">
        <v>0.42602821040637495</v>
      </c>
      <c r="I76" s="59">
        <f>(B76/('Consumidores Inadimplentes'!B112*1000000))</f>
        <v>9.5664815452114915E-2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7189426</v>
      </c>
      <c r="C77" s="30">
        <v>25899092</v>
      </c>
      <c r="D77" s="30">
        <v>39961588670.500648</v>
      </c>
      <c r="E77" s="34">
        <f t="shared" si="73"/>
        <v>3.6023866161220659</v>
      </c>
      <c r="F77" s="43">
        <f t="shared" si="74"/>
        <v>5558.3837528198565</v>
      </c>
      <c r="G77" s="43">
        <f t="shared" si="75"/>
        <v>1542.9725748879787</v>
      </c>
      <c r="H77" s="27">
        <v>0.42891312908875889</v>
      </c>
      <c r="I77" s="59">
        <f>(B77/('Consumidores Inadimplentes'!B113*1000000))</f>
        <v>9.5854684535779694E-2</v>
      </c>
    </row>
    <row r="78" spans="1:16" x14ac:dyDescent="0.35">
      <c r="A78" s="5">
        <v>45717</v>
      </c>
      <c r="B78" s="30">
        <v>7248701</v>
      </c>
      <c r="C78" s="30">
        <v>26008470</v>
      </c>
      <c r="D78" s="30">
        <v>39920443481.810394</v>
      </c>
      <c r="E78" s="34">
        <f t="shared" ref="E78" si="76">C78/B78</f>
        <v>3.5880180462678761</v>
      </c>
      <c r="F78" s="43">
        <f t="shared" ref="F78" si="77">D78/B78</f>
        <v>5507.2548145951105</v>
      </c>
      <c r="G78" s="43">
        <f t="shared" ref="G78" si="78">F78/E78</f>
        <v>1534.9016486479363</v>
      </c>
      <c r="H78" s="27">
        <v>0.43219538255102385</v>
      </c>
      <c r="I78" s="59">
        <f>(B78/('Consumidores Inadimplentes'!B114*1000000))</f>
        <v>9.5667755947968058E-2</v>
      </c>
    </row>
    <row r="79" spans="1:16" x14ac:dyDescent="0.35">
      <c r="A79" s="5">
        <v>45748</v>
      </c>
      <c r="B79" s="30">
        <v>7225739</v>
      </c>
      <c r="C79" s="30">
        <v>26338552</v>
      </c>
      <c r="D79" s="30">
        <v>41328656491</v>
      </c>
      <c r="E79" s="34">
        <f t="shared" ref="E79" si="79">C79/B79</f>
        <v>3.6451014906572188</v>
      </c>
      <c r="F79" s="43">
        <f t="shared" ref="F79" si="80">D79/B79</f>
        <v>5719.6442455228453</v>
      </c>
      <c r="G79" s="43">
        <f t="shared" ref="G79" si="81">F79/E79</f>
        <v>1569.1316854092813</v>
      </c>
      <c r="H79" s="27">
        <v>0.43057322115619817</v>
      </c>
      <c r="I79" s="59">
        <f>(B79/('Consumidores Inadimplentes'!B115*1000000))</f>
        <v>9.4283370332346267E-2</v>
      </c>
    </row>
    <row r="80" spans="1:16" x14ac:dyDescent="0.35">
      <c r="A80" s="5">
        <v>45778</v>
      </c>
      <c r="B80" s="30">
        <v>7335765</v>
      </c>
      <c r="C80" s="30">
        <v>26872853</v>
      </c>
      <c r="D80" s="30">
        <v>42377289778</v>
      </c>
      <c r="E80" s="34">
        <f t="shared" ref="E80" si="82">C80/B80</f>
        <v>3.6632652490912672</v>
      </c>
      <c r="F80" s="43">
        <f t="shared" ref="F80" si="83">D80/B80</f>
        <v>5776.8057970777418</v>
      </c>
      <c r="G80" s="43">
        <f t="shared" ref="G80" si="84">F80/E80</f>
        <v>1576.955367485544</v>
      </c>
      <c r="H80" s="27">
        <v>0.43687275322086361</v>
      </c>
      <c r="I80" s="59">
        <f>(B80/('Consumidores Inadimplentes'!B116*1000000))</f>
        <v>9.5180329425832474E-2</v>
      </c>
    </row>
    <row r="81" spans="1:16" x14ac:dyDescent="0.35">
      <c r="A81" s="5">
        <v>45809</v>
      </c>
      <c r="B81" s="30">
        <v>7481750</v>
      </c>
      <c r="C81" s="30">
        <v>27534239</v>
      </c>
      <c r="D81" s="30">
        <v>43719376356</v>
      </c>
      <c r="E81" s="34">
        <f t="shared" ref="E81" si="85">C81/B81</f>
        <v>3.6801869883382898</v>
      </c>
      <c r="F81" s="43">
        <f t="shared" ref="F81" si="86">D81/B81</f>
        <v>5843.4692894042173</v>
      </c>
      <c r="G81" s="43">
        <f t="shared" ref="G81" si="87">F81/E81</f>
        <v>1587.8185831102869</v>
      </c>
      <c r="H81" s="27">
        <v>0.44530496761372423</v>
      </c>
      <c r="I81" s="59">
        <f>(B81/('Consumidores Inadimplentes'!B117*1000000))</f>
        <v>9.6074330989492474E-2</v>
      </c>
    </row>
    <row r="82" spans="1:16" x14ac:dyDescent="0.35">
      <c r="A82" s="5">
        <v>45839</v>
      </c>
      <c r="B82" s="30">
        <v>7497633</v>
      </c>
      <c r="C82" s="30">
        <v>27792156</v>
      </c>
      <c r="D82" s="30">
        <v>44326490127</v>
      </c>
      <c r="E82" s="34">
        <f t="shared" ref="E82" si="88">C82/B82</f>
        <v>3.706790663133285</v>
      </c>
      <c r="F82" s="43">
        <f t="shared" ref="F82" si="89">D82/B82</f>
        <v>5912.0645311660364</v>
      </c>
      <c r="G82" s="43">
        <f t="shared" ref="G82" si="90">F82/E82</f>
        <v>1594.9280842767291</v>
      </c>
      <c r="H82" s="27">
        <v>0.44598814974443057</v>
      </c>
      <c r="I82" s="59">
        <f>(B82/('Consumidores Inadimplentes'!B118*1000000))</f>
        <v>9.5925272883209234E-2</v>
      </c>
    </row>
    <row r="83" spans="1:16" x14ac:dyDescent="0.35">
      <c r="A83" s="5">
        <v>45870</v>
      </c>
      <c r="B83" s="30">
        <v>7614121</v>
      </c>
      <c r="C83" s="30">
        <v>28374765</v>
      </c>
      <c r="D83" s="30">
        <v>45380949496</v>
      </c>
      <c r="E83" s="34">
        <f t="shared" ref="E83" si="91">C83/B83</f>
        <v>3.726597594128068</v>
      </c>
      <c r="F83" s="43">
        <f t="shared" ref="F83" si="92">D83/B83</f>
        <v>5960.1035360483502</v>
      </c>
      <c r="G83" s="43">
        <f t="shared" ref="G83" si="93">F83/E83</f>
        <v>1599.3418622497843</v>
      </c>
      <c r="H83" s="27">
        <v>0.45266551783957726</v>
      </c>
      <c r="I83" s="59">
        <f>(B83/('Consumidores Inadimplentes'!B119*1000000))</f>
        <v>9.6566045997656558E-2</v>
      </c>
    </row>
    <row r="84" spans="1:16" x14ac:dyDescent="0.35">
      <c r="A84" s="5">
        <v>45901</v>
      </c>
      <c r="B84" s="30">
        <v>7588361</v>
      </c>
      <c r="C84" s="30">
        <v>28240028</v>
      </c>
      <c r="D84" s="30">
        <v>45654220486</v>
      </c>
      <c r="E84" s="34">
        <f>IFERROR(C84/B84,"")</f>
        <v>3.7214924276797059</v>
      </c>
      <c r="F84" s="43">
        <f>IFERROR(D84/B84,"")</f>
        <v>6016.3479947777923</v>
      </c>
      <c r="G84" s="43">
        <f>IFERROR(F84/E84,"")</f>
        <v>1616.6492641579534</v>
      </c>
      <c r="H84" s="27">
        <v>0.45088324764998389</v>
      </c>
      <c r="I84" s="59">
        <f>(B84/('Consumidores Inadimplentes'!B120*1000000))</f>
        <v>9.5852635579553452E-2</v>
      </c>
    </row>
    <row r="85" spans="1:16" x14ac:dyDescent="0.35">
      <c r="A85" s="5">
        <v>45931</v>
      </c>
      <c r="B85" s="30">
        <v>7752156</v>
      </c>
      <c r="C85" s="30">
        <v>28955347</v>
      </c>
      <c r="D85" s="30">
        <v>46849411903</v>
      </c>
      <c r="E85" s="34">
        <f t="shared" ref="E85:E87" si="94">IFERROR(C85/B85,"")</f>
        <v>3.7351347160712454</v>
      </c>
      <c r="F85" s="43">
        <f t="shared" ref="F85:F87" si="95">IFERROR(D85/B85,"")</f>
        <v>6043.4041707881006</v>
      </c>
      <c r="G85" s="43">
        <f t="shared" ref="G85:G87" si="96">IFERROR(F85/E85,"")</f>
        <v>1617.9882735648098</v>
      </c>
      <c r="H85" s="27">
        <v>0.46035949243418084</v>
      </c>
      <c r="I85" s="59">
        <f>(B85/('Consumidores Inadimplentes'!B121*1000000))</f>
        <v>9.6376059574522679E-2</v>
      </c>
    </row>
    <row r="86" spans="1:16" x14ac:dyDescent="0.35">
      <c r="A86" s="5">
        <v>45962</v>
      </c>
      <c r="B86" s="30">
        <v>7677218</v>
      </c>
      <c r="C86" s="30">
        <v>28706272</v>
      </c>
      <c r="D86" s="30">
        <v>47279919055</v>
      </c>
      <c r="E86" s="34">
        <f t="shared" si="94"/>
        <v>3.7391503015805987</v>
      </c>
      <c r="F86" s="43">
        <f t="shared" si="95"/>
        <v>6158.4703020026263</v>
      </c>
      <c r="G86" s="43">
        <f t="shared" si="96"/>
        <v>1647.0240041967133</v>
      </c>
      <c r="H86" s="27">
        <v>0.45565585991101992</v>
      </c>
      <c r="I86" s="59">
        <f>(B86/('Consumidores Inadimplentes'!B122*1000000))</f>
        <v>9.5239185734411216E-2</v>
      </c>
    </row>
    <row r="87" spans="1:16" ht="15" thickBot="1" x14ac:dyDescent="0.4">
      <c r="A87" s="12">
        <v>45992</v>
      </c>
      <c r="B87" s="31">
        <v>7761658</v>
      </c>
      <c r="C87" s="31">
        <v>29233455</v>
      </c>
      <c r="D87" s="31">
        <v>48124533027</v>
      </c>
      <c r="E87" s="35">
        <f t="shared" si="94"/>
        <v>3.7663930825089174</v>
      </c>
      <c r="F87" s="46">
        <f t="shared" si="95"/>
        <v>6200.2903280458895</v>
      </c>
      <c r="G87" s="46">
        <f t="shared" si="96"/>
        <v>1646.2143467817953</v>
      </c>
      <c r="H87" s="28">
        <v>0.46041141547928438</v>
      </c>
      <c r="I87" s="59">
        <f>(B87/('Consumidores Inadimplentes'!B123*1000000))</f>
        <v>9.5530431167697688E-2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7815374</v>
      </c>
      <c r="C88" s="29">
        <v>29619977</v>
      </c>
      <c r="D88" s="29">
        <v>49641692369</v>
      </c>
      <c r="E88" s="33">
        <f t="shared" ref="E88:E89" si="97">IFERROR(C88/B88,"")</f>
        <v>3.7899628347920395</v>
      </c>
      <c r="F88" s="45">
        <f t="shared" ref="F88:F89" si="98">IFERROR(D88/B88,"")</f>
        <v>6351.7999738720118</v>
      </c>
      <c r="G88" s="45">
        <f t="shared" ref="G88:G89" si="99">IFERROR(F88/E88,"")</f>
        <v>1675.9531031708768</v>
      </c>
      <c r="H88" s="26">
        <v>0.46334005415987423</v>
      </c>
      <c r="I88" s="59">
        <f>(B88/('Consumidores Inadimplentes'!B124*1000000))</f>
        <v>9.610720737220016E-2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7809418</v>
      </c>
      <c r="C89" s="30">
        <v>29875580</v>
      </c>
      <c r="D89" s="30">
        <v>51084931540</v>
      </c>
      <c r="E89" s="34">
        <f t="shared" si="97"/>
        <v>3.8255834173558134</v>
      </c>
      <c r="F89" s="43">
        <f t="shared" si="98"/>
        <v>6541.4518136946954</v>
      </c>
      <c r="G89" s="43">
        <f t="shared" si="99"/>
        <v>1709.9226706226289</v>
      </c>
      <c r="H89" s="27">
        <v>0.46272954221557433</v>
      </c>
      <c r="I89" s="59">
        <f>(B89/('Consumidores Inadimplentes'!B125*1000000))</f>
        <v>9.5549185461405312E-2</v>
      </c>
    </row>
    <row r="90" spans="1:16" x14ac:dyDescent="0.35">
      <c r="A90" s="5">
        <v>46082</v>
      </c>
      <c r="B90" s="30">
        <v>7871386</v>
      </c>
      <c r="C90" s="30">
        <v>30129307</v>
      </c>
      <c r="D90" s="30">
        <v>52657958198</v>
      </c>
      <c r="E90" s="34">
        <f t="shared" ref="E90" si="100">IFERROR(C90/B90,"")</f>
        <v>3.8277003567097334</v>
      </c>
      <c r="F90" s="43">
        <f t="shared" ref="F90" si="101">IFERROR(D90/B90,"")</f>
        <v>6689.7949354789616</v>
      </c>
      <c r="G90" s="43">
        <f t="shared" ref="G90" si="102">IFERROR(F90/E90,"")</f>
        <v>1747.732139939362</v>
      </c>
      <c r="H90" s="27">
        <v>0.46614201859028415</v>
      </c>
      <c r="I90" s="59">
        <f>(B90/('Consumidores Inadimplentes'!B126*1000000))</f>
        <v>9.5027759095159897E-2</v>
      </c>
    </row>
    <row r="91" spans="1:16" x14ac:dyDescent="0.35">
      <c r="A91" s="5">
        <v>46113</v>
      </c>
      <c r="B91" s="30">
        <v>7892843</v>
      </c>
      <c r="C91" s="30">
        <v>30394619</v>
      </c>
      <c r="D91" s="30">
        <v>53659326485</v>
      </c>
      <c r="E91" s="34">
        <f t="shared" ref="E91" si="103">IFERROR(C91/B91,"")</f>
        <v>3.8509088550222019</v>
      </c>
      <c r="F91" s="43">
        <f t="shared" ref="F91" si="104">IFERROR(D91/B91,"")</f>
        <v>6798.4788858716684</v>
      </c>
      <c r="G91" s="43">
        <f t="shared" ref="G91" si="105">IFERROR(F91/E91,"")</f>
        <v>1765.4219151422822</v>
      </c>
      <c r="H91" s="27">
        <v>0.46715284357798254</v>
      </c>
      <c r="I91" s="59">
        <f>(B91/('Consumidores Inadimplentes'!B127*1000000))</f>
        <v>9.4650671276440723E-2</v>
      </c>
    </row>
    <row r="92" spans="1:16" x14ac:dyDescent="0.35">
      <c r="A92" s="5">
        <v>46143</v>
      </c>
      <c r="B92" s="30">
        <v>8044856</v>
      </c>
      <c r="C92" s="30">
        <v>31122992</v>
      </c>
      <c r="D92" s="30">
        <v>54406028629</v>
      </c>
      <c r="E92" s="34">
        <f t="shared" ref="E92" si="106">IFERROR(C92/B92,"")</f>
        <v>3.8686822983531339</v>
      </c>
      <c r="F92" s="43">
        <f t="shared" ref="F92" si="107">IFERROR(D92/B92,"")</f>
        <v>6762.8343663329706</v>
      </c>
      <c r="G92" s="43">
        <f t="shared" ref="G92" si="108">IFERROR(F92/E92,"")</f>
        <v>1748.0976324191452</v>
      </c>
      <c r="H92" s="27">
        <v>0.47588531485094587</v>
      </c>
      <c r="I92" s="59">
        <f>(B92/('Consumidores Inadimplentes'!B128*1000000))</f>
        <v>9.6342297123621398E-2</v>
      </c>
    </row>
    <row r="93" spans="1:16" x14ac:dyDescent="0.35">
      <c r="A93" s="5">
        <v>46174</v>
      </c>
      <c r="B93" s="30">
        <v>8052712</v>
      </c>
      <c r="C93" s="30">
        <v>31314017</v>
      </c>
      <c r="D93" s="30">
        <v>54933934893</v>
      </c>
      <c r="E93" s="34">
        <f t="shared" ref="E93" si="109">IFERROR(C93/B93,"")</f>
        <v>3.8886299423101187</v>
      </c>
      <c r="F93" s="43">
        <f t="shared" ref="F93" si="110">IFERROR(D93/B93,"")</f>
        <v>6821.7930671058393</v>
      </c>
      <c r="G93" s="43">
        <f t="shared" ref="G93" si="111">IFERROR(F93/E93,"")</f>
        <v>1754.2921718730624</v>
      </c>
      <c r="H93" s="27">
        <v>0.47608518995757176</v>
      </c>
      <c r="I93" s="59">
        <f>(B93/('Consumidores Inadimplentes'!B129*1000000))</f>
        <v>9.6166031426291418E-2</v>
      </c>
    </row>
    <row r="94" spans="1:16" x14ac:dyDescent="0.35">
      <c r="A94" s="5">
        <v>46204</v>
      </c>
      <c r="B94" s="30">
        <v>8029854</v>
      </c>
      <c r="C94" s="30">
        <v>31356127</v>
      </c>
      <c r="D94" s="30">
        <v>55645586468</v>
      </c>
      <c r="E94" s="34">
        <f t="shared" ref="E94" si="112">IFERROR(C94/B94,"")</f>
        <v>3.9049436017143027</v>
      </c>
      <c r="F94" s="43">
        <f t="shared" ref="F94" si="113">IFERROR(D94/B94,"")</f>
        <v>6929.8378859690347</v>
      </c>
      <c r="G94" s="43">
        <f t="shared" ref="G94" si="114">IFERROR(F94/E94,"")</f>
        <v>1774.6320031169664</v>
      </c>
      <c r="H94" s="27">
        <v>0.47446986630224197</v>
      </c>
      <c r="I94" s="59">
        <f>(B94/('Consumidores Inadimplentes'!B130*1000000))</f>
        <v>9.5671041379037716E-2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7DD1F-E93A-4D39-A3A6-D06649D8BA13}">
  <sheetPr codeName="Planilha15"/>
  <dimension ref="A1:P99"/>
  <sheetViews>
    <sheetView zoomScale="90" zoomScaleNormal="90" workbookViewId="0">
      <pane xSplit="1" ySplit="3" topLeftCell="B84" activePane="bottomRight" state="frozen"/>
      <selection activeCell="H93" sqref="H93"/>
      <selection pane="topRight" activeCell="H93" sqref="H93"/>
      <selection pane="bottomLeft" activeCell="H93" sqref="H93"/>
      <selection pane="bottomRight" activeCell="I1" sqref="I1:I104857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31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761304</v>
      </c>
      <c r="C4" s="29">
        <v>2518227</v>
      </c>
      <c r="D4" s="29">
        <v>3216481573.7600093</v>
      </c>
      <c r="E4" s="33">
        <f t="shared" ref="E4:E33" si="0">C4/B4</f>
        <v>3.3077811229154186</v>
      </c>
      <c r="F4" s="45">
        <f>D4/B4</f>
        <v>4224.9634492397381</v>
      </c>
      <c r="G4" s="45">
        <f t="shared" ref="G4" si="1">F4/E4</f>
        <v>1277.2802347683548</v>
      </c>
      <c r="H4" s="26">
        <v>0.3853264633257486</v>
      </c>
      <c r="I4" s="58">
        <f>(B4/('Consumidores Inadimplentes'!B40*1000000))</f>
        <v>1.2244262046160319E-2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762367</v>
      </c>
      <c r="C5" s="30">
        <v>2505805</v>
      </c>
      <c r="D5" s="30">
        <v>3225784066.8700137</v>
      </c>
      <c r="E5" s="34">
        <f t="shared" si="0"/>
        <v>3.2868749565497981</v>
      </c>
      <c r="F5" s="43">
        <f t="shared" ref="F5:F45" si="2">D5/B5</f>
        <v>4231.2745264026562</v>
      </c>
      <c r="G5" s="43">
        <f t="shared" ref="G5:G45" si="3">F5/E5</f>
        <v>1287.3244593533871</v>
      </c>
      <c r="H5" s="27">
        <v>0.38527748328980288</v>
      </c>
      <c r="I5" s="59">
        <f>(B5/('Consumidores Inadimplentes'!B41*1000000))</f>
        <v>1.2262046055658685E-2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784637</v>
      </c>
      <c r="C6" s="30">
        <v>2542320</v>
      </c>
      <c r="D6" s="30">
        <v>3272816335.7600083</v>
      </c>
      <c r="E6" s="34">
        <f t="shared" si="0"/>
        <v>3.2401225025075289</v>
      </c>
      <c r="F6" s="43">
        <f t="shared" si="2"/>
        <v>4171.1215960501586</v>
      </c>
      <c r="G6" s="43">
        <f t="shared" si="3"/>
        <v>1287.334535290604</v>
      </c>
      <c r="H6" s="27">
        <v>0.39585352505250054</v>
      </c>
      <c r="I6" s="59">
        <f>(B6/('Consumidores Inadimplentes'!B42*1000000))</f>
        <v>1.2462452200466516E-2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801406</v>
      </c>
      <c r="C7" s="30">
        <v>2553089</v>
      </c>
      <c r="D7" s="30">
        <v>3221120702.9900031</v>
      </c>
      <c r="E7" s="34">
        <f t="shared" si="0"/>
        <v>3.1857622728055444</v>
      </c>
      <c r="F7" s="43">
        <f t="shared" si="2"/>
        <v>4019.3368941460421</v>
      </c>
      <c r="G7" s="43">
        <f t="shared" si="3"/>
        <v>1261.6562536558667</v>
      </c>
      <c r="H7" s="27">
        <v>0.40338376564863387</v>
      </c>
      <c r="I7" s="59">
        <f>(B7/('Consumidores Inadimplentes'!B43*1000000))</f>
        <v>1.267939051540593E-2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792198</v>
      </c>
      <c r="C8" s="30">
        <v>2520169</v>
      </c>
      <c r="D8" s="30">
        <v>3204325617.9300108</v>
      </c>
      <c r="E8" s="34">
        <f t="shared" si="0"/>
        <v>3.1812362565924177</v>
      </c>
      <c r="F8" s="43">
        <f t="shared" si="2"/>
        <v>4044.8544655881619</v>
      </c>
      <c r="G8" s="43">
        <f t="shared" si="3"/>
        <v>1271.4725155059089</v>
      </c>
      <c r="H8" s="27">
        <v>0.39634929674795522</v>
      </c>
      <c r="I8" s="59">
        <f>(B8/('Consumidores Inadimplentes'!B44*1000000))</f>
        <v>1.2500240829850197E-2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780067</v>
      </c>
      <c r="C9" s="30">
        <v>2477597</v>
      </c>
      <c r="D9" s="30">
        <v>3212113384.5200129</v>
      </c>
      <c r="E9" s="34">
        <f t="shared" si="0"/>
        <v>3.1761335885250883</v>
      </c>
      <c r="F9" s="43">
        <f t="shared" si="2"/>
        <v>4117.7403793776857</v>
      </c>
      <c r="G9" s="43">
        <f t="shared" si="3"/>
        <v>1296.4632200152055</v>
      </c>
      <c r="H9" s="27">
        <v>0.39193193719378361</v>
      </c>
      <c r="I9" s="59">
        <f>(B9/('Consumidores Inadimplentes'!B45*1000000))</f>
        <v>1.2294087582901724E-2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776283</v>
      </c>
      <c r="C10" s="30">
        <v>2462210</v>
      </c>
      <c r="D10" s="30">
        <v>3182439141.79001</v>
      </c>
      <c r="E10" s="34">
        <f t="shared" si="0"/>
        <v>3.1717943069731014</v>
      </c>
      <c r="F10" s="43">
        <f t="shared" si="2"/>
        <v>4099.58628720455</v>
      </c>
      <c r="G10" s="43">
        <f t="shared" si="3"/>
        <v>1292.513287570926</v>
      </c>
      <c r="H10" s="27">
        <v>0.38932101526850255</v>
      </c>
      <c r="I10" s="59">
        <f>(B10/('Consumidores Inadimplentes'!B46*1000000))</f>
        <v>1.2231985544794913E-2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773961</v>
      </c>
      <c r="C11" s="30">
        <v>2447710</v>
      </c>
      <c r="D11" s="30">
        <v>3206876541.0600142</v>
      </c>
      <c r="E11" s="34">
        <f t="shared" si="0"/>
        <v>3.1625753752450061</v>
      </c>
      <c r="F11" s="43">
        <f t="shared" si="2"/>
        <v>4143.4601240372758</v>
      </c>
      <c r="G11" s="43">
        <f t="shared" si="3"/>
        <v>1310.1537931617772</v>
      </c>
      <c r="H11" s="27">
        <v>0.38723878827177727</v>
      </c>
      <c r="I11" s="59">
        <f>(B11/('Consumidores Inadimplentes'!B47*1000000))</f>
        <v>1.2202209502660965E-2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772633</v>
      </c>
      <c r="C12" s="30">
        <v>2409143</v>
      </c>
      <c r="D12" s="30">
        <v>3190331793.4900093</v>
      </c>
      <c r="E12" s="34">
        <f t="shared" si="0"/>
        <v>3.1180948781633711</v>
      </c>
      <c r="F12" s="43">
        <f t="shared" si="2"/>
        <v>4129.1684324770094</v>
      </c>
      <c r="G12" s="43">
        <f t="shared" si="3"/>
        <v>1324.2600349958509</v>
      </c>
      <c r="H12" s="27">
        <v>0.38609758267062577</v>
      </c>
      <c r="I12" s="59">
        <f>(B12/('Consumidores Inadimplentes'!B48*1000000))</f>
        <v>1.2223927406072362E-2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782363</v>
      </c>
      <c r="C13" s="30">
        <v>2435064</v>
      </c>
      <c r="D13" s="30">
        <v>3211562204.9800057</v>
      </c>
      <c r="E13" s="34">
        <f t="shared" si="0"/>
        <v>3.1124478023628419</v>
      </c>
      <c r="F13" s="43">
        <f t="shared" si="2"/>
        <v>4104.9515442064694</v>
      </c>
      <c r="G13" s="43">
        <f t="shared" si="3"/>
        <v>1318.8820519624971</v>
      </c>
      <c r="H13" s="27">
        <v>0.39047746912317094</v>
      </c>
      <c r="I13" s="59">
        <f>(B13/('Consumidores Inadimplentes'!B49*1000000))</f>
        <v>1.2252869592073222E-2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783356</v>
      </c>
      <c r="C14" s="30">
        <v>2423812</v>
      </c>
      <c r="D14" s="30">
        <v>3268468115.330008</v>
      </c>
      <c r="E14" s="34">
        <f t="shared" si="0"/>
        <v>3.0941385525865637</v>
      </c>
      <c r="F14" s="43">
        <f t="shared" si="2"/>
        <v>4172.3917546173234</v>
      </c>
      <c r="G14" s="43">
        <f t="shared" si="3"/>
        <v>1348.4825206451687</v>
      </c>
      <c r="H14" s="27">
        <v>0.39049071298716254</v>
      </c>
      <c r="I14" s="59">
        <f>(B14/('Consumidores Inadimplentes'!B50*1000000))</f>
        <v>1.2270427979726122E-2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792751</v>
      </c>
      <c r="C15" s="31">
        <v>2425216</v>
      </c>
      <c r="D15" s="31">
        <v>3357438442.7300105</v>
      </c>
      <c r="E15" s="35">
        <f t="shared" si="0"/>
        <v>3.0592405433736443</v>
      </c>
      <c r="F15" s="43">
        <f t="shared" si="2"/>
        <v>4235.1740240378258</v>
      </c>
      <c r="G15" s="43">
        <f t="shared" si="3"/>
        <v>1384.3873876512487</v>
      </c>
      <c r="H15" s="27">
        <v>0.3946864393826619</v>
      </c>
      <c r="I15" s="59">
        <f>(B15/('Consumidores Inadimplentes'!B51*1000000))</f>
        <v>1.2522259858544372E-2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803242</v>
      </c>
      <c r="C16" s="29">
        <v>2445063</v>
      </c>
      <c r="D16" s="29">
        <v>3447289281.789999</v>
      </c>
      <c r="E16" s="33">
        <f t="shared" si="0"/>
        <v>3.0439929684951732</v>
      </c>
      <c r="F16" s="45">
        <f t="shared" si="2"/>
        <v>4291.7194093311846</v>
      </c>
      <c r="G16" s="45">
        <f t="shared" si="3"/>
        <v>1409.8979379222537</v>
      </c>
      <c r="H16" s="26">
        <v>0.3994162224520646</v>
      </c>
      <c r="I16" s="59">
        <f>(B16/('Consumidores Inadimplentes'!B52*1000000))</f>
        <v>1.2593481959588827E-2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811188</v>
      </c>
      <c r="C17" s="30">
        <v>2452005</v>
      </c>
      <c r="D17" s="30">
        <v>3461863734.9600015</v>
      </c>
      <c r="E17" s="34">
        <f t="shared" si="0"/>
        <v>3.0227333244574623</v>
      </c>
      <c r="F17" s="43">
        <f t="shared" si="2"/>
        <v>4267.6466305714603</v>
      </c>
      <c r="G17" s="43">
        <f t="shared" si="3"/>
        <v>1411.8501940085773</v>
      </c>
      <c r="H17" s="27">
        <v>0.4028697944499296</v>
      </c>
      <c r="I17" s="59">
        <f>(B17/('Consumidores Inadimplentes'!B53*1000000))</f>
        <v>1.269669545299911E-2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820027</v>
      </c>
      <c r="C18" s="30">
        <v>2474353</v>
      </c>
      <c r="D18" s="30">
        <v>3575313379.7699876</v>
      </c>
      <c r="E18" s="34">
        <f t="shared" si="0"/>
        <v>3.017404304980202</v>
      </c>
      <c r="F18" s="43">
        <f t="shared" si="2"/>
        <v>4359.9947072108453</v>
      </c>
      <c r="G18" s="43">
        <f t="shared" si="3"/>
        <v>1444.9487925813285</v>
      </c>
      <c r="H18" s="27">
        <v>0.40675720519382086</v>
      </c>
      <c r="I18" s="59">
        <f>(B18/('Consumidores Inadimplentes'!B54*1000000))</f>
        <v>1.2652268704664037E-2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828426</v>
      </c>
      <c r="C19" s="30">
        <v>2502573</v>
      </c>
      <c r="D19" s="30">
        <v>3602651527.5299926</v>
      </c>
      <c r="E19" s="34">
        <f t="shared" si="0"/>
        <v>3.020876940125008</v>
      </c>
      <c r="F19" s="43">
        <f t="shared" si="2"/>
        <v>4348.7909934381496</v>
      </c>
      <c r="G19" s="43">
        <f t="shared" si="3"/>
        <v>1439.5789963089958</v>
      </c>
      <c r="H19" s="27">
        <v>0.41041644269683297</v>
      </c>
      <c r="I19" s="59">
        <f>(B19/('Consumidores Inadimplentes'!B55*1000000))</f>
        <v>1.256931340019723E-2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814140</v>
      </c>
      <c r="C20" s="30">
        <v>2451650</v>
      </c>
      <c r="D20" s="30">
        <v>3543836163.0799994</v>
      </c>
      <c r="E20" s="34">
        <f t="shared" si="0"/>
        <v>3.0113371164664553</v>
      </c>
      <c r="F20" s="43">
        <f t="shared" si="2"/>
        <v>4352.8584310806491</v>
      </c>
      <c r="G20" s="43">
        <f t="shared" si="3"/>
        <v>1445.4902466012684</v>
      </c>
      <c r="H20" s="27">
        <v>0.40284137409611309</v>
      </c>
      <c r="I20" s="59">
        <f>(B20/('Consumidores Inadimplentes'!B56*1000000))</f>
        <v>1.2480695232395577E-2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797932</v>
      </c>
      <c r="C21" s="30">
        <v>2409962</v>
      </c>
      <c r="D21" s="30">
        <v>3507276447.2299938</v>
      </c>
      <c r="E21" s="34">
        <f t="shared" si="0"/>
        <v>3.0202598717685216</v>
      </c>
      <c r="F21" s="43">
        <f t="shared" si="2"/>
        <v>4395.4578174957187</v>
      </c>
      <c r="G21" s="43">
        <f t="shared" si="3"/>
        <v>1455.3243774092678</v>
      </c>
      <c r="H21" s="27">
        <v>0.39384833473840913</v>
      </c>
      <c r="I21" s="59">
        <f>(B21/('Consumidores Inadimplentes'!B57*1000000))</f>
        <v>1.2467552889389897E-2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801415</v>
      </c>
      <c r="C22" s="30">
        <v>2416033</v>
      </c>
      <c r="D22" s="30">
        <v>3589858484.4299955</v>
      </c>
      <c r="E22" s="34">
        <f t="shared" si="0"/>
        <v>3.0147089834854599</v>
      </c>
      <c r="F22" s="43">
        <f t="shared" si="2"/>
        <v>4479.4001664930101</v>
      </c>
      <c r="G22" s="43">
        <f t="shared" si="3"/>
        <v>1485.8482828794126</v>
      </c>
      <c r="H22" s="27">
        <v>0.39515127788170534</v>
      </c>
      <c r="I22" s="59">
        <f>(B22/('Consumidores Inadimplentes'!B58*1000000))</f>
        <v>1.2620087196650961E-2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802535</v>
      </c>
      <c r="C23" s="30">
        <v>2495496</v>
      </c>
      <c r="D23" s="30">
        <v>3640181389.9199944</v>
      </c>
      <c r="E23" s="34">
        <f t="shared" si="0"/>
        <v>3.109516718896995</v>
      </c>
      <c r="F23" s="43">
        <f t="shared" si="2"/>
        <v>4535.8537508270601</v>
      </c>
      <c r="G23" s="43">
        <f t="shared" si="3"/>
        <v>1458.7005508804641</v>
      </c>
      <c r="H23" s="27">
        <v>0.39528719995192729</v>
      </c>
      <c r="I23" s="59">
        <f>(B23/('Consumidores Inadimplentes'!B59*1000000))</f>
        <v>1.2728461761030626E-2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805186</v>
      </c>
      <c r="C24" s="30">
        <v>2512179</v>
      </c>
      <c r="D24" s="30">
        <v>3616955915.1699996</v>
      </c>
      <c r="E24" s="34">
        <f t="shared" si="0"/>
        <v>3.1199983606272341</v>
      </c>
      <c r="F24" s="43">
        <f t="shared" si="2"/>
        <v>4492.0750176605152</v>
      </c>
      <c r="G24" s="43">
        <f t="shared" si="3"/>
        <v>1439.7683903774371</v>
      </c>
      <c r="H24" s="27">
        <v>0.39617574527798716</v>
      </c>
      <c r="I24" s="59">
        <f>(B24/('Consumidores Inadimplentes'!B60*1000000))</f>
        <v>1.2828931917720313E-2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818740</v>
      </c>
      <c r="C25" s="30">
        <v>2595434</v>
      </c>
      <c r="D25" s="30">
        <v>3636474845.0100036</v>
      </c>
      <c r="E25" s="34">
        <f t="shared" si="0"/>
        <v>3.1700344431687717</v>
      </c>
      <c r="F25" s="43">
        <f t="shared" si="2"/>
        <v>4441.5502418472333</v>
      </c>
      <c r="G25" s="43">
        <f t="shared" si="3"/>
        <v>1401.104726612198</v>
      </c>
      <c r="H25" s="27">
        <v>0.40242099427092959</v>
      </c>
      <c r="I25" s="59">
        <f>(B25/('Consumidores Inadimplentes'!B61*1000000))</f>
        <v>1.3146159493868523E-2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821017</v>
      </c>
      <c r="C26" s="30">
        <v>2610410</v>
      </c>
      <c r="D26" s="30">
        <v>3576921126.9500055</v>
      </c>
      <c r="E26" s="34">
        <f t="shared" si="0"/>
        <v>3.1794834942516417</v>
      </c>
      <c r="F26" s="43">
        <f t="shared" si="2"/>
        <v>4356.6955701891748</v>
      </c>
      <c r="G26" s="43">
        <f t="shared" si="3"/>
        <v>1370.2526143211242</v>
      </c>
      <c r="H26" s="27">
        <v>0.40311556214798699</v>
      </c>
      <c r="I26" s="59">
        <f>(B26/('Consumidores Inadimplentes'!B62*1000000))</f>
        <v>1.3253176253247102E-2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816191</v>
      </c>
      <c r="C27" s="31">
        <v>2599761</v>
      </c>
      <c r="D27" s="31">
        <v>3526270703.1399984</v>
      </c>
      <c r="E27" s="35">
        <f t="shared" si="0"/>
        <v>3.1852360538158346</v>
      </c>
      <c r="F27" s="46">
        <f t="shared" si="2"/>
        <v>4320.3989055747961</v>
      </c>
      <c r="G27" s="46">
        <f t="shared" si="3"/>
        <v>1356.3826456124229</v>
      </c>
      <c r="H27" s="28">
        <v>0.40032440269488684</v>
      </c>
      <c r="I27" s="59">
        <f>(B27/('Consumidores Inadimplentes'!B63*1000000))</f>
        <v>1.3301400493858643E-2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830486</v>
      </c>
      <c r="C28" s="29">
        <v>2638364</v>
      </c>
      <c r="D28" s="29">
        <v>3580883744.3999982</v>
      </c>
      <c r="E28" s="33">
        <f t="shared" si="0"/>
        <v>3.1768916032299162</v>
      </c>
      <c r="F28" s="45">
        <f t="shared" si="2"/>
        <v>4311.7930276970328</v>
      </c>
      <c r="G28" s="45">
        <f t="shared" si="3"/>
        <v>1357.2364330319842</v>
      </c>
      <c r="H28" s="26">
        <v>0.40690730049569546</v>
      </c>
      <c r="I28" s="59">
        <f>(B28/('Consumidores Inadimplentes'!B64*1000000))</f>
        <v>1.3466754773104545E-2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837664</v>
      </c>
      <c r="C29" s="30">
        <v>2655262</v>
      </c>
      <c r="D29" s="30">
        <v>3622521830.2200012</v>
      </c>
      <c r="E29" s="34">
        <f t="shared" si="0"/>
        <v>3.1698413683768192</v>
      </c>
      <c r="F29" s="43">
        <f t="shared" si="2"/>
        <v>4324.5523625463211</v>
      </c>
      <c r="G29" s="43">
        <f t="shared" si="3"/>
        <v>1364.2803724152275</v>
      </c>
      <c r="H29" s="27">
        <v>0.40999256039782295</v>
      </c>
      <c r="I29" s="59">
        <f>(B29/('Consumidores Inadimplentes'!B65*1000000))</f>
        <v>1.3608378104525381E-2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855388</v>
      </c>
      <c r="C30" s="30">
        <v>2697724</v>
      </c>
      <c r="D30" s="30">
        <v>3702847604.1800022</v>
      </c>
      <c r="E30" s="34">
        <f t="shared" si="0"/>
        <v>3.1538015497060985</v>
      </c>
      <c r="F30" s="43">
        <f t="shared" si="2"/>
        <v>4328.8514734599994</v>
      </c>
      <c r="G30" s="43">
        <f t="shared" si="3"/>
        <v>1372.5820744375635</v>
      </c>
      <c r="H30" s="27">
        <v>0.41822701332634488</v>
      </c>
      <c r="I30" s="59">
        <f>(B30/('Consumidores Inadimplentes'!B66*1000000))</f>
        <v>1.3673664764448958E-2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861833</v>
      </c>
      <c r="C31" s="30">
        <v>2615489</v>
      </c>
      <c r="D31" s="30">
        <v>3705797884.079999</v>
      </c>
      <c r="E31" s="34">
        <f t="shared" si="0"/>
        <v>3.0347979248880002</v>
      </c>
      <c r="F31" s="43">
        <f t="shared" si="2"/>
        <v>4299.9025148491637</v>
      </c>
      <c r="G31" s="43">
        <f t="shared" si="3"/>
        <v>1416.8661707543024</v>
      </c>
      <c r="H31" s="27">
        <v>0.42093487139461938</v>
      </c>
      <c r="I31" s="59">
        <f>(B31/('Consumidores Inadimplentes'!B67*1000000))</f>
        <v>1.3683891535765415E-2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865305</v>
      </c>
      <c r="C32" s="30">
        <v>2621562</v>
      </c>
      <c r="D32" s="30">
        <v>3774667386.4699945</v>
      </c>
      <c r="E32" s="34">
        <f t="shared" si="0"/>
        <v>3.0296392601452666</v>
      </c>
      <c r="F32" s="43">
        <f t="shared" si="2"/>
        <v>4362.2391948156946</v>
      </c>
      <c r="G32" s="43">
        <f t="shared" si="3"/>
        <v>1439.8543259591017</v>
      </c>
      <c r="H32" s="27">
        <v>0.42218608477240727</v>
      </c>
      <c r="I32" s="59">
        <f>(B32/('Consumidores Inadimplentes'!B68*1000000))</f>
        <v>1.3831865874036437E-2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860514</v>
      </c>
      <c r="C33" s="30">
        <v>2601026</v>
      </c>
      <c r="D33" s="30">
        <v>3724594718.4499865</v>
      </c>
      <c r="E33" s="34">
        <f t="shared" si="0"/>
        <v>3.0226422812412115</v>
      </c>
      <c r="F33" s="43">
        <f t="shared" si="2"/>
        <v>4328.3371548283776</v>
      </c>
      <c r="G33" s="43">
        <f t="shared" si="3"/>
        <v>1431.9713522471466</v>
      </c>
      <c r="H33" s="27">
        <v>0.41940673798496009</v>
      </c>
      <c r="I33" s="59">
        <f>(B33/('Consumidores Inadimplentes'!B69*1000000))</f>
        <v>1.3766146523295877E-2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863723</v>
      </c>
      <c r="C34" s="30">
        <v>2607901</v>
      </c>
      <c r="D34" s="30">
        <v>3739368549.6799917</v>
      </c>
      <c r="E34" s="34">
        <f>C34/B34</f>
        <v>3.0193719514242412</v>
      </c>
      <c r="F34" s="43">
        <f t="shared" si="2"/>
        <v>4329.3608595348178</v>
      </c>
      <c r="G34" s="43">
        <f t="shared" si="3"/>
        <v>1433.8613887873778</v>
      </c>
      <c r="H34" s="27">
        <v>0.42097077555110513</v>
      </c>
      <c r="I34" s="59">
        <f>(B34/('Consumidores Inadimplentes'!B70*1000000))</f>
        <v>1.3880923458444527E-2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871904</v>
      </c>
      <c r="C35" s="30">
        <v>2628105</v>
      </c>
      <c r="D35" s="30">
        <v>3769625183.7999945</v>
      </c>
      <c r="E35" s="34">
        <f>C35/B35</f>
        <v>3.0142137207765991</v>
      </c>
      <c r="F35" s="43">
        <f t="shared" si="2"/>
        <v>4323.4406354369221</v>
      </c>
      <c r="G35" s="43">
        <f t="shared" si="3"/>
        <v>1434.351056673913</v>
      </c>
      <c r="H35" s="27">
        <v>0.42454572987543665</v>
      </c>
      <c r="I35" s="59">
        <f>(B35/('Consumidores Inadimplentes'!B71*1000000))</f>
        <v>1.4006770095241263E-2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871185</v>
      </c>
      <c r="C36" s="30">
        <v>2623197</v>
      </c>
      <c r="D36" s="30">
        <v>3754107185.209991</v>
      </c>
      <c r="E36" s="34">
        <f>C36/B36</f>
        <v>3.0110676836722394</v>
      </c>
      <c r="F36" s="43">
        <f t="shared" si="2"/>
        <v>4309.1963075695649</v>
      </c>
      <c r="G36" s="43">
        <f t="shared" si="3"/>
        <v>1431.1190448944519</v>
      </c>
      <c r="H36" s="27">
        <v>0.42378397152542968</v>
      </c>
      <c r="I36" s="59">
        <f>(B36/('Consumidores Inadimplentes'!B72*1000000))</f>
        <v>1.4003877494825212E-2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896995</v>
      </c>
      <c r="C37" s="30">
        <v>2790516</v>
      </c>
      <c r="D37" s="30">
        <v>3936190995.7899923</v>
      </c>
      <c r="E37" s="34">
        <f>C37/B37</f>
        <v>3.1109604847295693</v>
      </c>
      <c r="F37" s="43">
        <f t="shared" si="2"/>
        <v>4388.1972539311728</v>
      </c>
      <c r="G37" s="43">
        <f t="shared" si="3"/>
        <v>1410.5602676315034</v>
      </c>
      <c r="H37" s="27">
        <v>0.43591566612853216</v>
      </c>
      <c r="I37" s="59">
        <f>(B37/('Consumidores Inadimplentes'!B73*1000000))</f>
        <v>1.4147060826060792E-2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925782</v>
      </c>
      <c r="C38" s="30">
        <v>2888315</v>
      </c>
      <c r="D38" s="30">
        <v>4028300051.4899874</v>
      </c>
      <c r="E38" s="34">
        <f t="shared" ref="E38:E45" si="4">C38/B38</f>
        <v>3.119865151839202</v>
      </c>
      <c r="F38" s="43">
        <f t="shared" si="2"/>
        <v>4351.2404124188924</v>
      </c>
      <c r="G38" s="43">
        <f t="shared" si="3"/>
        <v>1394.6886165428587</v>
      </c>
      <c r="H38" s="27">
        <v>0.44946873975894841</v>
      </c>
      <c r="I38" s="59">
        <f>(B38/('Consumidores Inadimplentes'!B74*1000000))</f>
        <v>1.4404648413474037E-2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909639</v>
      </c>
      <c r="C39" s="31">
        <v>2870389</v>
      </c>
      <c r="D39" s="31">
        <v>3926813141.549994</v>
      </c>
      <c r="E39" s="35">
        <f t="shared" si="4"/>
        <v>3.1555254337160128</v>
      </c>
      <c r="F39" s="46">
        <f t="shared" si="2"/>
        <v>4316.8918016377856</v>
      </c>
      <c r="G39" s="46">
        <f t="shared" si="3"/>
        <v>1368.0421509244891</v>
      </c>
      <c r="H39" s="28">
        <v>0.44120287623228122</v>
      </c>
      <c r="I39" s="59">
        <f>(B39/('Consumidores Inadimplentes'!B75*1000000))</f>
        <v>1.4219585062910056E-2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924027</v>
      </c>
      <c r="C40" s="29">
        <v>2934945</v>
      </c>
      <c r="D40" s="29">
        <v>4047465578.2699862</v>
      </c>
      <c r="E40" s="33">
        <f t="shared" si="4"/>
        <v>3.1762545899632801</v>
      </c>
      <c r="F40" s="45">
        <f t="shared" si="2"/>
        <v>4380.2460082551552</v>
      </c>
      <c r="G40" s="45">
        <f t="shared" si="3"/>
        <v>1379.0601112695422</v>
      </c>
      <c r="H40" s="26">
        <v>0.44774672231356183</v>
      </c>
      <c r="I40" s="59">
        <f>(B40/('Consumidores Inadimplentes'!B76*1000000))</f>
        <v>1.4255838729334613E-2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927520</v>
      </c>
      <c r="C41" s="30">
        <v>2988325</v>
      </c>
      <c r="D41" s="30">
        <v>4089271645.7799997</v>
      </c>
      <c r="E41" s="34">
        <f t="shared" si="4"/>
        <v>3.2218442728997756</v>
      </c>
      <c r="F41" s="43">
        <f t="shared" si="2"/>
        <v>4408.8231475116436</v>
      </c>
      <c r="G41" s="43">
        <f t="shared" si="3"/>
        <v>1368.4159673997974</v>
      </c>
      <c r="H41" s="27">
        <v>0.44900328261520983</v>
      </c>
      <c r="I41" s="59">
        <f>(B41/('Consumidores Inadimplentes'!B77*1000000))</f>
        <v>1.4232501987980631E-2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935904</v>
      </c>
      <c r="C42" s="30">
        <v>3012605</v>
      </c>
      <c r="D42" s="30">
        <v>4133056993.1700001</v>
      </c>
      <c r="E42" s="34">
        <f t="shared" si="4"/>
        <v>3.2189252316476904</v>
      </c>
      <c r="F42" s="43">
        <f t="shared" si="2"/>
        <v>4416.1121153131089</v>
      </c>
      <c r="G42" s="43">
        <f t="shared" si="3"/>
        <v>1371.9213083593766</v>
      </c>
      <c r="H42" s="27">
        <v>0.45262235961343245</v>
      </c>
      <c r="I42" s="59">
        <f>(B42/('Consumidores Inadimplentes'!B78*1000000))</f>
        <v>1.4246419101219954E-2</v>
      </c>
    </row>
    <row r="43" spans="1:16" x14ac:dyDescent="0.35">
      <c r="A43" s="5">
        <v>44652</v>
      </c>
      <c r="B43" s="30">
        <v>941221</v>
      </c>
      <c r="C43" s="30">
        <v>3063784</v>
      </c>
      <c r="D43" s="30">
        <v>4185604356.4699898</v>
      </c>
      <c r="E43" s="34">
        <f t="shared" si="4"/>
        <v>3.2551164923009579</v>
      </c>
      <c r="F43" s="43">
        <f t="shared" si="2"/>
        <v>4446.9942303348416</v>
      </c>
      <c r="G43" s="43">
        <f t="shared" si="3"/>
        <v>1366.1551716667984</v>
      </c>
      <c r="H43" s="27">
        <v>0.45475215545876424</v>
      </c>
      <c r="I43" s="59">
        <f>(B43/('Consumidores Inadimplentes'!B79*1000000))</f>
        <v>1.4232315132596339E-2</v>
      </c>
    </row>
    <row r="44" spans="1:16" x14ac:dyDescent="0.35">
      <c r="A44" s="5">
        <v>44682</v>
      </c>
      <c r="B44" s="30">
        <v>948390</v>
      </c>
      <c r="C44" s="30">
        <v>3139290</v>
      </c>
      <c r="D44" s="30">
        <v>4278319801.9799986</v>
      </c>
      <c r="E44" s="34">
        <f t="shared" si="4"/>
        <v>3.3101255812482209</v>
      </c>
      <c r="F44" s="43">
        <f t="shared" si="2"/>
        <v>4511.1397230886014</v>
      </c>
      <c r="G44" s="43">
        <f t="shared" si="3"/>
        <v>1362.8303858452066</v>
      </c>
      <c r="H44" s="27">
        <v>0.45777130983151965</v>
      </c>
      <c r="I44" s="59">
        <f>(B44/('Consumidores Inadimplentes'!B80*1000000))</f>
        <v>1.4244406615830641E-2</v>
      </c>
    </row>
    <row r="45" spans="1:16" x14ac:dyDescent="0.35">
      <c r="A45" s="5">
        <v>44713</v>
      </c>
      <c r="B45" s="30">
        <v>946066</v>
      </c>
      <c r="C45" s="30">
        <v>3152741</v>
      </c>
      <c r="D45" s="30">
        <v>4273400764.3800101</v>
      </c>
      <c r="E45" s="34">
        <f t="shared" si="4"/>
        <v>3.3324746899264954</v>
      </c>
      <c r="F45" s="43">
        <f t="shared" si="2"/>
        <v>4517.0218191754175</v>
      </c>
      <c r="G45" s="43">
        <f t="shared" si="3"/>
        <v>1355.4557016830786</v>
      </c>
      <c r="H45" s="27">
        <v>0.45620650728842727</v>
      </c>
      <c r="I45" s="59">
        <f>(B45/('Consumidores Inadimplentes'!B81*1000000))</f>
        <v>1.4158716974496258E-2</v>
      </c>
    </row>
    <row r="46" spans="1:16" x14ac:dyDescent="0.35">
      <c r="A46" s="5">
        <v>44743</v>
      </c>
      <c r="B46" s="30">
        <v>958420</v>
      </c>
      <c r="C46" s="30">
        <v>3222130</v>
      </c>
      <c r="D46" s="30">
        <v>4390196986.2400103</v>
      </c>
      <c r="E46" s="34">
        <f t="shared" ref="E46" si="5">C46/B46</f>
        <v>3.3619185743202356</v>
      </c>
      <c r="F46" s="43">
        <f t="shared" ref="F46" si="6">D46/B46</f>
        <v>4580.6608650070011</v>
      </c>
      <c r="G46" s="43">
        <f t="shared" ref="G46" si="7">F46/E46</f>
        <v>1362.5139228522778</v>
      </c>
      <c r="H46" s="27">
        <v>0.46171515120566609</v>
      </c>
      <c r="I46" s="59">
        <f>(B46/('Consumidores Inadimplentes'!B82*1000000))</f>
        <v>1.4171041882080909E-2</v>
      </c>
    </row>
    <row r="47" spans="1:16" x14ac:dyDescent="0.35">
      <c r="A47" s="5">
        <v>44774</v>
      </c>
      <c r="B47" s="30">
        <v>965307</v>
      </c>
      <c r="C47" s="30">
        <v>3261011</v>
      </c>
      <c r="D47" s="30">
        <v>4400638622.7200003</v>
      </c>
      <c r="E47" s="34">
        <f t="shared" ref="E47" si="8">C47/B47</f>
        <v>3.3782112840785365</v>
      </c>
      <c r="F47" s="43">
        <f t="shared" ref="F47" si="9">D47/B47</f>
        <v>4558.796965856458</v>
      </c>
      <c r="G47" s="43">
        <f t="shared" ref="G47" si="10">F47/E47</f>
        <v>1349.4706465939551</v>
      </c>
      <c r="H47" s="27">
        <v>0.46455043413229846</v>
      </c>
      <c r="I47" s="59">
        <f>(B47/('Consumidores Inadimplentes'!B83*1000000))</f>
        <v>1.4200652842807238E-2</v>
      </c>
    </row>
    <row r="48" spans="1:16" x14ac:dyDescent="0.35">
      <c r="A48" s="5">
        <v>44805</v>
      </c>
      <c r="B48" s="30">
        <v>969966</v>
      </c>
      <c r="C48" s="30">
        <v>3297717</v>
      </c>
      <c r="D48" s="30">
        <v>4502480744.6799803</v>
      </c>
      <c r="E48" s="34">
        <f t="shared" ref="E48" si="11">C48/B48</f>
        <v>3.3998274166310982</v>
      </c>
      <c r="F48" s="43">
        <f t="shared" ref="F48" si="12">D48/B48</f>
        <v>4641.8954320872899</v>
      </c>
      <c r="G48" s="43">
        <f t="shared" ref="G48" si="13">F48/E48</f>
        <v>1365.3326664113326</v>
      </c>
      <c r="H48" s="27">
        <v>0.46630828577142591</v>
      </c>
      <c r="I48" s="59">
        <f>(B48/('Consumidores Inadimplentes'!B84*1000000))</f>
        <v>1.4183267605718653E-2</v>
      </c>
    </row>
    <row r="49" spans="1:16" x14ac:dyDescent="0.35">
      <c r="A49" s="5">
        <v>44835</v>
      </c>
      <c r="B49" s="30">
        <v>991420</v>
      </c>
      <c r="C49" s="30">
        <v>3400618</v>
      </c>
      <c r="D49" s="30">
        <v>4582966727.9599667</v>
      </c>
      <c r="E49" s="34">
        <f t="shared" ref="E49" si="14">C49/B49</f>
        <v>3.4300478102116156</v>
      </c>
      <c r="F49" s="43">
        <f t="shared" ref="F49" si="15">D49/B49</f>
        <v>4622.6288837828233</v>
      </c>
      <c r="G49" s="43">
        <f t="shared" ref="G49" si="16">F49/E49</f>
        <v>1347.6864287491176</v>
      </c>
      <c r="H49" s="27">
        <v>0.47612781521580438</v>
      </c>
      <c r="I49" s="59">
        <f>(B49/('Consumidores Inadimplentes'!B85*1000000))</f>
        <v>1.4356620883958443E-2</v>
      </c>
    </row>
    <row r="50" spans="1:16" x14ac:dyDescent="0.35">
      <c r="A50" s="5">
        <v>44866</v>
      </c>
      <c r="B50" s="30">
        <v>999155</v>
      </c>
      <c r="C50" s="30">
        <v>3451434</v>
      </c>
      <c r="D50" s="30">
        <v>4750983408.2299652</v>
      </c>
      <c r="E50" s="34">
        <f t="shared" ref="E50" si="17">C50/B50</f>
        <v>3.4543529282243495</v>
      </c>
      <c r="F50" s="43">
        <f t="shared" ref="F50" si="18">D50/B50</f>
        <v>4755.0013843997831</v>
      </c>
      <c r="G50" s="43">
        <f t="shared" ref="G50" si="19">F50/E50</f>
        <v>1376.5244846721582</v>
      </c>
      <c r="H50" s="27">
        <v>0.47934460393999478</v>
      </c>
      <c r="I50" s="59">
        <f>(B50/('Consumidores Inadimplentes'!B86*1000000))</f>
        <v>1.4307418379711842E-2</v>
      </c>
    </row>
    <row r="51" spans="1:16" ht="15" thickBot="1" x14ac:dyDescent="0.4">
      <c r="A51" s="12">
        <v>44896</v>
      </c>
      <c r="B51" s="31">
        <v>991092</v>
      </c>
      <c r="C51" s="31">
        <v>3449312</v>
      </c>
      <c r="D51" s="31">
        <v>4772546016.8199558</v>
      </c>
      <c r="E51" s="35">
        <f t="shared" ref="E51" si="20">C51/B51</f>
        <v>3.4803146428384046</v>
      </c>
      <c r="F51" s="46">
        <f t="shared" ref="F51" si="21">D51/B51</f>
        <v>4815.4419739236682</v>
      </c>
      <c r="G51" s="46">
        <f t="shared" ref="G51" si="22">F51/E51</f>
        <v>1383.6225939607539</v>
      </c>
      <c r="H51" s="28">
        <v>0.47498303447165319</v>
      </c>
      <c r="I51" s="59">
        <f>(B51/('Consumidores Inadimplentes'!B87*1000000))</f>
        <v>1.4274834567000487E-2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1005788</v>
      </c>
      <c r="C52" s="29">
        <v>3547353</v>
      </c>
      <c r="D52" s="29">
        <v>4967246867.3599701</v>
      </c>
      <c r="E52" s="33">
        <f t="shared" ref="E52" si="23">C52/B52</f>
        <v>3.5269390766244975</v>
      </c>
      <c r="F52" s="45">
        <f t="shared" ref="F52" si="24">D52/B52</f>
        <v>4938.6618923271808</v>
      </c>
      <c r="G52" s="45">
        <f t="shared" ref="G52" si="25">F52/E52</f>
        <v>1400.2685572481707</v>
      </c>
      <c r="H52" s="26">
        <v>0.48152604116048298</v>
      </c>
      <c r="I52" s="59">
        <f>(B52/('Consumidores Inadimplentes'!B88*1000000))</f>
        <v>1.4349340590855486E-2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1011440</v>
      </c>
      <c r="C53" s="30">
        <v>3574362</v>
      </c>
      <c r="D53" s="30">
        <v>4980089690.4399719</v>
      </c>
      <c r="E53" s="34">
        <f t="shared" ref="E53" si="26">C53/B53</f>
        <v>3.5339337973582219</v>
      </c>
      <c r="F53" s="43">
        <f t="shared" ref="F53" si="27">D53/B53</f>
        <v>4923.761854820822</v>
      </c>
      <c r="G53" s="43">
        <f t="shared" ref="G53" si="28">F53/E53</f>
        <v>1393.2807282642252</v>
      </c>
      <c r="H53" s="27">
        <v>0.48372965010617336</v>
      </c>
      <c r="I53" s="59">
        <f>(B53/('Consumidores Inadimplentes'!B89*1000000))</f>
        <v>1.4341185689259413E-2</v>
      </c>
    </row>
    <row r="54" spans="1:16" x14ac:dyDescent="0.35">
      <c r="A54" s="5">
        <v>44986</v>
      </c>
      <c r="B54" s="30">
        <v>1016531</v>
      </c>
      <c r="C54" s="30">
        <v>3618609</v>
      </c>
      <c r="D54" s="30">
        <v>5097512493.1499567</v>
      </c>
      <c r="E54" s="34">
        <f t="shared" ref="E54" si="29">C54/B54</f>
        <v>3.5597625650373672</v>
      </c>
      <c r="F54" s="43">
        <f t="shared" ref="F54" si="30">D54/B54</f>
        <v>5014.6158780695887</v>
      </c>
      <c r="G54" s="43">
        <f t="shared" ref="G54" si="31">F54/E54</f>
        <v>1408.6939188925792</v>
      </c>
      <c r="H54" s="27">
        <v>0.48565997099028613</v>
      </c>
      <c r="I54" s="59">
        <f>(B54/('Consumidores Inadimplentes'!B90*1000000))</f>
        <v>1.4376586370447211E-2</v>
      </c>
    </row>
    <row r="55" spans="1:16" x14ac:dyDescent="0.35">
      <c r="A55" s="5">
        <v>45017</v>
      </c>
      <c r="B55" s="30">
        <v>1034321</v>
      </c>
      <c r="C55" s="30">
        <v>3712272</v>
      </c>
      <c r="D55" s="30">
        <v>5281231751.8899775</v>
      </c>
      <c r="E55" s="34">
        <f t="shared" ref="E55" si="32">C55/B55</f>
        <v>3.5890908141669753</v>
      </c>
      <c r="F55" s="43">
        <f t="shared" ref="F55" si="33">D55/B55</f>
        <v>5105.9890999892468</v>
      </c>
      <c r="G55" s="43">
        <f t="shared" ref="G55" si="34">F55/E55</f>
        <v>1422.6413775418337</v>
      </c>
      <c r="H55" s="27">
        <v>0.49364663006988135</v>
      </c>
      <c r="I55" s="59">
        <f>(B55/('Consumidores Inadimplentes'!B91*1000000))</f>
        <v>1.4478263420824334E-2</v>
      </c>
    </row>
    <row r="56" spans="1:16" x14ac:dyDescent="0.35">
      <c r="A56" s="5">
        <v>45047</v>
      </c>
      <c r="B56" s="30">
        <v>1036437</v>
      </c>
      <c r="C56" s="30">
        <v>3727087</v>
      </c>
      <c r="D56" s="30">
        <v>5293000642.4099731</v>
      </c>
      <c r="E56" s="34">
        <f t="shared" ref="E56" si="35">C56/B56</f>
        <v>3.5960574545293151</v>
      </c>
      <c r="F56" s="43">
        <f t="shared" ref="F56" si="36">D56/B56</f>
        <v>5106.9198054584822</v>
      </c>
      <c r="G56" s="43">
        <f t="shared" ref="G56" si="37">F56/E56</f>
        <v>1420.1441078273658</v>
      </c>
      <c r="H56" s="27">
        <v>0.49414334222352752</v>
      </c>
      <c r="I56" s="59">
        <f>(B56/('Consumidores Inadimplentes'!B92*1000000))</f>
        <v>1.4414262634566678E-2</v>
      </c>
    </row>
    <row r="57" spans="1:16" x14ac:dyDescent="0.35">
      <c r="A57" s="5">
        <v>45078</v>
      </c>
      <c r="B57" s="30">
        <v>1033796</v>
      </c>
      <c r="C57" s="30">
        <v>3732405</v>
      </c>
      <c r="D57" s="30">
        <v>5320327956.6499767</v>
      </c>
      <c r="E57" s="34">
        <f t="shared" ref="E57" si="38">C57/B57</f>
        <v>3.6103883164570187</v>
      </c>
      <c r="F57" s="43">
        <f t="shared" ref="F57" si="39">D57/B57</f>
        <v>5146.4002149843654</v>
      </c>
      <c r="G57" s="43">
        <f t="shared" ref="G57" si="40">F57/E57</f>
        <v>1425.4422970309965</v>
      </c>
      <c r="H57" s="27">
        <v>0.49237290557338947</v>
      </c>
      <c r="I57" s="59">
        <f>(B57/('Consumidores Inadimplentes'!B93*1000000))</f>
        <v>1.4468087750565283E-2</v>
      </c>
    </row>
    <row r="58" spans="1:16" x14ac:dyDescent="0.35">
      <c r="A58" s="5">
        <v>45108</v>
      </c>
      <c r="B58" s="30">
        <v>1045187</v>
      </c>
      <c r="C58" s="30">
        <v>3771235</v>
      </c>
      <c r="D58" s="30">
        <v>5410025010.1199799</v>
      </c>
      <c r="E58" s="34">
        <f t="shared" ref="E58" si="41">C58/B58</f>
        <v>3.6081916441746786</v>
      </c>
      <c r="F58" s="43">
        <f t="shared" ref="F58" si="42">D58/B58</f>
        <v>5176.1311709004995</v>
      </c>
      <c r="G58" s="43">
        <f t="shared" ref="G58" si="43">F58/E58</f>
        <v>1434.5499578042686</v>
      </c>
      <c r="H58" s="27">
        <v>0.49728161705128127</v>
      </c>
      <c r="I58" s="59">
        <f>(B58/('Consumidores Inadimplentes'!B94*1000000))</f>
        <v>1.4634571042043845E-2</v>
      </c>
    </row>
    <row r="59" spans="1:16" x14ac:dyDescent="0.35">
      <c r="A59" s="5">
        <v>45139</v>
      </c>
      <c r="B59" s="30">
        <v>1044862</v>
      </c>
      <c r="C59" s="30">
        <v>3814078</v>
      </c>
      <c r="D59" s="30">
        <v>5483377468.5599918</v>
      </c>
      <c r="E59" s="34">
        <f t="shared" ref="E59" si="44">C59/B59</f>
        <v>3.650317458190651</v>
      </c>
      <c r="F59" s="43">
        <f t="shared" ref="F59" si="45">D59/B59</f>
        <v>5247.9441960373633</v>
      </c>
      <c r="G59" s="43">
        <f t="shared" ref="G59" si="46">F59/E59</f>
        <v>1437.6678894768254</v>
      </c>
      <c r="H59" s="27">
        <v>0.49660363799514834</v>
      </c>
      <c r="I59" s="59">
        <f>(B59/('Consumidores Inadimplentes'!B95*1000000))</f>
        <v>1.4564755706054058E-2</v>
      </c>
    </row>
    <row r="60" spans="1:16" x14ac:dyDescent="0.35">
      <c r="A60" s="5">
        <v>45170</v>
      </c>
      <c r="B60" s="30">
        <v>1046297</v>
      </c>
      <c r="C60" s="30">
        <v>3835369</v>
      </c>
      <c r="D60" s="30">
        <v>5609110402.2799854</v>
      </c>
      <c r="E60" s="34">
        <f t="shared" ref="E60" si="47">C60/B60</f>
        <v>3.6656599416800391</v>
      </c>
      <c r="F60" s="43">
        <f t="shared" ref="F60" si="48">D60/B60</f>
        <v>5360.9160709435137</v>
      </c>
      <c r="G60" s="43">
        <f t="shared" ref="G60" si="49">F60/E60</f>
        <v>1462.4695569787382</v>
      </c>
      <c r="H60" s="27">
        <v>0.49676199320683267</v>
      </c>
      <c r="I60" s="59">
        <f>(B60/('Consumidores Inadimplentes'!B96*1000000))</f>
        <v>1.4567887686011735E-2</v>
      </c>
    </row>
    <row r="61" spans="1:16" x14ac:dyDescent="0.35">
      <c r="A61" s="5">
        <v>45200</v>
      </c>
      <c r="B61" s="30">
        <v>1053224</v>
      </c>
      <c r="C61" s="30">
        <v>3888182</v>
      </c>
      <c r="D61" s="30">
        <v>5788489990.6199789</v>
      </c>
      <c r="E61" s="34">
        <f t="shared" ref="E61:E62" si="50">C61/B61</f>
        <v>3.6916952139335981</v>
      </c>
      <c r="F61" s="43">
        <f t="shared" ref="F61:F62" si="51">D61/B61</f>
        <v>5495.9723578459843</v>
      </c>
      <c r="G61" s="43">
        <f t="shared" ref="G61:G62" si="52">F61/E61</f>
        <v>1488.739465030181</v>
      </c>
      <c r="H61" s="27">
        <v>0.49952429600076642</v>
      </c>
      <c r="I61" s="59">
        <f>(B61/('Consumidores Inadimplentes'!B97*1000000))</f>
        <v>1.4637765123814853E-2</v>
      </c>
    </row>
    <row r="62" spans="1:16" x14ac:dyDescent="0.35">
      <c r="A62" s="5">
        <v>45231</v>
      </c>
      <c r="B62" s="30">
        <v>1056084</v>
      </c>
      <c r="C62" s="30">
        <v>3916099</v>
      </c>
      <c r="D62" s="30">
        <v>5799332595.7199783</v>
      </c>
      <c r="E62" s="34">
        <f t="shared" si="50"/>
        <v>3.7081321182784701</v>
      </c>
      <c r="F62" s="43">
        <f t="shared" si="51"/>
        <v>5491.355418432604</v>
      </c>
      <c r="G62" s="43">
        <f t="shared" si="52"/>
        <v>1480.8952980299982</v>
      </c>
      <c r="H62" s="27">
        <v>0.50035344126715797</v>
      </c>
      <c r="I62" s="59">
        <f>(B62/('Consumidores Inadimplentes'!B98*1000000))</f>
        <v>1.4706863715538403E-2</v>
      </c>
    </row>
    <row r="63" spans="1:16" ht="15" thickBot="1" x14ac:dyDescent="0.4">
      <c r="A63" s="12">
        <v>45261</v>
      </c>
      <c r="B63" s="31">
        <v>1039611</v>
      </c>
      <c r="C63" s="31">
        <v>3878154</v>
      </c>
      <c r="D63" s="31">
        <v>5653928457.6199989</v>
      </c>
      <c r="E63" s="35">
        <f t="shared" ref="E63:E64" si="53">C63/B63</f>
        <v>3.7303895399336868</v>
      </c>
      <c r="F63" s="46">
        <f t="shared" ref="F63:F64" si="54">D63/B63</f>
        <v>5438.5038804129608</v>
      </c>
      <c r="G63" s="46">
        <f t="shared" ref="G63:G64" si="55">F63/E63</f>
        <v>1457.8916818723544</v>
      </c>
      <c r="H63" s="28">
        <v>0.49203015190962568</v>
      </c>
      <c r="I63" s="59">
        <f>(B63/('Consumidores Inadimplentes'!B99*1000000))</f>
        <v>1.4621312779439254E-2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1054824</v>
      </c>
      <c r="C64" s="29">
        <v>3969592</v>
      </c>
      <c r="D64" s="29">
        <v>5848070368.5699959</v>
      </c>
      <c r="E64" s="33">
        <f t="shared" si="53"/>
        <v>3.7632742523871281</v>
      </c>
      <c r="F64" s="45">
        <f t="shared" si="54"/>
        <v>5544.1195579262476</v>
      </c>
      <c r="G64" s="45">
        <f t="shared" si="55"/>
        <v>1473.2169876828641</v>
      </c>
      <c r="H64" s="26">
        <v>0.49870457012530683</v>
      </c>
      <c r="I64" s="59">
        <f>(B64/('Consumidores Inadimplentes'!B100*1000000))</f>
        <v>1.4636141155126578E-2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1057788</v>
      </c>
      <c r="C65" s="30">
        <v>3977773</v>
      </c>
      <c r="D65" s="30">
        <v>5865737234.2300053</v>
      </c>
      <c r="E65" s="34">
        <f t="shared" ref="E65" si="56">C65/B65</f>
        <v>3.7604633442617992</v>
      </c>
      <c r="F65" s="43">
        <f t="shared" ref="F65" si="57">D65/B65</f>
        <v>5545.2862333756912</v>
      </c>
      <c r="G65" s="43">
        <f t="shared" ref="G65" si="58">F65/E65</f>
        <v>1474.6284501981399</v>
      </c>
      <c r="H65" s="27">
        <v>0.49957942850449877</v>
      </c>
      <c r="I65" s="59">
        <f>(B65/('Consumidores Inadimplentes'!B101*1000000))</f>
        <v>1.4683492805860603E-2</v>
      </c>
    </row>
    <row r="66" spans="1:16" x14ac:dyDescent="0.35">
      <c r="A66" s="5">
        <v>45352</v>
      </c>
      <c r="B66" s="30">
        <v>1067347</v>
      </c>
      <c r="C66" s="30">
        <v>4033452</v>
      </c>
      <c r="D66" s="30">
        <v>5969530701.3899841</v>
      </c>
      <c r="E66" s="34">
        <f t="shared" ref="E66" si="59">C66/B66</f>
        <v>3.7789509878230789</v>
      </c>
      <c r="F66" s="43">
        <f t="shared" ref="F66" si="60">D66/B66</f>
        <v>5592.8678315393063</v>
      </c>
      <c r="G66" s="43">
        <f t="shared" ref="G66" si="61">F66/E66</f>
        <v>1480.0053902686791</v>
      </c>
      <c r="H66" s="27">
        <v>0.50356319078840284</v>
      </c>
      <c r="I66" s="59">
        <f>(B66/('Consumidores Inadimplentes'!B102*1000000))</f>
        <v>1.4642288510455358E-2</v>
      </c>
    </row>
    <row r="67" spans="1:16" x14ac:dyDescent="0.35">
      <c r="A67" s="5">
        <v>45383</v>
      </c>
      <c r="B67" s="30">
        <v>1076694</v>
      </c>
      <c r="C67" s="30">
        <v>4065681</v>
      </c>
      <c r="D67" s="30">
        <v>6172218163.4399815</v>
      </c>
      <c r="E67" s="34">
        <f t="shared" ref="E67" si="62">C67/B67</f>
        <v>3.776078440113904</v>
      </c>
      <c r="F67" s="43">
        <f t="shared" ref="F67" si="63">D67/B67</f>
        <v>5732.5648359143652</v>
      </c>
      <c r="G67" s="43">
        <f t="shared" ref="G67" si="64">F67/E67</f>
        <v>1518.1265238074463</v>
      </c>
      <c r="H67" s="27">
        <v>0.50743817933918145</v>
      </c>
      <c r="I67" s="59">
        <f>(B67/('Consumidores Inadimplentes'!B103*1000000))</f>
        <v>1.4664902855066967E-2</v>
      </c>
    </row>
    <row r="68" spans="1:16" x14ac:dyDescent="0.35">
      <c r="A68" s="5">
        <v>45413</v>
      </c>
      <c r="B68" s="30">
        <v>1083075</v>
      </c>
      <c r="C68" s="30">
        <v>4179899</v>
      </c>
      <c r="D68" s="30">
        <v>6313185326.5100489</v>
      </c>
      <c r="E68" s="34">
        <f t="shared" ref="E68" si="65">C68/B68</f>
        <v>3.8592885995891328</v>
      </c>
      <c r="F68" s="43">
        <f t="shared" ref="F68" si="66">D68/B68</f>
        <v>5828.9456653602465</v>
      </c>
      <c r="G68" s="43">
        <f t="shared" ref="G68" si="67">F68/E68</f>
        <v>1510.367912361052</v>
      </c>
      <c r="H68" s="27">
        <v>0.50990815226884001</v>
      </c>
      <c r="I68" s="59">
        <f>(B68/('Consumidores Inadimplentes'!B104*1000000))</f>
        <v>1.4931684416011596E-2</v>
      </c>
    </row>
    <row r="69" spans="1:16" x14ac:dyDescent="0.35">
      <c r="A69" s="5">
        <v>45444</v>
      </c>
      <c r="B69" s="30">
        <v>1092289</v>
      </c>
      <c r="C69" s="30">
        <v>4239258</v>
      </c>
      <c r="D69" s="30">
        <v>6446746940.9300003</v>
      </c>
      <c r="E69" s="34">
        <f t="shared" ref="E69" si="68">C69/B69</f>
        <v>3.8810772606883344</v>
      </c>
      <c r="F69" s="43">
        <f t="shared" ref="F69" si="69">D69/B69</f>
        <v>5902.0524247062822</v>
      </c>
      <c r="G69" s="43">
        <f t="shared" ref="G69" si="70">F69/E69</f>
        <v>1520.7253111110483</v>
      </c>
      <c r="H69" s="27">
        <v>0.51370457010259141</v>
      </c>
      <c r="I69" s="59">
        <f>(B69/('Consumidores Inadimplentes'!B105*1000000))</f>
        <v>1.506581993781835E-2</v>
      </c>
    </row>
    <row r="70" spans="1:16" x14ac:dyDescent="0.35">
      <c r="A70" s="5">
        <v>45474</v>
      </c>
      <c r="B70" s="30">
        <v>1096515</v>
      </c>
      <c r="C70" s="30">
        <v>4274779</v>
      </c>
      <c r="D70" s="30">
        <v>6381907732.1199999</v>
      </c>
      <c r="E70" s="34">
        <f t="shared" ref="E70" si="71">C70/B70</f>
        <v>3.8985139282180361</v>
      </c>
      <c r="F70" s="43">
        <f t="shared" ref="F70" si="72">D70/B70</f>
        <v>5820.1736703282668</v>
      </c>
      <c r="G70" s="43">
        <f t="shared" ref="G70" si="73">F70/E70</f>
        <v>1492.9210918552749</v>
      </c>
      <c r="H70" s="27">
        <v>0.51514888139287962</v>
      </c>
      <c r="I70" s="59">
        <f>(B70/('Consumidores Inadimplentes'!B106*1000000))</f>
        <v>1.509017941255375E-2</v>
      </c>
    </row>
    <row r="71" spans="1:16" x14ac:dyDescent="0.35">
      <c r="A71" s="5">
        <v>45505</v>
      </c>
      <c r="B71" s="30">
        <v>1098442</v>
      </c>
      <c r="C71" s="30">
        <v>4298753</v>
      </c>
      <c r="D71" s="30">
        <v>6409408471.2399673</v>
      </c>
      <c r="E71" s="34">
        <f t="shared" ref="E71" si="74">C71/B71</f>
        <v>3.9135002121186191</v>
      </c>
      <c r="F71" s="43">
        <f t="shared" ref="F71" si="75">D71/B71</f>
        <v>5834.9994549006387</v>
      </c>
      <c r="G71" s="43">
        <f t="shared" ref="G71" si="76">F71/E71</f>
        <v>1490.9924974149403</v>
      </c>
      <c r="H71" s="27">
        <v>0.51556177610436249</v>
      </c>
      <c r="I71" s="59">
        <f>(B71/('Consumidores Inadimplentes'!B107*1000000))</f>
        <v>1.5158756510605342E-2</v>
      </c>
    </row>
    <row r="72" spans="1:16" x14ac:dyDescent="0.35">
      <c r="A72" s="5">
        <v>45536</v>
      </c>
      <c r="B72" s="30">
        <v>1099739</v>
      </c>
      <c r="C72" s="30">
        <v>4342822</v>
      </c>
      <c r="D72" s="30">
        <v>6523862179.8199682</v>
      </c>
      <c r="E72" s="34">
        <f t="shared" ref="E72" si="77">C72/B72</f>
        <v>3.9489569797924782</v>
      </c>
      <c r="F72" s="43">
        <f t="shared" ref="F72" si="78">D72/B72</f>
        <v>5932.1913470559548</v>
      </c>
      <c r="G72" s="43">
        <f t="shared" ref="G72" si="79">F72/E72</f>
        <v>1502.2172632956101</v>
      </c>
      <c r="H72" s="27">
        <v>0.51567798676550025</v>
      </c>
      <c r="I72" s="59">
        <f>(B72/('Consumidores Inadimplentes'!B108*1000000))</f>
        <v>1.5139177339543558E-2</v>
      </c>
    </row>
    <row r="73" spans="1:16" x14ac:dyDescent="0.35">
      <c r="A73" s="5">
        <v>45566</v>
      </c>
      <c r="B73" s="30">
        <v>1113476</v>
      </c>
      <c r="C73" s="30">
        <v>4608564</v>
      </c>
      <c r="D73" s="30">
        <v>6729863642.2199821</v>
      </c>
      <c r="E73" s="34">
        <f t="shared" ref="E73" si="80">C73/B73</f>
        <v>4.1388983687120335</v>
      </c>
      <c r="F73" s="43">
        <f t="shared" ref="F73" si="81">D73/B73</f>
        <v>6044.0132003024601</v>
      </c>
      <c r="G73" s="43">
        <f t="shared" ref="G73" si="82">F73/E73</f>
        <v>1460.2951466487134</v>
      </c>
      <c r="H73" s="27">
        <v>0.5216211594902197</v>
      </c>
      <c r="I73" s="59">
        <f>(B73/('Consumidores Inadimplentes'!B109*1000000))</f>
        <v>1.5231398450344503E-2</v>
      </c>
    </row>
    <row r="74" spans="1:16" x14ac:dyDescent="0.35">
      <c r="A74" s="5">
        <v>45597</v>
      </c>
      <c r="B74" s="30">
        <v>1127955</v>
      </c>
      <c r="C74" s="30">
        <v>4685643</v>
      </c>
      <c r="D74" s="30">
        <v>6915084826.2900209</v>
      </c>
      <c r="E74" s="34">
        <f t="shared" ref="E74" si="83">C74/B74</f>
        <v>4.1541045520432993</v>
      </c>
      <c r="F74" s="43">
        <f t="shared" ref="F74" si="84">D74/B74</f>
        <v>6130.6389229091774</v>
      </c>
      <c r="G74" s="43">
        <f t="shared" ref="G74" si="85">F74/E74</f>
        <v>1475.8027502927605</v>
      </c>
      <c r="H74" s="27">
        <v>0.52789977366798269</v>
      </c>
      <c r="I74" s="59">
        <f>(B74/('Consumidores Inadimplentes'!B110*1000000))</f>
        <v>1.5286264198870088E-2</v>
      </c>
    </row>
    <row r="75" spans="1:16" ht="15" thickBot="1" x14ac:dyDescent="0.4">
      <c r="A75" s="12">
        <v>45627</v>
      </c>
      <c r="B75" s="31">
        <v>1129829</v>
      </c>
      <c r="C75" s="31">
        <v>4688565</v>
      </c>
      <c r="D75" s="31">
        <v>6813666264.1300077</v>
      </c>
      <c r="E75" s="35">
        <f t="shared" ref="E75" si="86">C75/B75</f>
        <v>4.1498005450382314</v>
      </c>
      <c r="F75" s="46">
        <f t="shared" ref="F75" si="87">D75/B75</f>
        <v>6030.7057653237862</v>
      </c>
      <c r="G75" s="46">
        <f t="shared" ref="G75" si="88">F75/E75</f>
        <v>1453.2519575029903</v>
      </c>
      <c r="H75" s="28">
        <v>0.52827221826087978</v>
      </c>
      <c r="I75" s="59">
        <f>(B75/('Consumidores Inadimplentes'!B111*1000000))</f>
        <v>1.5369261167512594E-2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1145483</v>
      </c>
      <c r="C76" s="29">
        <v>4784944</v>
      </c>
      <c r="D76" s="29">
        <v>7075309127.70998</v>
      </c>
      <c r="E76" s="33">
        <f t="shared" ref="E76:E77" si="89">C76/B76</f>
        <v>4.1772282958367777</v>
      </c>
      <c r="F76" s="45">
        <f t="shared" ref="F76:F77" si="90">D76/B76</f>
        <v>6176.7037378206223</v>
      </c>
      <c r="G76" s="45">
        <f t="shared" ref="G76:G77" si="91">F76/E76</f>
        <v>1478.6608009853367</v>
      </c>
      <c r="H76" s="26">
        <v>0.53508040105233257</v>
      </c>
      <c r="I76" s="59">
        <f>(B76/('Consumidores Inadimplentes'!B112*1000000))</f>
        <v>1.5354400231604894E-2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1148990</v>
      </c>
      <c r="C77" s="30">
        <v>4839720</v>
      </c>
      <c r="D77" s="30">
        <v>7419958508.8399944</v>
      </c>
      <c r="E77" s="34">
        <f t="shared" si="89"/>
        <v>4.2121515417888755</v>
      </c>
      <c r="F77" s="43">
        <f t="shared" si="90"/>
        <v>6457.8094751390299</v>
      </c>
      <c r="G77" s="43">
        <f t="shared" si="91"/>
        <v>1533.1379726182495</v>
      </c>
      <c r="H77" s="27">
        <v>0.53620637918474456</v>
      </c>
      <c r="I77" s="59">
        <f>(B77/('Consumidores Inadimplentes'!B113*1000000))</f>
        <v>1.5319174852730317E-2</v>
      </c>
    </row>
    <row r="78" spans="1:16" x14ac:dyDescent="0.35">
      <c r="A78" s="5">
        <v>45717</v>
      </c>
      <c r="B78" s="30">
        <v>1161354</v>
      </c>
      <c r="C78" s="30">
        <v>4869067</v>
      </c>
      <c r="D78" s="30">
        <v>7428104683.3800116</v>
      </c>
      <c r="E78" s="34">
        <f t="shared" ref="E78" si="92">C78/B78</f>
        <v>4.1925778014283326</v>
      </c>
      <c r="F78" s="43">
        <f t="shared" ref="F78" si="93">D78/B78</f>
        <v>6396.072759365371</v>
      </c>
      <c r="G78" s="43">
        <f t="shared" ref="G78" si="94">F78/E78</f>
        <v>1525.5704395482771</v>
      </c>
      <c r="H78" s="27">
        <v>0.54145911621271314</v>
      </c>
      <c r="I78" s="59">
        <f>(B78/('Consumidores Inadimplentes'!B114*1000000))</f>
        <v>1.5327453986748315E-2</v>
      </c>
    </row>
    <row r="79" spans="1:16" x14ac:dyDescent="0.35">
      <c r="A79" s="5">
        <v>45748</v>
      </c>
      <c r="B79" s="30">
        <v>1172141</v>
      </c>
      <c r="C79" s="30">
        <v>4993875</v>
      </c>
      <c r="D79" s="30">
        <v>7876552594</v>
      </c>
      <c r="E79" s="34">
        <f t="shared" ref="E79" si="95">C79/B79</f>
        <v>4.2604729294513204</v>
      </c>
      <c r="F79" s="43">
        <f t="shared" ref="F79" si="96">D79/B79</f>
        <v>6719.7995753070663</v>
      </c>
      <c r="G79" s="43">
        <f t="shared" ref="G79" si="97">F79/E79</f>
        <v>1577.2426410352682</v>
      </c>
      <c r="H79" s="27">
        <v>0.54596703724612328</v>
      </c>
      <c r="I79" s="59">
        <f>(B79/('Consumidores Inadimplentes'!B115*1000000))</f>
        <v>1.5294408500601349E-2</v>
      </c>
    </row>
    <row r="80" spans="1:16" x14ac:dyDescent="0.35">
      <c r="A80" s="5">
        <v>45778</v>
      </c>
      <c r="B80" s="30">
        <v>1185306</v>
      </c>
      <c r="C80" s="30">
        <v>5069828</v>
      </c>
      <c r="D80" s="30">
        <v>8163634733</v>
      </c>
      <c r="E80" s="34">
        <f t="shared" ref="E80" si="98">C80/B80</f>
        <v>4.2772313647277578</v>
      </c>
      <c r="F80" s="43">
        <f t="shared" ref="F80" si="99">D80/B80</f>
        <v>6887.3647252270721</v>
      </c>
      <c r="G80" s="43">
        <f t="shared" ref="G80" si="100">F80/E80</f>
        <v>1610.2389929204701</v>
      </c>
      <c r="H80" s="27">
        <v>0.55157243650178367</v>
      </c>
      <c r="I80" s="59">
        <f>(B80/('Consumidores Inadimplentes'!B116*1000000))</f>
        <v>1.5379147989393853E-2</v>
      </c>
    </row>
    <row r="81" spans="1:16" x14ac:dyDescent="0.35">
      <c r="A81" s="5">
        <v>45809</v>
      </c>
      <c r="B81" s="30">
        <v>1196534</v>
      </c>
      <c r="C81" s="30">
        <v>5148260</v>
      </c>
      <c r="D81" s="30">
        <v>8391786782</v>
      </c>
      <c r="E81" s="34">
        <f t="shared" ref="E81" si="101">C81/B81</f>
        <v>4.3026441371494668</v>
      </c>
      <c r="F81" s="43">
        <f t="shared" ref="F81" si="102">D81/B81</f>
        <v>7013.4127254219266</v>
      </c>
      <c r="G81" s="43">
        <f t="shared" ref="G81" si="103">F81/E81</f>
        <v>1630.023888070921</v>
      </c>
      <c r="H81" s="27">
        <v>0.55626612614539217</v>
      </c>
      <c r="I81" s="59">
        <f>(B81/('Consumidores Inadimplentes'!B117*1000000))</f>
        <v>1.5364881686260753E-2</v>
      </c>
    </row>
    <row r="82" spans="1:16" x14ac:dyDescent="0.35">
      <c r="A82" s="5">
        <v>45839</v>
      </c>
      <c r="B82" s="30">
        <v>1201898</v>
      </c>
      <c r="C82" s="30">
        <v>5198013</v>
      </c>
      <c r="D82" s="30">
        <v>8523657312</v>
      </c>
      <c r="E82" s="34">
        <f t="shared" ref="E82" si="104">C82/B82</f>
        <v>4.3248370494001991</v>
      </c>
      <c r="F82" s="43">
        <f t="shared" ref="F82" si="105">D82/B82</f>
        <v>7091.830847542803</v>
      </c>
      <c r="G82" s="43">
        <f t="shared" ref="G82" si="106">F82/E82</f>
        <v>1639.7914572356781</v>
      </c>
      <c r="H82" s="27">
        <v>0.55822704677011314</v>
      </c>
      <c r="I82" s="59">
        <f>(B82/('Consumidores Inadimplentes'!B118*1000000))</f>
        <v>1.5377172185912995E-2</v>
      </c>
    </row>
    <row r="83" spans="1:16" x14ac:dyDescent="0.35">
      <c r="A83" s="5">
        <v>45870</v>
      </c>
      <c r="B83" s="30">
        <v>1210326</v>
      </c>
      <c r="C83" s="30">
        <v>5274832</v>
      </c>
      <c r="D83" s="30">
        <v>8763596944</v>
      </c>
      <c r="E83" s="34">
        <f t="shared" ref="E83" si="107">C83/B83</f>
        <v>4.3581910989270662</v>
      </c>
      <c r="F83" s="43">
        <f t="shared" ref="F83" si="108">D83/B83</f>
        <v>7240.6913046567615</v>
      </c>
      <c r="G83" s="43">
        <f t="shared" ref="G83" si="109">F83/E83</f>
        <v>1661.3983050076286</v>
      </c>
      <c r="H83" s="27">
        <v>0.56160622518983905</v>
      </c>
      <c r="I83" s="59">
        <f>(B83/('Consumidores Inadimplentes'!B119*1000000))</f>
        <v>1.5349952566837284E-2</v>
      </c>
    </row>
    <row r="84" spans="1:16" x14ac:dyDescent="0.35">
      <c r="A84" s="5">
        <v>45901</v>
      </c>
      <c r="B84" s="30">
        <v>1216364</v>
      </c>
      <c r="C84" s="30">
        <v>5298655</v>
      </c>
      <c r="D84" s="30">
        <v>8853246512</v>
      </c>
      <c r="E84" s="34">
        <f>IFERROR(C84/B84,"")</f>
        <v>4.3561425691651516</v>
      </c>
      <c r="F84" s="43">
        <f>IFERROR(D84/B84,"")</f>
        <v>7278.4516082356922</v>
      </c>
      <c r="G84" s="43">
        <f>IFERROR(F84/E84,"")</f>
        <v>1670.8478872468577</v>
      </c>
      <c r="H84" s="27">
        <v>0.5638705173308165</v>
      </c>
      <c r="I84" s="59">
        <f>(B84/('Consumidores Inadimplentes'!B120*1000000))</f>
        <v>1.5364542517690968E-2</v>
      </c>
    </row>
    <row r="85" spans="1:16" x14ac:dyDescent="0.35">
      <c r="A85" s="5">
        <v>45931</v>
      </c>
      <c r="B85" s="30">
        <v>1234934</v>
      </c>
      <c r="C85" s="30">
        <v>5428322</v>
      </c>
      <c r="D85" s="30">
        <v>9235007903</v>
      </c>
      <c r="E85" s="34">
        <f t="shared" ref="E85:E87" si="110">IFERROR(C85/B85,"")</f>
        <v>4.3956373377038771</v>
      </c>
      <c r="F85" s="43">
        <f t="shared" ref="F85:F87" si="111">IFERROR(D85/B85,"")</f>
        <v>7478.1388341401243</v>
      </c>
      <c r="G85" s="43">
        <f t="shared" ref="G85:G87" si="112">IFERROR(F85/E85,"")</f>
        <v>1701.2638349383108</v>
      </c>
      <c r="H85" s="27">
        <v>0.57193391147286643</v>
      </c>
      <c r="I85" s="59">
        <f>(B85/('Consumidores Inadimplentes'!B121*1000000))</f>
        <v>1.5352899600395502E-2</v>
      </c>
    </row>
    <row r="86" spans="1:16" x14ac:dyDescent="0.35">
      <c r="A86" s="5">
        <v>45962</v>
      </c>
      <c r="B86" s="30">
        <v>1245106</v>
      </c>
      <c r="C86" s="30">
        <v>5514201</v>
      </c>
      <c r="D86" s="30">
        <v>9499160035</v>
      </c>
      <c r="E86" s="34">
        <f t="shared" si="110"/>
        <v>4.4287000464217501</v>
      </c>
      <c r="F86" s="43">
        <f t="shared" si="111"/>
        <v>7629.1978634750776</v>
      </c>
      <c r="G86" s="43">
        <f t="shared" si="112"/>
        <v>1722.6720670864195</v>
      </c>
      <c r="H86" s="27">
        <v>0.57609577274239421</v>
      </c>
      <c r="I86" s="59">
        <f>(B86/('Consumidores Inadimplentes'!B122*1000000))</f>
        <v>1.5446074553702893E-2</v>
      </c>
    </row>
    <row r="87" spans="1:16" ht="15" thickBot="1" x14ac:dyDescent="0.4">
      <c r="A87" s="12">
        <v>45992</v>
      </c>
      <c r="B87" s="31">
        <v>1257626</v>
      </c>
      <c r="C87" s="31">
        <v>5691935</v>
      </c>
      <c r="D87" s="31">
        <v>9653277182</v>
      </c>
      <c r="E87" s="35">
        <f t="shared" si="110"/>
        <v>4.5259361686224677</v>
      </c>
      <c r="F87" s="46">
        <f t="shared" si="111"/>
        <v>7675.7932660425276</v>
      </c>
      <c r="G87" s="46">
        <f t="shared" si="112"/>
        <v>1695.9570307812721</v>
      </c>
      <c r="H87" s="28">
        <v>0.58133453640962163</v>
      </c>
      <c r="I87" s="59">
        <f>(B87/('Consumidores Inadimplentes'!B123*1000000))</f>
        <v>1.5478851815901572E-2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1266599</v>
      </c>
      <c r="C88" s="29">
        <v>5758631</v>
      </c>
      <c r="D88" s="29">
        <v>9923624607</v>
      </c>
      <c r="E88" s="33">
        <f t="shared" ref="E88:E89" si="113">IFERROR(C88/B88,"")</f>
        <v>4.546530512024721</v>
      </c>
      <c r="F88" s="45">
        <f t="shared" ref="F88:F89" si="114">IFERROR(D88/B88,"")</f>
        <v>7834.8590256268953</v>
      </c>
      <c r="G88" s="45">
        <f t="shared" ref="G88:G89" si="115">IFERROR(F88/E88,"")</f>
        <v>1723.2610679517406</v>
      </c>
      <c r="H88" s="26">
        <v>0.58492476003334248</v>
      </c>
      <c r="I88" s="59">
        <f>(B88/('Consumidores Inadimplentes'!B124*1000000))</f>
        <v>1.557561963770657E-2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1275077</v>
      </c>
      <c r="C89" s="30">
        <v>5838270</v>
      </c>
      <c r="D89" s="30">
        <v>10174985425</v>
      </c>
      <c r="E89" s="34">
        <f t="shared" si="113"/>
        <v>4.5787587729995911</v>
      </c>
      <c r="F89" s="43">
        <f t="shared" si="114"/>
        <v>7979.898802189985</v>
      </c>
      <c r="G89" s="43">
        <f t="shared" si="115"/>
        <v>1742.8083019456105</v>
      </c>
      <c r="H89" s="27">
        <v>0.58827923259802106</v>
      </c>
      <c r="I89" s="59">
        <f>(B89/('Consumidores Inadimplentes'!B125*1000000))</f>
        <v>1.5600723222981828E-2</v>
      </c>
    </row>
    <row r="90" spans="1:16" x14ac:dyDescent="0.35">
      <c r="A90" s="5">
        <v>46082</v>
      </c>
      <c r="B90" s="30">
        <v>1291935</v>
      </c>
      <c r="C90" s="30">
        <v>5931677</v>
      </c>
      <c r="D90" s="30">
        <v>10554613071</v>
      </c>
      <c r="E90" s="34">
        <f t="shared" ref="E90" si="116">IFERROR(C90/B90,"")</f>
        <v>4.5913122564215696</v>
      </c>
      <c r="F90" s="43">
        <f t="shared" ref="F90" si="117">IFERROR(D90/B90,"")</f>
        <v>8169.616173414297</v>
      </c>
      <c r="G90" s="43">
        <f t="shared" ref="G90" si="118">IFERROR(F90/E90,"")</f>
        <v>1779.3640939990494</v>
      </c>
      <c r="H90" s="27">
        <v>0.59548935601407671</v>
      </c>
      <c r="I90" s="59">
        <f>(B90/('Consumidores Inadimplentes'!B126*1000000))</f>
        <v>1.5596959410528894E-2</v>
      </c>
    </row>
    <row r="91" spans="1:16" x14ac:dyDescent="0.35">
      <c r="A91" s="5">
        <v>46113</v>
      </c>
      <c r="B91" s="30">
        <v>1304115</v>
      </c>
      <c r="C91" s="30">
        <v>6050208</v>
      </c>
      <c r="D91" s="30">
        <v>10825824120</v>
      </c>
      <c r="E91" s="34">
        <f t="shared" ref="E91" si="119">IFERROR(C91/B91,"")</f>
        <v>4.6393209187840032</v>
      </c>
      <c r="F91" s="43">
        <f t="shared" ref="F91" si="120">IFERROR(D91/B91,"")</f>
        <v>8301.2802705282902</v>
      </c>
      <c r="G91" s="43">
        <f t="shared" ref="G91" si="121">IFERROR(F91/E91,"")</f>
        <v>1789.3308990368596</v>
      </c>
      <c r="H91" s="27">
        <v>0.60053131282804129</v>
      </c>
      <c r="I91" s="59">
        <f>(B91/('Consumidores Inadimplentes'!B127*1000000))</f>
        <v>1.5638897184661531E-2</v>
      </c>
    </row>
    <row r="92" spans="1:16" x14ac:dyDescent="0.35">
      <c r="A92" s="5">
        <v>46143</v>
      </c>
      <c r="B92" s="30">
        <v>1306986</v>
      </c>
      <c r="C92" s="30">
        <v>6130700</v>
      </c>
      <c r="D92" s="30">
        <v>10962880870</v>
      </c>
      <c r="E92" s="34">
        <f t="shared" ref="E92" si="122">IFERROR(C92/B92,"")</f>
        <v>4.6907158913714451</v>
      </c>
      <c r="F92" s="43">
        <f t="shared" ref="F92" si="123">IFERROR(D92/B92,"")</f>
        <v>8387.909947007849</v>
      </c>
      <c r="G92" s="43">
        <f t="shared" ref="G92" si="124">IFERROR(F92/E92,"")</f>
        <v>1788.193986004861</v>
      </c>
      <c r="H92" s="27">
        <v>0.6012805065716017</v>
      </c>
      <c r="I92" s="59">
        <f>(B92/('Consumidores Inadimplentes'!B128*1000000))</f>
        <v>1.5651993466186769E-2</v>
      </c>
    </row>
    <row r="93" spans="1:16" x14ac:dyDescent="0.35">
      <c r="A93" s="5">
        <v>46174</v>
      </c>
      <c r="B93" s="30">
        <v>1312916</v>
      </c>
      <c r="C93" s="30">
        <v>6179542</v>
      </c>
      <c r="D93" s="30">
        <v>11073891159</v>
      </c>
      <c r="E93" s="34">
        <f t="shared" ref="E93" si="125">IFERROR(C93/B93,"")</f>
        <v>4.7067306666991646</v>
      </c>
      <c r="F93" s="43">
        <f t="shared" ref="F93" si="126">IFERROR(D93/B93,"")</f>
        <v>8434.5770475795871</v>
      </c>
      <c r="G93" s="43">
        <f t="shared" ref="G93" si="127">IFERROR(F93/E93,"")</f>
        <v>1792.0245803006114</v>
      </c>
      <c r="H93" s="27">
        <v>0.60343367917703483</v>
      </c>
      <c r="I93" s="59">
        <f>(B93/('Consumidores Inadimplentes'!B129*1000000))</f>
        <v>1.5678931683646556E-2</v>
      </c>
    </row>
    <row r="94" spans="1:16" x14ac:dyDescent="0.35">
      <c r="A94" s="5">
        <v>46204</v>
      </c>
      <c r="B94" s="30">
        <v>1313053</v>
      </c>
      <c r="C94" s="30">
        <v>6202664</v>
      </c>
      <c r="D94" s="30">
        <v>11161304790</v>
      </c>
      <c r="E94" s="34">
        <f t="shared" ref="E94" si="128">IFERROR(C94/B94,"")</f>
        <v>4.7238489230823131</v>
      </c>
      <c r="F94" s="43">
        <f t="shared" ref="F94" si="129">IFERROR(D94/B94,"")</f>
        <v>8500.2698215532801</v>
      </c>
      <c r="G94" s="43">
        <f t="shared" ref="G94" si="130">IFERROR(F94/E94,"")</f>
        <v>1799.4372724364882</v>
      </c>
      <c r="H94" s="27">
        <v>0.60292247179970371</v>
      </c>
      <c r="I94" s="59">
        <f>(B94/('Consumidores Inadimplentes'!B130*1000000))</f>
        <v>1.5644263008501726E-2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1D57-DF84-45BA-B415-44F0F2AD0D74}">
  <sheetPr codeName="Planilha16"/>
  <dimension ref="A1:P99"/>
  <sheetViews>
    <sheetView zoomScale="90" zoomScaleNormal="90" workbookViewId="0">
      <pane xSplit="1" ySplit="3" topLeftCell="B84" activePane="bottomRight" state="frozen"/>
      <selection activeCell="H93" sqref="H93"/>
      <selection pane="topRight" activeCell="H93" sqref="H93"/>
      <selection pane="bottomLeft" activeCell="H93" sqref="H93"/>
      <selection pane="bottomRight" activeCell="I1" sqref="I1:I104857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32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1108589</v>
      </c>
      <c r="C4" s="29">
        <v>4457170</v>
      </c>
      <c r="D4" s="29">
        <v>4515476341.8700047</v>
      </c>
      <c r="E4" s="33">
        <f t="shared" ref="E4:E33" si="0">C4/B4</f>
        <v>4.0205793129825391</v>
      </c>
      <c r="F4" s="45">
        <f>D4/B4</f>
        <v>4073.1744062677913</v>
      </c>
      <c r="G4" s="45">
        <f t="shared" ref="G4" si="1">F4/E4</f>
        <v>1013.0814713977713</v>
      </c>
      <c r="H4" s="26">
        <v>0.43749339076715421</v>
      </c>
      <c r="I4" s="58">
        <f>(B4/('Consumidores Inadimplentes'!B40*1000000))</f>
        <v>1.7829742412348842E-2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1115794</v>
      </c>
      <c r="C5" s="30">
        <v>4465849</v>
      </c>
      <c r="D5" s="30">
        <v>4492944580.8700113</v>
      </c>
      <c r="E5" s="34">
        <f t="shared" si="0"/>
        <v>4.0023956034895329</v>
      </c>
      <c r="F5" s="43">
        <f t="shared" ref="F5:F45" si="2">D5/B5</f>
        <v>4026.6792802883069</v>
      </c>
      <c r="G5" s="43">
        <f t="shared" ref="G5:G45" si="3">F5/E5</f>
        <v>1006.0672854971162</v>
      </c>
      <c r="H5" s="27">
        <v>0.43945175972697109</v>
      </c>
      <c r="I5" s="59">
        <f>(B5/('Consumidores Inadimplentes'!B41*1000000))</f>
        <v>1.7946628614076456E-2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1139245</v>
      </c>
      <c r="C6" s="30">
        <v>4527942</v>
      </c>
      <c r="D6" s="30">
        <v>4607192550.1900072</v>
      </c>
      <c r="E6" s="34">
        <f t="shared" si="0"/>
        <v>3.9745111894280862</v>
      </c>
      <c r="F6" s="43">
        <f t="shared" si="2"/>
        <v>4044.0752868698191</v>
      </c>
      <c r="G6" s="43">
        <f t="shared" si="3"/>
        <v>1017.5025541824535</v>
      </c>
      <c r="H6" s="27">
        <v>0.44802484012151672</v>
      </c>
      <c r="I6" s="59">
        <f>(B6/('Consumidores Inadimplentes'!B42*1000000))</f>
        <v>1.8094719414353994E-2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1160010</v>
      </c>
      <c r="C7" s="30">
        <v>4573109</v>
      </c>
      <c r="D7" s="30">
        <v>4622325062.3599873</v>
      </c>
      <c r="E7" s="34">
        <f t="shared" si="0"/>
        <v>3.9423013594710392</v>
      </c>
      <c r="F7" s="43">
        <f t="shared" si="2"/>
        <v>3984.7286336841812</v>
      </c>
      <c r="G7" s="43">
        <f t="shared" si="3"/>
        <v>1010.762057576145</v>
      </c>
      <c r="H7" s="27">
        <v>0.45507926007382871</v>
      </c>
      <c r="I7" s="59">
        <f>(B7/('Consumidores Inadimplentes'!B43*1000000))</f>
        <v>1.8353019308285728E-2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1134721</v>
      </c>
      <c r="C8" s="30">
        <v>4514349</v>
      </c>
      <c r="D8" s="30">
        <v>4711751248.0200109</v>
      </c>
      <c r="E8" s="34">
        <f t="shared" si="0"/>
        <v>3.9783779448868928</v>
      </c>
      <c r="F8" s="43">
        <f t="shared" si="2"/>
        <v>4152.343393680042</v>
      </c>
      <c r="G8" s="43">
        <f t="shared" si="3"/>
        <v>1043.727733061846</v>
      </c>
      <c r="H8" s="27">
        <v>0.44124047813929851</v>
      </c>
      <c r="I8" s="59">
        <f>(B8/('Consumidores Inadimplentes'!B44*1000000))</f>
        <v>1.790497549184477E-2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1161902</v>
      </c>
      <c r="C9" s="30">
        <v>4572864</v>
      </c>
      <c r="D9" s="30">
        <v>4730179092.940011</v>
      </c>
      <c r="E9" s="34">
        <f t="shared" si="0"/>
        <v>3.9356709946277739</v>
      </c>
      <c r="F9" s="43">
        <f t="shared" si="2"/>
        <v>4071.0654538334652</v>
      </c>
      <c r="G9" s="43">
        <f t="shared" si="3"/>
        <v>1034.4018743920683</v>
      </c>
      <c r="H9" s="27">
        <v>0.4564766109023346</v>
      </c>
      <c r="I9" s="59">
        <f>(B9/('Consumidores Inadimplentes'!B45*1000000))</f>
        <v>1.8311920579576726E-2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1162279</v>
      </c>
      <c r="C10" s="30">
        <v>4588264</v>
      </c>
      <c r="D10" s="30">
        <v>4757651097.8900013</v>
      </c>
      <c r="E10" s="34">
        <f t="shared" si="0"/>
        <v>3.9476442403243972</v>
      </c>
      <c r="F10" s="43">
        <f t="shared" si="2"/>
        <v>4093.3812775503998</v>
      </c>
      <c r="G10" s="43">
        <f t="shared" si="3"/>
        <v>1036.9174698513427</v>
      </c>
      <c r="H10" s="27">
        <v>0.45546563941196255</v>
      </c>
      <c r="I10" s="59">
        <f>(B10/('Consumidores Inadimplentes'!B46*1000000))</f>
        <v>1.8314171413026804E-2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1181726</v>
      </c>
      <c r="C11" s="30">
        <v>4684654</v>
      </c>
      <c r="D11" s="30">
        <v>4856290849.9000015</v>
      </c>
      <c r="E11" s="34">
        <f t="shared" si="0"/>
        <v>3.9642472112824803</v>
      </c>
      <c r="F11" s="43">
        <f t="shared" si="2"/>
        <v>4109.4897208828452</v>
      </c>
      <c r="G11" s="43">
        <f t="shared" si="3"/>
        <v>1036.6381060159408</v>
      </c>
      <c r="H11" s="27">
        <v>0.46242946022125847</v>
      </c>
      <c r="I11" s="59">
        <f>(B11/('Consumidores Inadimplentes'!B47*1000000))</f>
        <v>1.8631001079823829E-2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1191105</v>
      </c>
      <c r="C12" s="30">
        <v>4688444</v>
      </c>
      <c r="D12" s="30">
        <v>4787672362.0700054</v>
      </c>
      <c r="E12" s="34">
        <f t="shared" si="0"/>
        <v>3.9362138518434562</v>
      </c>
      <c r="F12" s="43">
        <f t="shared" si="2"/>
        <v>4019.5216727912361</v>
      </c>
      <c r="G12" s="43">
        <f t="shared" si="3"/>
        <v>1021.1644550025563</v>
      </c>
      <c r="H12" s="27">
        <v>0.46533228476762978</v>
      </c>
      <c r="I12" s="59">
        <f>(B12/('Consumidores Inadimplentes'!B48*1000000))</f>
        <v>1.8844627466092983E-2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1202219</v>
      </c>
      <c r="C13" s="30">
        <v>4818367</v>
      </c>
      <c r="D13" s="30">
        <v>4883290254.8700047</v>
      </c>
      <c r="E13" s="34">
        <f t="shared" si="0"/>
        <v>4.0078945682941294</v>
      </c>
      <c r="F13" s="43">
        <f t="shared" si="2"/>
        <v>4061.897420411759</v>
      </c>
      <c r="G13" s="43">
        <f t="shared" si="3"/>
        <v>1013.4741199393912</v>
      </c>
      <c r="H13" s="27">
        <v>0.46890099020713694</v>
      </c>
      <c r="I13" s="59">
        <f>(B13/('Consumidores Inadimplentes'!B49*1000000))</f>
        <v>1.8828386092022087E-2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1235086</v>
      </c>
      <c r="C14" s="30">
        <v>4956279</v>
      </c>
      <c r="D14" s="30">
        <v>5045707045.0599947</v>
      </c>
      <c r="E14" s="34">
        <f t="shared" si="0"/>
        <v>4.0129019355737174</v>
      </c>
      <c r="F14" s="43">
        <f t="shared" si="2"/>
        <v>4085.3082660316727</v>
      </c>
      <c r="G14" s="43">
        <f t="shared" si="3"/>
        <v>1018.0433839701103</v>
      </c>
      <c r="H14" s="27">
        <v>0.48092702255643782</v>
      </c>
      <c r="I14" s="59">
        <f>(B14/('Consumidores Inadimplentes'!B50*1000000))</f>
        <v>1.934629186700302E-2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1200685</v>
      </c>
      <c r="C15" s="31">
        <v>4874629</v>
      </c>
      <c r="D15" s="31">
        <v>5085391979.0499916</v>
      </c>
      <c r="E15" s="35">
        <f t="shared" si="0"/>
        <v>4.0598733223118471</v>
      </c>
      <c r="F15" s="43">
        <f t="shared" si="2"/>
        <v>4235.4089366070129</v>
      </c>
      <c r="G15" s="43">
        <f t="shared" si="3"/>
        <v>1043.2367220254077</v>
      </c>
      <c r="H15" s="27">
        <v>0.4667619872872148</v>
      </c>
      <c r="I15" s="59">
        <f>(B15/('Consumidores Inadimplentes'!B51*1000000))</f>
        <v>1.8965967344420062E-2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1205842</v>
      </c>
      <c r="C16" s="29">
        <v>4895366</v>
      </c>
      <c r="D16" s="29">
        <v>5107223594.9399986</v>
      </c>
      <c r="E16" s="33">
        <f t="shared" si="0"/>
        <v>4.0597076565586541</v>
      </c>
      <c r="F16" s="45">
        <f t="shared" si="2"/>
        <v>4235.4003218829657</v>
      </c>
      <c r="G16" s="45">
        <f t="shared" si="3"/>
        <v>1043.2771717048324</v>
      </c>
      <c r="H16" s="26">
        <v>0.46799499963712049</v>
      </c>
      <c r="I16" s="59">
        <f>(B16/('Consumidores Inadimplentes'!B52*1000000))</f>
        <v>1.8905572010819292E-2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1233199</v>
      </c>
      <c r="C17" s="30">
        <v>4990209</v>
      </c>
      <c r="D17" s="30">
        <v>5124274180.6199903</v>
      </c>
      <c r="E17" s="34">
        <f t="shared" si="0"/>
        <v>4.0465561519268176</v>
      </c>
      <c r="F17" s="43">
        <f t="shared" si="2"/>
        <v>4155.2694906661382</v>
      </c>
      <c r="G17" s="43">
        <f t="shared" si="3"/>
        <v>1026.865644428919</v>
      </c>
      <c r="H17" s="27">
        <v>0.47782446329947126</v>
      </c>
      <c r="I17" s="59">
        <f>(B17/('Consumidores Inadimplentes'!B53*1000000))</f>
        <v>1.9302001676483195E-2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1250977</v>
      </c>
      <c r="C18" s="30">
        <v>5051378</v>
      </c>
      <c r="D18" s="30">
        <v>5209026180.8999949</v>
      </c>
      <c r="E18" s="34">
        <f t="shared" si="0"/>
        <v>4.0379463411397651</v>
      </c>
      <c r="F18" s="43">
        <f t="shared" si="2"/>
        <v>4163.966388590673</v>
      </c>
      <c r="G18" s="43">
        <f t="shared" si="3"/>
        <v>1031.2089455392161</v>
      </c>
      <c r="H18" s="27">
        <v>0.4839148541768693</v>
      </c>
      <c r="I18" s="59">
        <f>(B18/('Consumidores Inadimplentes'!B54*1000000))</f>
        <v>1.9301434156868618E-2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1292383</v>
      </c>
      <c r="C19" s="30">
        <v>5168089</v>
      </c>
      <c r="D19" s="30">
        <v>5263657267.8400135</v>
      </c>
      <c r="E19" s="34">
        <f t="shared" si="0"/>
        <v>3.9988834579223034</v>
      </c>
      <c r="F19" s="43">
        <f t="shared" si="2"/>
        <v>4072.8307845584577</v>
      </c>
      <c r="G19" s="43">
        <f t="shared" si="3"/>
        <v>1018.4919934312302</v>
      </c>
      <c r="H19" s="27">
        <v>0.4991088603801449</v>
      </c>
      <c r="I19" s="59">
        <f>(B19/('Consumidores Inadimplentes'!B55*1000000))</f>
        <v>1.9608712136131766E-2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1285579</v>
      </c>
      <c r="C20" s="30">
        <v>5144181</v>
      </c>
      <c r="D20" s="30">
        <v>5205580279.7100105</v>
      </c>
      <c r="E20" s="34">
        <f t="shared" si="0"/>
        <v>4.0014507082022961</v>
      </c>
      <c r="F20" s="43">
        <f t="shared" si="2"/>
        <v>4049.2107289478208</v>
      </c>
      <c r="G20" s="43">
        <f t="shared" si="3"/>
        <v>1011.9356763904713</v>
      </c>
      <c r="H20" s="27">
        <v>0.4956638344943094</v>
      </c>
      <c r="I20" s="59">
        <f>(B20/('Consumidores Inadimplentes'!B56*1000000))</f>
        <v>1.9707814007625068E-2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1262830</v>
      </c>
      <c r="C21" s="30">
        <v>5038514</v>
      </c>
      <c r="D21" s="30">
        <v>5107437318.3100014</v>
      </c>
      <c r="E21" s="34">
        <f t="shared" si="0"/>
        <v>3.9898592843058842</v>
      </c>
      <c r="F21" s="43">
        <f t="shared" si="2"/>
        <v>4044.4377456268867</v>
      </c>
      <c r="G21" s="43">
        <f t="shared" si="3"/>
        <v>1013.6792947900911</v>
      </c>
      <c r="H21" s="27">
        <v>0.48529041604940404</v>
      </c>
      <c r="I21" s="59">
        <f>(B21/('Consumidores Inadimplentes'!B57*1000000))</f>
        <v>1.9731505711399273E-2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1244500</v>
      </c>
      <c r="C22" s="30">
        <v>4893610</v>
      </c>
      <c r="D22" s="30">
        <v>5129428774.4599876</v>
      </c>
      <c r="E22" s="34">
        <f t="shared" si="0"/>
        <v>3.9321896343913219</v>
      </c>
      <c r="F22" s="43">
        <f t="shared" si="2"/>
        <v>4121.6784045480017</v>
      </c>
      <c r="G22" s="43">
        <f t="shared" si="3"/>
        <v>1048.1891230523045</v>
      </c>
      <c r="H22" s="27">
        <v>0.47755253653497548</v>
      </c>
      <c r="I22" s="59">
        <f>(B22/('Consumidores Inadimplentes'!B58*1000000))</f>
        <v>1.9597460137671645E-2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1227533</v>
      </c>
      <c r="C23" s="30">
        <v>5023262</v>
      </c>
      <c r="D23" s="30">
        <v>5247037474.6699724</v>
      </c>
      <c r="E23" s="34">
        <f t="shared" si="0"/>
        <v>4.0921604551568063</v>
      </c>
      <c r="F23" s="43">
        <f t="shared" si="2"/>
        <v>4274.4573666614033</v>
      </c>
      <c r="G23" s="43">
        <f t="shared" si="3"/>
        <v>1044.5478405605704</v>
      </c>
      <c r="H23" s="27">
        <v>0.47035844373208185</v>
      </c>
      <c r="I23" s="59">
        <f>(B23/('Consumidores Inadimplentes'!B59*1000000))</f>
        <v>1.9469065960865516E-2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1226564</v>
      </c>
      <c r="C24" s="30">
        <v>4841880</v>
      </c>
      <c r="D24" s="30">
        <v>5106063098.2299881</v>
      </c>
      <c r="E24" s="34">
        <f t="shared" si="0"/>
        <v>3.9475151724655215</v>
      </c>
      <c r="F24" s="43">
        <f t="shared" si="2"/>
        <v>4162.8998553927786</v>
      </c>
      <c r="G24" s="43">
        <f t="shared" si="3"/>
        <v>1054.5620912186978</v>
      </c>
      <c r="H24" s="27">
        <v>0.46930525020527447</v>
      </c>
      <c r="I24" s="59">
        <f>(B24/('Consumidores Inadimplentes'!B60*1000000))</f>
        <v>1.9542697027428071E-2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1203469</v>
      </c>
      <c r="C25" s="30">
        <v>4740485</v>
      </c>
      <c r="D25" s="30">
        <v>5022786695.3399868</v>
      </c>
      <c r="E25" s="34">
        <f t="shared" si="0"/>
        <v>3.9390171246621226</v>
      </c>
      <c r="F25" s="43">
        <f t="shared" si="2"/>
        <v>4173.5904251293441</v>
      </c>
      <c r="G25" s="43">
        <f t="shared" si="3"/>
        <v>1059.5512263702947</v>
      </c>
      <c r="H25" s="27">
        <v>0.45980069313826738</v>
      </c>
      <c r="I25" s="59">
        <f>(B25/('Consumidores Inadimplentes'!B61*1000000))</f>
        <v>1.9323589197946186E-2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1200222</v>
      </c>
      <c r="C26" s="30">
        <v>4712136</v>
      </c>
      <c r="D26" s="30">
        <v>4968483480.6899929</v>
      </c>
      <c r="E26" s="34">
        <f t="shared" si="0"/>
        <v>3.9260536800691872</v>
      </c>
      <c r="F26" s="43">
        <f t="shared" si="2"/>
        <v>4139.6370677174664</v>
      </c>
      <c r="G26" s="43">
        <f t="shared" si="3"/>
        <v>1054.4015454328978</v>
      </c>
      <c r="H26" s="27">
        <v>0.45789482117554958</v>
      </c>
      <c r="I26" s="59">
        <f>(B26/('Consumidores Inadimplentes'!B62*1000000))</f>
        <v>1.9374451088131846E-2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1182850</v>
      </c>
      <c r="C27" s="31">
        <v>4614734</v>
      </c>
      <c r="D27" s="31">
        <v>4874379292.349987</v>
      </c>
      <c r="E27" s="35">
        <f t="shared" si="0"/>
        <v>3.9013687280720295</v>
      </c>
      <c r="F27" s="46">
        <f t="shared" si="2"/>
        <v>4120.8769432725931</v>
      </c>
      <c r="G27" s="46">
        <f t="shared" si="3"/>
        <v>1056.2644114156931</v>
      </c>
      <c r="H27" s="28">
        <v>0.45061261372458933</v>
      </c>
      <c r="I27" s="59">
        <f>(B27/('Consumidores Inadimplentes'!B63*1000000))</f>
        <v>1.9276813361285162E-2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1200315</v>
      </c>
      <c r="C28" s="29">
        <v>4666282</v>
      </c>
      <c r="D28" s="29">
        <v>4968886553.3500061</v>
      </c>
      <c r="E28" s="33">
        <f t="shared" si="0"/>
        <v>3.8875478520221773</v>
      </c>
      <c r="F28" s="45">
        <f t="shared" si="2"/>
        <v>4139.6521357726979</v>
      </c>
      <c r="G28" s="45">
        <f t="shared" si="3"/>
        <v>1064.84917828584</v>
      </c>
      <c r="H28" s="26">
        <v>0.45660256634596219</v>
      </c>
      <c r="I28" s="59">
        <f>(B28/('Consumidores Inadimplentes'!B64*1000000))</f>
        <v>1.9463720948310968E-2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1204548</v>
      </c>
      <c r="C29" s="30">
        <v>4680089</v>
      </c>
      <c r="D29" s="30">
        <v>5038194391.429985</v>
      </c>
      <c r="E29" s="34">
        <f t="shared" si="0"/>
        <v>3.8853486951121914</v>
      </c>
      <c r="F29" s="43">
        <f t="shared" si="2"/>
        <v>4182.6431088092668</v>
      </c>
      <c r="G29" s="43">
        <f t="shared" si="3"/>
        <v>1076.5167909050415</v>
      </c>
      <c r="H29" s="27">
        <v>0.45754810331172618</v>
      </c>
      <c r="I29" s="59">
        <f>(B29/('Consumidores Inadimplentes'!B65*1000000))</f>
        <v>1.9568639250403311E-2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1226748</v>
      </c>
      <c r="C30" s="30">
        <v>4718752</v>
      </c>
      <c r="D30" s="30">
        <v>5090533649.4800024</v>
      </c>
      <c r="E30" s="34">
        <f t="shared" si="0"/>
        <v>3.8465536524208721</v>
      </c>
      <c r="F30" s="43">
        <f t="shared" si="2"/>
        <v>4149.6164244653364</v>
      </c>
      <c r="G30" s="43">
        <f t="shared" si="3"/>
        <v>1078.7881307345676</v>
      </c>
      <c r="H30" s="27">
        <v>0.46530472910439835</v>
      </c>
      <c r="I30" s="59">
        <f>(B30/('Consumidores Inadimplentes'!B66*1000000))</f>
        <v>1.9609979216984843E-2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1230134</v>
      </c>
      <c r="C31" s="30">
        <v>4727519</v>
      </c>
      <c r="D31" s="30">
        <v>5137443136.8100052</v>
      </c>
      <c r="E31" s="34">
        <f t="shared" si="0"/>
        <v>3.8430927037217084</v>
      </c>
      <c r="F31" s="43">
        <f t="shared" si="2"/>
        <v>4176.3280559760196</v>
      </c>
      <c r="G31" s="43">
        <f t="shared" si="3"/>
        <v>1086.7102039801437</v>
      </c>
      <c r="H31" s="27">
        <v>0.46591219837365117</v>
      </c>
      <c r="I31" s="59">
        <f>(B31/('Consumidores Inadimplentes'!B67*1000000))</f>
        <v>1.9531649670478216E-2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1230553</v>
      </c>
      <c r="C32" s="30">
        <v>4704962</v>
      </c>
      <c r="D32" s="30">
        <v>5153106905.0499973</v>
      </c>
      <c r="E32" s="34">
        <f t="shared" si="0"/>
        <v>3.8234533579618271</v>
      </c>
      <c r="F32" s="43">
        <f t="shared" si="2"/>
        <v>4187.6350754904479</v>
      </c>
      <c r="G32" s="43">
        <f t="shared" si="3"/>
        <v>1095.2494207285833</v>
      </c>
      <c r="H32" s="27">
        <v>0.4653947307710054</v>
      </c>
      <c r="I32" s="59">
        <f>(B32/('Consumidores Inadimplentes'!B68*1000000))</f>
        <v>1.9670340569964532E-2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1227240</v>
      </c>
      <c r="C33" s="30">
        <v>4712255</v>
      </c>
      <c r="D33" s="30">
        <v>5097527463.2000103</v>
      </c>
      <c r="E33" s="34">
        <f t="shared" si="0"/>
        <v>3.8397175776539227</v>
      </c>
      <c r="F33" s="43">
        <f t="shared" si="2"/>
        <v>4153.6516599850156</v>
      </c>
      <c r="G33" s="43">
        <f t="shared" si="3"/>
        <v>1081.759680492675</v>
      </c>
      <c r="H33" s="27">
        <v>0.46346831584306036</v>
      </c>
      <c r="I33" s="59">
        <f>(B33/('Consumidores Inadimplentes'!B69*1000000))</f>
        <v>1.9632877163241542E-2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1260778</v>
      </c>
      <c r="C34" s="30">
        <v>4790755</v>
      </c>
      <c r="D34" s="30">
        <v>5110692355.5700035</v>
      </c>
      <c r="E34" s="34">
        <f>C34/B34</f>
        <v>3.7998402573648971</v>
      </c>
      <c r="F34" s="43">
        <f t="shared" si="2"/>
        <v>4053.6021056601585</v>
      </c>
      <c r="G34" s="43">
        <f t="shared" si="3"/>
        <v>1066.7822411227464</v>
      </c>
      <c r="H34" s="27">
        <v>0.47613415223189892</v>
      </c>
      <c r="I34" s="59">
        <f>(B34/('Consumidores Inadimplentes'!B70*1000000))</f>
        <v>2.0262008671866762E-2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1242235</v>
      </c>
      <c r="C35" s="30">
        <v>4741121</v>
      </c>
      <c r="D35" s="30">
        <v>5128919230.2299967</v>
      </c>
      <c r="E35" s="34">
        <f>C35/B35</f>
        <v>3.8166055536995818</v>
      </c>
      <c r="F35" s="43">
        <f t="shared" si="2"/>
        <v>4128.7833865814409</v>
      </c>
      <c r="G35" s="43">
        <f t="shared" si="3"/>
        <v>1081.7946283653162</v>
      </c>
      <c r="H35" s="27">
        <v>0.46846987162130055</v>
      </c>
      <c r="I35" s="59">
        <f>(B35/('Consumidores Inadimplentes'!B71*1000000))</f>
        <v>1.9955981448946249E-2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1247460</v>
      </c>
      <c r="C36" s="30">
        <v>4749897</v>
      </c>
      <c r="D36" s="30">
        <v>5118010967.9700069</v>
      </c>
      <c r="E36" s="34">
        <f>C36/B36</f>
        <v>3.807654754461065</v>
      </c>
      <c r="F36" s="43">
        <f t="shared" si="2"/>
        <v>4102.7455533403936</v>
      </c>
      <c r="G36" s="43">
        <f t="shared" si="3"/>
        <v>1077.499357979764</v>
      </c>
      <c r="H36" s="27">
        <v>0.4697768460185936</v>
      </c>
      <c r="I36" s="59">
        <f>(B36/('Consumidores Inadimplentes'!B72*1000000))</f>
        <v>2.0052316120794847E-2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1250668</v>
      </c>
      <c r="C37" s="30">
        <v>4861120</v>
      </c>
      <c r="D37" s="30">
        <v>5251053226.4699955</v>
      </c>
      <c r="E37" s="34">
        <f>C37/B37</f>
        <v>3.8868188839883966</v>
      </c>
      <c r="F37" s="43">
        <f t="shared" si="2"/>
        <v>4198.5988499505829</v>
      </c>
      <c r="G37" s="43">
        <f t="shared" si="3"/>
        <v>1080.2146884812544</v>
      </c>
      <c r="H37" s="27">
        <v>0.47032074913290972</v>
      </c>
      <c r="I37" s="59">
        <f>(B37/('Consumidores Inadimplentes'!B73*1000000))</f>
        <v>1.9725055623730118E-2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1283797</v>
      </c>
      <c r="C38" s="30">
        <v>4999878</v>
      </c>
      <c r="D38" s="30">
        <v>5406806030.9899979</v>
      </c>
      <c r="E38" s="34">
        <f t="shared" ref="E38:E45" si="4">C38/B38</f>
        <v>3.8946017166265383</v>
      </c>
      <c r="F38" s="43">
        <f t="shared" si="2"/>
        <v>4211.5739723569986</v>
      </c>
      <c r="G38" s="43">
        <f t="shared" si="3"/>
        <v>1081.3875920552457</v>
      </c>
      <c r="H38" s="27">
        <v>0.48209833056445967</v>
      </c>
      <c r="I38" s="59">
        <f>(B38/('Consumidores Inadimplentes'!B74*1000000))</f>
        <v>1.9975160911826679E-2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1260028</v>
      </c>
      <c r="C39" s="31">
        <v>4915195</v>
      </c>
      <c r="D39" s="31">
        <v>5298052295.76999</v>
      </c>
      <c r="E39" s="35">
        <f t="shared" si="4"/>
        <v>3.9008617268822596</v>
      </c>
      <c r="F39" s="46">
        <f t="shared" si="2"/>
        <v>4204.7099713418984</v>
      </c>
      <c r="G39" s="46">
        <f t="shared" si="3"/>
        <v>1077.8925954656916</v>
      </c>
      <c r="H39" s="28">
        <v>0.47250530244167316</v>
      </c>
      <c r="I39" s="59">
        <f>(B39/('Consumidores Inadimplentes'!B75*1000000))</f>
        <v>1.9696907594824356E-2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1240134</v>
      </c>
      <c r="C40" s="29">
        <v>4992740</v>
      </c>
      <c r="D40" s="29">
        <v>5407353811.2099934</v>
      </c>
      <c r="E40" s="33">
        <f t="shared" si="4"/>
        <v>4.0259681615051273</v>
      </c>
      <c r="F40" s="45">
        <f t="shared" si="2"/>
        <v>4360.2980090941728</v>
      </c>
      <c r="G40" s="45">
        <f t="shared" si="3"/>
        <v>1083.0433411733825</v>
      </c>
      <c r="H40" s="26">
        <v>0.46438930791750643</v>
      </c>
      <c r="I40" s="59">
        <f>(B40/('Consumidores Inadimplentes'!B76*1000000))</f>
        <v>1.9132720479774563E-2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1247521</v>
      </c>
      <c r="C41" s="30">
        <v>5051263</v>
      </c>
      <c r="D41" s="30">
        <v>5474748951.2899742</v>
      </c>
      <c r="E41" s="34">
        <f t="shared" si="4"/>
        <v>4.0490404570343905</v>
      </c>
      <c r="F41" s="43">
        <f t="shared" si="2"/>
        <v>4388.5024390691415</v>
      </c>
      <c r="G41" s="43">
        <f t="shared" si="3"/>
        <v>1083.8376365059539</v>
      </c>
      <c r="H41" s="27">
        <v>0.46649674878740932</v>
      </c>
      <c r="I41" s="59">
        <f>(B41/('Consumidores Inadimplentes'!B77*1000000))</f>
        <v>1.9142816448753219E-2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1251547</v>
      </c>
      <c r="C42" s="30">
        <v>5097763</v>
      </c>
      <c r="D42" s="30">
        <v>5486478845.9399652</v>
      </c>
      <c r="E42" s="34">
        <f t="shared" si="4"/>
        <v>4.0731694454942566</v>
      </c>
      <c r="F42" s="43">
        <f t="shared" si="2"/>
        <v>4383.7577381752062</v>
      </c>
      <c r="G42" s="43">
        <f t="shared" si="3"/>
        <v>1076.2522396470695</v>
      </c>
      <c r="H42" s="27">
        <v>0.46734234276285108</v>
      </c>
      <c r="I42" s="59">
        <f>(B42/('Consumidores Inadimplentes'!B78*1000000))</f>
        <v>1.9051166665464119E-2</v>
      </c>
    </row>
    <row r="43" spans="1:16" x14ac:dyDescent="0.35">
      <c r="A43" s="5">
        <v>44652</v>
      </c>
      <c r="B43" s="30">
        <v>1263156</v>
      </c>
      <c r="C43" s="30">
        <v>5129013</v>
      </c>
      <c r="D43" s="30">
        <v>5477537754.9299355</v>
      </c>
      <c r="E43" s="34">
        <f t="shared" si="4"/>
        <v>4.0604747157120737</v>
      </c>
      <c r="F43" s="43">
        <f t="shared" si="2"/>
        <v>4336.3905605720402</v>
      </c>
      <c r="G43" s="43">
        <f t="shared" si="3"/>
        <v>1067.9516224524943</v>
      </c>
      <c r="H43" s="27">
        <v>0.47101209602090544</v>
      </c>
      <c r="I43" s="59">
        <f>(B43/('Consumidores Inadimplentes'!B79*1000000))</f>
        <v>1.9100332709990387E-2</v>
      </c>
    </row>
    <row r="44" spans="1:16" x14ac:dyDescent="0.35">
      <c r="A44" s="5">
        <v>44682</v>
      </c>
      <c r="B44" s="30">
        <v>1246391</v>
      </c>
      <c r="C44" s="30">
        <v>5342867</v>
      </c>
      <c r="D44" s="30">
        <v>5689864073.8099518</v>
      </c>
      <c r="E44" s="34">
        <f t="shared" si="4"/>
        <v>4.2866700738371826</v>
      </c>
      <c r="F44" s="43">
        <f t="shared" si="2"/>
        <v>4565.0715335797131</v>
      </c>
      <c r="G44" s="43">
        <f t="shared" si="3"/>
        <v>1064.945856561646</v>
      </c>
      <c r="H44" s="27">
        <v>0.46410530619479307</v>
      </c>
      <c r="I44" s="59">
        <f>(B44/('Consumidores Inadimplentes'!B80*1000000))</f>
        <v>1.8720252434453938E-2</v>
      </c>
    </row>
    <row r="45" spans="1:16" x14ac:dyDescent="0.35">
      <c r="A45" s="5">
        <v>44713</v>
      </c>
      <c r="B45" s="30">
        <v>1249567</v>
      </c>
      <c r="C45" s="30">
        <v>5510935</v>
      </c>
      <c r="D45" s="30">
        <v>5793218199.4999399</v>
      </c>
      <c r="E45" s="34">
        <f t="shared" si="4"/>
        <v>4.4102757195092384</v>
      </c>
      <c r="F45" s="43">
        <f t="shared" si="2"/>
        <v>4636.1805325364221</v>
      </c>
      <c r="G45" s="43">
        <f t="shared" si="3"/>
        <v>1051.2223786889047</v>
      </c>
      <c r="H45" s="27">
        <v>0.46463186545547841</v>
      </c>
      <c r="I45" s="59">
        <f>(B45/('Consumidores Inadimplentes'!B81*1000000))</f>
        <v>1.8700878684648179E-2</v>
      </c>
    </row>
    <row r="46" spans="1:16" x14ac:dyDescent="0.35">
      <c r="A46" s="5">
        <v>44743</v>
      </c>
      <c r="B46" s="30">
        <v>1269118</v>
      </c>
      <c r="C46" s="30">
        <v>5633535</v>
      </c>
      <c r="D46" s="30">
        <v>5880225797.8099298</v>
      </c>
      <c r="E46" s="34">
        <f t="shared" ref="E46" si="5">C46/B46</f>
        <v>4.4389371201101868</v>
      </c>
      <c r="F46" s="43">
        <f t="shared" ref="F46" si="6">D46/B46</f>
        <v>4633.3168372128757</v>
      </c>
      <c r="G46" s="43">
        <f t="shared" ref="G46" si="7">F46/E46</f>
        <v>1043.7896982640439</v>
      </c>
      <c r="H46" s="27">
        <v>0.47123593060814228</v>
      </c>
      <c r="I46" s="59">
        <f>(B46/('Consumidores Inadimplentes'!B82*1000000))</f>
        <v>1.8764971861295422E-2</v>
      </c>
    </row>
    <row r="47" spans="1:16" x14ac:dyDescent="0.35">
      <c r="A47" s="5">
        <v>44774</v>
      </c>
      <c r="B47" s="30">
        <v>1279363</v>
      </c>
      <c r="C47" s="30">
        <v>5706383</v>
      </c>
      <c r="D47" s="30">
        <v>5907182873.0599203</v>
      </c>
      <c r="E47" s="34">
        <f t="shared" ref="E47" si="8">C47/B47</f>
        <v>4.4603314305634916</v>
      </c>
      <c r="F47" s="43">
        <f t="shared" ref="F47" si="9">D47/B47</f>
        <v>4617.2844400376753</v>
      </c>
      <c r="G47" s="43">
        <f t="shared" ref="G47" si="10">F47/E47</f>
        <v>1035.1886427987606</v>
      </c>
      <c r="H47" s="27">
        <v>0.4743356735657549</v>
      </c>
      <c r="I47" s="59">
        <f>(B47/('Consumidores Inadimplentes'!B83*1000000))</f>
        <v>1.882073767509445E-2</v>
      </c>
    </row>
    <row r="48" spans="1:16" x14ac:dyDescent="0.35">
      <c r="A48" s="5">
        <v>44805</v>
      </c>
      <c r="B48" s="30">
        <v>1278735</v>
      </c>
      <c r="C48" s="30">
        <v>5733454</v>
      </c>
      <c r="D48" s="30">
        <v>6046353377.9699497</v>
      </c>
      <c r="E48" s="34">
        <f t="shared" ref="E48" si="11">C48/B48</f>
        <v>4.4836920863196834</v>
      </c>
      <c r="F48" s="43">
        <f t="shared" ref="F48" si="12">D48/B48</f>
        <v>4728.3865523114246</v>
      </c>
      <c r="G48" s="43">
        <f t="shared" ref="G48" si="13">F48/E48</f>
        <v>1054.5743243025843</v>
      </c>
      <c r="H48" s="27">
        <v>0.4733998896035167</v>
      </c>
      <c r="I48" s="59">
        <f>(B48/('Consumidores Inadimplentes'!B84*1000000))</f>
        <v>1.8698223135448711E-2</v>
      </c>
    </row>
    <row r="49" spans="1:16" x14ac:dyDescent="0.35">
      <c r="A49" s="5">
        <v>44835</v>
      </c>
      <c r="B49" s="30">
        <v>1288544</v>
      </c>
      <c r="C49" s="30">
        <v>5821076</v>
      </c>
      <c r="D49" s="30">
        <v>6103666322.0699081</v>
      </c>
      <c r="E49" s="34">
        <f t="shared" ref="E49" si="14">C49/B49</f>
        <v>4.5175609059527657</v>
      </c>
      <c r="F49" s="43">
        <f t="shared" ref="F49" si="15">D49/B49</f>
        <v>4736.8707021800637</v>
      </c>
      <c r="G49" s="43">
        <f t="shared" ref="G49" si="16">F49/E49</f>
        <v>1048.5460629735649</v>
      </c>
      <c r="H49" s="27">
        <v>0.47632397648366986</v>
      </c>
      <c r="I49" s="59">
        <f>(B49/('Consumidores Inadimplentes'!B85*1000000))</f>
        <v>1.865923392739641E-2</v>
      </c>
    </row>
    <row r="50" spans="1:16" x14ac:dyDescent="0.35">
      <c r="A50" s="5">
        <v>44866</v>
      </c>
      <c r="B50" s="30">
        <v>1287911</v>
      </c>
      <c r="C50" s="30">
        <v>5902034</v>
      </c>
      <c r="D50" s="30">
        <v>6327994042.819952</v>
      </c>
      <c r="E50" s="34">
        <f t="shared" ref="E50" si="17">C50/B50</f>
        <v>4.5826411918214847</v>
      </c>
      <c r="F50" s="43">
        <f t="shared" ref="F50" si="18">D50/B50</f>
        <v>4913.3783645142812</v>
      </c>
      <c r="G50" s="43">
        <f t="shared" ref="G50" si="19">F50/E50</f>
        <v>1072.1717365267555</v>
      </c>
      <c r="H50" s="27">
        <v>0.47538407080168654</v>
      </c>
      <c r="I50" s="59">
        <f>(B50/('Consumidores Inadimplentes'!B86*1000000))</f>
        <v>1.8442265226949833E-2</v>
      </c>
    </row>
    <row r="51" spans="1:16" ht="15" thickBot="1" x14ac:dyDescent="0.4">
      <c r="A51" s="12">
        <v>44896</v>
      </c>
      <c r="B51" s="31">
        <v>1286147</v>
      </c>
      <c r="C51" s="31">
        <v>5978382</v>
      </c>
      <c r="D51" s="31">
        <v>6370611838.2199583</v>
      </c>
      <c r="E51" s="35">
        <f t="shared" ref="E51" si="20">C51/B51</f>
        <v>4.6482882594291324</v>
      </c>
      <c r="F51" s="46">
        <f t="shared" ref="F51" si="21">D51/B51</f>
        <v>4953.2532737081829</v>
      </c>
      <c r="G51" s="46">
        <f t="shared" ref="G51" si="22">F51/E51</f>
        <v>1065.6080254189108</v>
      </c>
      <c r="H51" s="28">
        <v>0.47402905178488763</v>
      </c>
      <c r="I51" s="59">
        <f>(B51/('Consumidores Inadimplentes'!B87*1000000))</f>
        <v>1.8524552366323183E-2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1315869</v>
      </c>
      <c r="C52" s="29">
        <v>6119570</v>
      </c>
      <c r="D52" s="29">
        <v>6606880514.7399511</v>
      </c>
      <c r="E52" s="33">
        <f t="shared" ref="E52" si="23">C52/B52</f>
        <v>4.6505921182123755</v>
      </c>
      <c r="F52" s="45">
        <f t="shared" ref="F52" si="24">D52/B52</f>
        <v>5020.9257264514563</v>
      </c>
      <c r="G52" s="45">
        <f t="shared" ref="G52" si="25">F52/E52</f>
        <v>1079.6314961247197</v>
      </c>
      <c r="H52" s="26">
        <v>0.48426443912289358</v>
      </c>
      <c r="I52" s="59">
        <f>(B52/('Consumidores Inadimplentes'!B88*1000000))</f>
        <v>1.877319321163945E-2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1331828</v>
      </c>
      <c r="C53" s="30">
        <v>6160951</v>
      </c>
      <c r="D53" s="30">
        <v>6676716838.2799292</v>
      </c>
      <c r="E53" s="34">
        <f t="shared" ref="E53" si="26">C53/B53</f>
        <v>4.6259359316668522</v>
      </c>
      <c r="F53" s="43">
        <f t="shared" ref="F53" si="27">D53/B53</f>
        <v>5013.197528719872</v>
      </c>
      <c r="G53" s="43">
        <f t="shared" ref="G53" si="28">F53/E53</f>
        <v>1083.7152962716193</v>
      </c>
      <c r="H53" s="27">
        <v>0.48941089660484299</v>
      </c>
      <c r="I53" s="59">
        <f>(B53/('Consumidores Inadimplentes'!B89*1000000))</f>
        <v>1.8883960150038546E-2</v>
      </c>
    </row>
    <row r="54" spans="1:16" x14ac:dyDescent="0.35">
      <c r="A54" s="5">
        <v>44986</v>
      </c>
      <c r="B54" s="30">
        <v>1327614</v>
      </c>
      <c r="C54" s="30">
        <v>6130322</v>
      </c>
      <c r="D54" s="30">
        <v>6736569760.7399635</v>
      </c>
      <c r="E54" s="34">
        <f t="shared" ref="E54" si="29">C54/B54</f>
        <v>4.617548474179995</v>
      </c>
      <c r="F54" s="43">
        <f t="shared" ref="F54" si="30">D54/B54</f>
        <v>5074.1930717361847</v>
      </c>
      <c r="G54" s="43">
        <f t="shared" ref="G54" si="31">F54/E54</f>
        <v>1098.8932980583995</v>
      </c>
      <c r="H54" s="27">
        <v>0.4871389839538639</v>
      </c>
      <c r="I54" s="59">
        <f>(B54/('Consumidores Inadimplentes'!B90*1000000))</f>
        <v>1.8776168496204153E-2</v>
      </c>
    </row>
    <row r="55" spans="1:16" x14ac:dyDescent="0.35">
      <c r="A55" s="5">
        <v>45017</v>
      </c>
      <c r="B55" s="30">
        <v>1335139</v>
      </c>
      <c r="C55" s="30">
        <v>6188852</v>
      </c>
      <c r="D55" s="30">
        <v>6901530457.5199261</v>
      </c>
      <c r="E55" s="34">
        <f t="shared" ref="E55" si="32">C55/B55</f>
        <v>4.6353615616051957</v>
      </c>
      <c r="F55" s="43">
        <f t="shared" ref="F55" si="33">D55/B55</f>
        <v>5169.147525104072</v>
      </c>
      <c r="G55" s="43">
        <f t="shared" ref="G55" si="34">F55/E55</f>
        <v>1115.1551947792459</v>
      </c>
      <c r="H55" s="27">
        <v>0.4891737158969669</v>
      </c>
      <c r="I55" s="59">
        <f>(B55/('Consumidores Inadimplentes'!B91*1000000))</f>
        <v>1.8689066687629836E-2</v>
      </c>
    </row>
    <row r="56" spans="1:16" x14ac:dyDescent="0.35">
      <c r="A56" s="5">
        <v>45047</v>
      </c>
      <c r="B56" s="30">
        <v>1327599</v>
      </c>
      <c r="C56" s="30">
        <v>6189328</v>
      </c>
      <c r="D56" s="30">
        <v>6915916683.6399078</v>
      </c>
      <c r="E56" s="34">
        <f t="shared" ref="E56" si="35">C56/B56</f>
        <v>4.6620462956058271</v>
      </c>
      <c r="F56" s="43">
        <f t="shared" ref="F56" si="36">D56/B56</f>
        <v>5209.3415885669601</v>
      </c>
      <c r="G56" s="43">
        <f t="shared" ref="G56" si="37">F56/E56</f>
        <v>1117.3937919657687</v>
      </c>
      <c r="H56" s="27">
        <v>0.4856899520711897</v>
      </c>
      <c r="I56" s="59">
        <f>(B56/('Consumidores Inadimplentes'!B92*1000000))</f>
        <v>1.8463602379486729E-2</v>
      </c>
    </row>
    <row r="57" spans="1:16" x14ac:dyDescent="0.35">
      <c r="A57" s="5">
        <v>45078</v>
      </c>
      <c r="B57" s="30">
        <v>1335184</v>
      </c>
      <c r="C57" s="30">
        <v>6185430</v>
      </c>
      <c r="D57" s="30">
        <v>6951088037.5699692</v>
      </c>
      <c r="E57" s="34">
        <f t="shared" ref="E57" si="38">C57/B57</f>
        <v>4.6326423923594051</v>
      </c>
      <c r="F57" s="43">
        <f t="shared" ref="F57" si="39">D57/B57</f>
        <v>5206.0899752917721</v>
      </c>
      <c r="G57" s="43">
        <f t="shared" ref="G57" si="40">F57/E57</f>
        <v>1123.7841245588374</v>
      </c>
      <c r="H57" s="27">
        <v>0.48774058552950733</v>
      </c>
      <c r="I57" s="59">
        <f>(B57/('Consumidores Inadimplentes'!B93*1000000))</f>
        <v>1.8686045675501507E-2</v>
      </c>
    </row>
    <row r="58" spans="1:16" x14ac:dyDescent="0.35">
      <c r="A58" s="5">
        <v>45108</v>
      </c>
      <c r="B58" s="30">
        <v>1323575</v>
      </c>
      <c r="C58" s="30">
        <v>6125595</v>
      </c>
      <c r="D58" s="30">
        <v>7070878047.8399353</v>
      </c>
      <c r="E58" s="34">
        <f t="shared" ref="E58" si="41">C58/B58</f>
        <v>4.628067922104905</v>
      </c>
      <c r="F58" s="43">
        <f t="shared" ref="F58" si="42">D58/B58</f>
        <v>5342.2571806206188</v>
      </c>
      <c r="G58" s="43">
        <f t="shared" ref="G58" si="43">F58/E58</f>
        <v>1154.3169353899393</v>
      </c>
      <c r="H58" s="27">
        <v>0.48278293361463376</v>
      </c>
      <c r="I58" s="59">
        <f>(B58/('Consumidores Inadimplentes'!B94*1000000))</f>
        <v>1.8532523239356384E-2</v>
      </c>
    </row>
    <row r="59" spans="1:16" x14ac:dyDescent="0.35">
      <c r="A59" s="5">
        <v>45139</v>
      </c>
      <c r="B59" s="30">
        <v>1346356</v>
      </c>
      <c r="C59" s="30">
        <v>6228864</v>
      </c>
      <c r="D59" s="30">
        <v>7184754935.6099701</v>
      </c>
      <c r="E59" s="34">
        <f t="shared" ref="E59" si="44">C59/B59</f>
        <v>4.6264613519752578</v>
      </c>
      <c r="F59" s="43">
        <f t="shared" ref="F59" si="45">D59/B59</f>
        <v>5336.4451420055102</v>
      </c>
      <c r="G59" s="43">
        <f t="shared" ref="G59" si="46">F59/E59</f>
        <v>1153.4615197265457</v>
      </c>
      <c r="H59" s="27">
        <v>0.49031965778473446</v>
      </c>
      <c r="I59" s="59">
        <f>(B59/('Consumidores Inadimplentes'!B95*1000000))</f>
        <v>1.8767402999994368E-2</v>
      </c>
    </row>
    <row r="60" spans="1:16" x14ac:dyDescent="0.35">
      <c r="A60" s="5">
        <v>45170</v>
      </c>
      <c r="B60" s="30">
        <v>1385637</v>
      </c>
      <c r="C60" s="30">
        <v>6369988</v>
      </c>
      <c r="D60" s="30">
        <v>7362775524.9700089</v>
      </c>
      <c r="E60" s="34">
        <f t="shared" ref="E60:E61" si="47">C60/B60</f>
        <v>4.5971549547247941</v>
      </c>
      <c r="F60" s="43">
        <f t="shared" ref="F60:F61" si="48">D60/B60</f>
        <v>5313.6395210073124</v>
      </c>
      <c r="G60" s="43">
        <f t="shared" ref="G60:G61" si="49">F60/E60</f>
        <v>1155.8539081973167</v>
      </c>
      <c r="H60" s="27">
        <v>0.50383099132354636</v>
      </c>
      <c r="I60" s="59">
        <f>(B60/('Consumidores Inadimplentes'!B96*1000000))</f>
        <v>1.929261403748863E-2</v>
      </c>
    </row>
    <row r="61" spans="1:16" x14ac:dyDescent="0.35">
      <c r="A61" s="5">
        <v>45200</v>
      </c>
      <c r="B61" s="30">
        <v>1409509</v>
      </c>
      <c r="C61" s="30">
        <v>6453737</v>
      </c>
      <c r="D61" s="30">
        <v>7655165243.8499508</v>
      </c>
      <c r="E61" s="34">
        <f t="shared" si="47"/>
        <v>4.5787128709359077</v>
      </c>
      <c r="F61" s="43">
        <f t="shared" si="48"/>
        <v>5431.0864590789779</v>
      </c>
      <c r="G61" s="43">
        <f t="shared" si="49"/>
        <v>1186.1600873803736</v>
      </c>
      <c r="H61" s="27">
        <v>0.5117045078719219</v>
      </c>
      <c r="I61" s="59">
        <f>(B61/('Consumidores Inadimplentes'!B97*1000000))</f>
        <v>1.9589433664541588E-2</v>
      </c>
    </row>
    <row r="62" spans="1:16" x14ac:dyDescent="0.35">
      <c r="A62" s="5">
        <v>45231</v>
      </c>
      <c r="B62" s="30">
        <v>1402838</v>
      </c>
      <c r="C62" s="30">
        <v>6423661</v>
      </c>
      <c r="D62" s="30">
        <v>7754582417.7199659</v>
      </c>
      <c r="E62" s="34">
        <f t="shared" ref="E62" si="50">C62/B62</f>
        <v>4.579046903491351</v>
      </c>
      <c r="F62" s="43">
        <f t="shared" ref="F62" si="51">D62/B62</f>
        <v>5527.7818377602871</v>
      </c>
      <c r="G62" s="43">
        <f t="shared" ref="G62" si="52">F62/E62</f>
        <v>1207.1904818327066</v>
      </c>
      <c r="H62" s="27">
        <v>0.50848116209518435</v>
      </c>
      <c r="I62" s="59">
        <f>(B62/('Consumidores Inadimplentes'!B98*1000000))</f>
        <v>1.9535706706074955E-2</v>
      </c>
    </row>
    <row r="63" spans="1:16" ht="15" thickBot="1" x14ac:dyDescent="0.4">
      <c r="A63" s="12">
        <v>45261</v>
      </c>
      <c r="B63" s="31">
        <v>1350857</v>
      </c>
      <c r="C63" s="31">
        <v>6401838</v>
      </c>
      <c r="D63" s="31">
        <v>7433709090.2599678</v>
      </c>
      <c r="E63" s="35">
        <f t="shared" ref="E63" si="53">C63/B63</f>
        <v>4.739093775284875</v>
      </c>
      <c r="F63" s="46">
        <f t="shared" ref="F63" si="54">D63/B63</f>
        <v>5502.9578188216574</v>
      </c>
      <c r="G63" s="46">
        <f t="shared" ref="G63" si="55">F63/E63</f>
        <v>1161.1835679472001</v>
      </c>
      <c r="H63" s="28">
        <v>0.48886917764295962</v>
      </c>
      <c r="I63" s="59">
        <f>(B63/('Consumidores Inadimplentes'!B99*1000000))</f>
        <v>1.8998743488954015E-2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1406303</v>
      </c>
      <c r="C64" s="29">
        <v>6597010</v>
      </c>
      <c r="D64" s="29">
        <v>7903471914.9399529</v>
      </c>
      <c r="E64" s="33">
        <f t="shared" ref="E64" si="56">C64/B64</f>
        <v>4.6910303113909304</v>
      </c>
      <c r="F64" s="45">
        <f t="shared" ref="F64" si="57">D64/B64</f>
        <v>5620.0348821981843</v>
      </c>
      <c r="G64" s="45">
        <f t="shared" ref="G64" si="58">F64/E64</f>
        <v>1198.0384924291388</v>
      </c>
      <c r="H64" s="26">
        <v>0.50813380912738326</v>
      </c>
      <c r="I64" s="59">
        <f>(B64/('Consumidores Inadimplentes'!B100*1000000))</f>
        <v>1.9513064942471896E-2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1431676</v>
      </c>
      <c r="C65" s="30">
        <v>6681046</v>
      </c>
      <c r="D65" s="30">
        <v>7954899907.3399248</v>
      </c>
      <c r="E65" s="34">
        <f t="shared" ref="E65" si="59">C65/B65</f>
        <v>4.6665907649496114</v>
      </c>
      <c r="F65" s="43">
        <f t="shared" ref="F65" si="60">D65/B65</f>
        <v>5556.354864745882</v>
      </c>
      <c r="G65" s="43">
        <f t="shared" ref="G65" si="61">F65/E65</f>
        <v>1190.6668368006933</v>
      </c>
      <c r="H65" s="27">
        <v>0.51648769492623592</v>
      </c>
      <c r="I65" s="59">
        <f>(B65/('Consumidores Inadimplentes'!B101*1000000))</f>
        <v>1.9873551454850393E-2</v>
      </c>
    </row>
    <row r="66" spans="1:16" x14ac:dyDescent="0.35">
      <c r="A66" s="5">
        <v>45352</v>
      </c>
      <c r="B66" s="30">
        <v>1440573</v>
      </c>
      <c r="C66" s="30">
        <v>6775843</v>
      </c>
      <c r="D66" s="30">
        <v>8268100092.2299461</v>
      </c>
      <c r="E66" s="34">
        <f t="shared" ref="E66:E67" si="62">C66/B66</f>
        <v>4.7035748969333726</v>
      </c>
      <c r="F66" s="43">
        <f t="shared" ref="F66:F67" si="63">D66/B66</f>
        <v>5739.452351411519</v>
      </c>
      <c r="G66" s="43">
        <f t="shared" ref="G66:G67" si="64">F66/E66</f>
        <v>1220.2319463762585</v>
      </c>
      <c r="H66" s="27">
        <v>0.51887952195626219</v>
      </c>
      <c r="I66" s="59">
        <f>(B66/('Consumidores Inadimplentes'!B102*1000000))</f>
        <v>1.9762350469315234E-2</v>
      </c>
    </row>
    <row r="67" spans="1:16" x14ac:dyDescent="0.35">
      <c r="A67" s="5">
        <v>45383</v>
      </c>
      <c r="B67" s="30">
        <v>1436141</v>
      </c>
      <c r="C67" s="30">
        <v>6830891</v>
      </c>
      <c r="D67" s="30">
        <v>8575890714.9499741</v>
      </c>
      <c r="E67" s="34">
        <f t="shared" si="62"/>
        <v>4.7564208528271248</v>
      </c>
      <c r="F67" s="43">
        <f t="shared" si="63"/>
        <v>5971.4824066369347</v>
      </c>
      <c r="G67" s="43">
        <f t="shared" si="64"/>
        <v>1255.4571160555738</v>
      </c>
      <c r="H67" s="27">
        <v>0.51646910785844236</v>
      </c>
      <c r="I67" s="59">
        <f>(B67/('Consumidores Inadimplentes'!B103*1000000))</f>
        <v>1.9560681355314257E-2</v>
      </c>
    </row>
    <row r="68" spans="1:16" x14ac:dyDescent="0.35">
      <c r="A68" s="5">
        <v>45413</v>
      </c>
      <c r="B68" s="30">
        <v>1410374</v>
      </c>
      <c r="C68" s="30">
        <v>6916449</v>
      </c>
      <c r="D68" s="30">
        <v>8790416750.8900414</v>
      </c>
      <c r="E68" s="34">
        <f t="shared" ref="E68" si="65">C68/B68</f>
        <v>4.9039822061382301</v>
      </c>
      <c r="F68" s="43">
        <f t="shared" ref="F68" si="66">D68/B68</f>
        <v>6232.6849125764102</v>
      </c>
      <c r="G68" s="43">
        <f t="shared" ref="G68" si="67">F68/E68</f>
        <v>1270.9436230773974</v>
      </c>
      <c r="H68" s="27">
        <v>0.50640449769018703</v>
      </c>
      <c r="I68" s="59">
        <f>(B68/('Consumidores Inadimplentes'!B104*1000000))</f>
        <v>1.9443953074854411E-2</v>
      </c>
    </row>
    <row r="69" spans="1:16" x14ac:dyDescent="0.35">
      <c r="A69" s="5">
        <v>45444</v>
      </c>
      <c r="B69" s="30">
        <v>1407983</v>
      </c>
      <c r="C69" s="30">
        <v>6965553</v>
      </c>
      <c r="D69" s="30">
        <v>8981825424.2900009</v>
      </c>
      <c r="E69" s="34">
        <f t="shared" ref="E69" si="68">C69/B69</f>
        <v>4.9471854418696815</v>
      </c>
      <c r="F69" s="43">
        <f t="shared" ref="F69" si="69">D69/B69</f>
        <v>6379.2143969707031</v>
      </c>
      <c r="G69" s="43">
        <f t="shared" ref="G69" si="70">F69/E69</f>
        <v>1289.463366984646</v>
      </c>
      <c r="H69" s="27">
        <v>0.50475037498243391</v>
      </c>
      <c r="I69" s="59">
        <f>(B69/('Consumidores Inadimplentes'!B105*1000000))</f>
        <v>1.9420151950179206E-2</v>
      </c>
    </row>
    <row r="70" spans="1:16" x14ac:dyDescent="0.35">
      <c r="A70" s="5">
        <v>45474</v>
      </c>
      <c r="B70" s="30">
        <v>1417042</v>
      </c>
      <c r="C70" s="30">
        <v>6993695</v>
      </c>
      <c r="D70" s="30">
        <v>8802352136.25</v>
      </c>
      <c r="E70" s="34">
        <f t="shared" ref="E70" si="71">C70/B70</f>
        <v>4.9354182868256551</v>
      </c>
      <c r="F70" s="43">
        <f t="shared" ref="F70" si="72">D70/B70</f>
        <v>6211.7792812421931</v>
      </c>
      <c r="G70" s="43">
        <f t="shared" ref="G70" si="73">F70/E70</f>
        <v>1258.612526890292</v>
      </c>
      <c r="H70" s="27">
        <v>0.50719827965733455</v>
      </c>
      <c r="I70" s="59">
        <f>(B70/('Consumidores Inadimplentes'!B106*1000000))</f>
        <v>1.9501254442596767E-2</v>
      </c>
    </row>
    <row r="71" spans="1:16" x14ac:dyDescent="0.35">
      <c r="A71" s="5">
        <v>45505</v>
      </c>
      <c r="B71" s="30">
        <v>1414640</v>
      </c>
      <c r="C71" s="30">
        <v>7012342</v>
      </c>
      <c r="D71" s="30">
        <v>8882012389.7699471</v>
      </c>
      <c r="E71" s="34">
        <f t="shared" ref="E71" si="74">C71/B71</f>
        <v>4.9569798676695127</v>
      </c>
      <c r="F71" s="43">
        <f t="shared" ref="F71" si="75">D71/B71</f>
        <v>6278.6379501286174</v>
      </c>
      <c r="G71" s="43">
        <f t="shared" ref="G71" si="76">F71/E71</f>
        <v>1266.6256708200981</v>
      </c>
      <c r="H71" s="27">
        <v>0.50559404369444194</v>
      </c>
      <c r="I71" s="59">
        <f>(B71/('Consumidores Inadimplentes'!B107*1000000))</f>
        <v>1.9522362865005836E-2</v>
      </c>
    </row>
    <row r="72" spans="1:16" x14ac:dyDescent="0.35">
      <c r="A72" s="5">
        <v>45536</v>
      </c>
      <c r="B72" s="30">
        <v>1412947</v>
      </c>
      <c r="C72" s="30">
        <v>7049794</v>
      </c>
      <c r="D72" s="30">
        <v>9058634104.9799576</v>
      </c>
      <c r="E72" s="34">
        <f t="shared" ref="E72" si="77">C72/B72</f>
        <v>4.9894256472464997</v>
      </c>
      <c r="F72" s="43">
        <f t="shared" ref="F72" si="78">D72/B72</f>
        <v>6411.1634088044048</v>
      </c>
      <c r="G72" s="43">
        <f t="shared" ref="G72" si="79">F72/E72</f>
        <v>1284.9501850663944</v>
      </c>
      <c r="H72" s="27">
        <v>0.50424646407546347</v>
      </c>
      <c r="I72" s="59">
        <f>(B72/('Consumidores Inadimplentes'!B108*1000000))</f>
        <v>1.9450847159531534E-2</v>
      </c>
    </row>
    <row r="73" spans="1:16" x14ac:dyDescent="0.35">
      <c r="A73" s="5">
        <v>45566</v>
      </c>
      <c r="B73" s="30">
        <v>1429205</v>
      </c>
      <c r="C73" s="30">
        <v>7277528</v>
      </c>
      <c r="D73" s="30">
        <v>9313087465.9199772</v>
      </c>
      <c r="E73" s="34">
        <f t="shared" ref="E73" si="80">C73/B73</f>
        <v>5.0920112929915584</v>
      </c>
      <c r="F73" s="43">
        <f t="shared" ref="F73" si="81">D73/B73</f>
        <v>6516.271259840245</v>
      </c>
      <c r="G73" s="43">
        <f t="shared" ref="G73" si="82">F73/E73</f>
        <v>1279.7047934298537</v>
      </c>
      <c r="H73" s="27">
        <v>0.50929862284594729</v>
      </c>
      <c r="I73" s="59">
        <f>(B73/('Consumidores Inadimplentes'!B109*1000000))</f>
        <v>1.9550300879609992E-2</v>
      </c>
    </row>
    <row r="74" spans="1:16" x14ac:dyDescent="0.35">
      <c r="A74" s="5">
        <v>45597</v>
      </c>
      <c r="B74" s="30">
        <v>1420177</v>
      </c>
      <c r="C74" s="30">
        <v>7221030</v>
      </c>
      <c r="D74" s="30">
        <v>9367863741.5899906</v>
      </c>
      <c r="E74" s="34">
        <f t="shared" ref="E74" si="83">C74/B74</f>
        <v>5.0845986098915841</v>
      </c>
      <c r="F74" s="43">
        <f t="shared" ref="F74" si="84">D74/B74</f>
        <v>6596.2649314768441</v>
      </c>
      <c r="G74" s="43">
        <f t="shared" ref="G74" si="85">F74/E74</f>
        <v>1297.3029805429405</v>
      </c>
      <c r="H74" s="27">
        <v>0.50533740589263842</v>
      </c>
      <c r="I74" s="59">
        <f>(B74/('Consumidores Inadimplentes'!B110*1000000))</f>
        <v>1.9246513230721726E-2</v>
      </c>
    </row>
    <row r="75" spans="1:16" ht="15" thickBot="1" x14ac:dyDescent="0.4">
      <c r="A75" s="12">
        <v>45627</v>
      </c>
      <c r="B75" s="31">
        <v>1419729</v>
      </c>
      <c r="C75" s="31">
        <v>7224580</v>
      </c>
      <c r="D75" s="31">
        <v>9268239556.2300091</v>
      </c>
      <c r="E75" s="35">
        <f t="shared" ref="E75" si="86">C75/B75</f>
        <v>5.0887035483532417</v>
      </c>
      <c r="F75" s="46">
        <f t="shared" ref="F75" si="87">D75/B75</f>
        <v>6528.1751349940796</v>
      </c>
      <c r="G75" s="46">
        <f t="shared" ref="G75" si="88">F75/E75</f>
        <v>1282.8758981463297</v>
      </c>
      <c r="H75" s="28">
        <v>0.50443525865413719</v>
      </c>
      <c r="I75" s="59">
        <f>(B75/('Consumidores Inadimplentes'!B111*1000000))</f>
        <v>1.9312821487226375E-2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1381968</v>
      </c>
      <c r="C76" s="29">
        <v>6711102</v>
      </c>
      <c r="D76" s="29">
        <v>9023172228.4100571</v>
      </c>
      <c r="E76" s="33">
        <f t="shared" ref="E76:E77" si="89">C76/B76</f>
        <v>4.85619203917891</v>
      </c>
      <c r="F76" s="45">
        <f t="shared" ref="F76:F77" si="90">D76/B76</f>
        <v>6529.2193657234156</v>
      </c>
      <c r="G76" s="45">
        <f t="shared" ref="G76:G77" si="91">F76/E76</f>
        <v>1344.5142434744782</v>
      </c>
      <c r="H76" s="26">
        <v>0.49029672508262861</v>
      </c>
      <c r="I76" s="59">
        <f>(B76/('Consumidores Inadimplentes'!B112*1000000))</f>
        <v>1.8524316623878795E-2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1386737</v>
      </c>
      <c r="C77" s="30">
        <v>6828606</v>
      </c>
      <c r="D77" s="30">
        <v>9263994204.2700157</v>
      </c>
      <c r="E77" s="34">
        <f t="shared" si="89"/>
        <v>4.924225718358997</v>
      </c>
      <c r="F77" s="43">
        <f t="shared" si="90"/>
        <v>6680.4262122305927</v>
      </c>
      <c r="G77" s="43">
        <f t="shared" si="91"/>
        <v>1356.6450025481065</v>
      </c>
      <c r="H77" s="27">
        <v>0.49126536691056283</v>
      </c>
      <c r="I77" s="59">
        <f>(B77/('Consumidores Inadimplentes'!B113*1000000))</f>
        <v>1.8488991703801323E-2</v>
      </c>
    </row>
    <row r="78" spans="1:16" x14ac:dyDescent="0.35">
      <c r="A78" s="5">
        <v>45717</v>
      </c>
      <c r="B78" s="30">
        <v>1417663</v>
      </c>
      <c r="C78" s="30">
        <v>6980311</v>
      </c>
      <c r="D78" s="30">
        <v>9545923076.400053</v>
      </c>
      <c r="E78" s="34">
        <f t="shared" ref="E78" si="92">C78/B78</f>
        <v>4.9238154624900279</v>
      </c>
      <c r="F78" s="43">
        <f t="shared" ref="F78" si="93">D78/B78</f>
        <v>6733.5629669392893</v>
      </c>
      <c r="G78" s="43">
        <f t="shared" ref="G78" si="94">F78/E78</f>
        <v>1367.5498235537145</v>
      </c>
      <c r="H78" s="27">
        <v>0.50148287442756168</v>
      </c>
      <c r="I78" s="59">
        <f>(B78/('Consumidores Inadimplentes'!B114*1000000))</f>
        <v>1.8710198958470523E-2</v>
      </c>
    </row>
    <row r="79" spans="1:16" x14ac:dyDescent="0.35">
      <c r="A79" s="5">
        <v>45748</v>
      </c>
      <c r="B79" s="30">
        <v>1413160</v>
      </c>
      <c r="C79" s="30">
        <v>7020264</v>
      </c>
      <c r="D79" s="30">
        <v>9877304199</v>
      </c>
      <c r="E79" s="34">
        <f t="shared" ref="E79" si="95">C79/B79</f>
        <v>4.9677771802202155</v>
      </c>
      <c r="F79" s="43">
        <f t="shared" ref="F79" si="96">D79/B79</f>
        <v>6989.515836140281</v>
      </c>
      <c r="G79" s="43">
        <f t="shared" ref="G79" si="97">F79/E79</f>
        <v>1406.970478460639</v>
      </c>
      <c r="H79" s="27">
        <v>0.49915509991861834</v>
      </c>
      <c r="I79" s="59">
        <f>(B79/('Consumidores Inadimplentes'!B115*1000000))</f>
        <v>1.8439288717577326E-2</v>
      </c>
    </row>
    <row r="80" spans="1:16" x14ac:dyDescent="0.35">
      <c r="A80" s="5">
        <v>45778</v>
      </c>
      <c r="B80" s="30">
        <v>1417895</v>
      </c>
      <c r="C80" s="30">
        <v>7086844</v>
      </c>
      <c r="D80" s="30">
        <v>10071362271</v>
      </c>
      <c r="E80" s="34">
        <f t="shared" ref="E80" si="98">C80/B80</f>
        <v>4.9981444324156588</v>
      </c>
      <c r="F80" s="43">
        <f t="shared" ref="F80" si="99">D80/B80</f>
        <v>7103.0381452787406</v>
      </c>
      <c r="G80" s="43">
        <f t="shared" ref="G80" si="100">F80/E80</f>
        <v>1421.1350314752235</v>
      </c>
      <c r="H80" s="27">
        <v>0.50009134926031784</v>
      </c>
      <c r="I80" s="59">
        <f>(B80/('Consumidores Inadimplentes'!B116*1000000))</f>
        <v>1.8396951536920926E-2</v>
      </c>
    </row>
    <row r="81" spans="1:16" x14ac:dyDescent="0.35">
      <c r="A81" s="5">
        <v>45809</v>
      </c>
      <c r="B81" s="30">
        <v>1417796</v>
      </c>
      <c r="C81" s="30">
        <v>7145699</v>
      </c>
      <c r="D81" s="30">
        <v>10310476198</v>
      </c>
      <c r="E81" s="34">
        <f t="shared" ref="E81" si="101">C81/B81</f>
        <v>5.0400050500918328</v>
      </c>
      <c r="F81" s="43">
        <f t="shared" ref="F81" si="102">D81/B81</f>
        <v>7272.1859830328203</v>
      </c>
      <c r="G81" s="43">
        <f t="shared" ref="G81" si="103">F81/E81</f>
        <v>1442.8925984707726</v>
      </c>
      <c r="H81" s="27">
        <v>0.49932117063639503</v>
      </c>
      <c r="I81" s="59">
        <f>(B81/('Consumidores Inadimplentes'!B117*1000000))</f>
        <v>1.8206141902573393E-2</v>
      </c>
    </row>
    <row r="82" spans="1:16" x14ac:dyDescent="0.35">
      <c r="A82" s="5">
        <v>45839</v>
      </c>
      <c r="B82" s="30">
        <v>1433089</v>
      </c>
      <c r="C82" s="30">
        <v>7131075</v>
      </c>
      <c r="D82" s="30">
        <v>10489002991</v>
      </c>
      <c r="E82" s="34">
        <f t="shared" ref="E82" si="104">C82/B82</f>
        <v>4.9760168419407309</v>
      </c>
      <c r="F82" s="43">
        <f t="shared" ref="F82" si="105">D82/B82</f>
        <v>7319.1567243904601</v>
      </c>
      <c r="G82" s="43">
        <f t="shared" ref="G82" si="106">F82/E82</f>
        <v>1470.8866462630108</v>
      </c>
      <c r="H82" s="27">
        <v>0.5039651824940472</v>
      </c>
      <c r="I82" s="59">
        <f>(B82/('Consumidores Inadimplentes'!B118*1000000))</f>
        <v>1.8335046992954369E-2</v>
      </c>
    </row>
    <row r="83" spans="1:16" x14ac:dyDescent="0.35">
      <c r="A83" s="5">
        <v>45870</v>
      </c>
      <c r="B83" s="30">
        <v>1443402</v>
      </c>
      <c r="C83" s="30">
        <v>7254008</v>
      </c>
      <c r="D83" s="30">
        <v>10767370560</v>
      </c>
      <c r="E83" s="34">
        <f t="shared" ref="E83" si="107">C83/B83</f>
        <v>5.0256324987771945</v>
      </c>
      <c r="F83" s="43">
        <f t="shared" ref="F83" si="108">D83/B83</f>
        <v>7459.7170850532284</v>
      </c>
      <c r="G83" s="43">
        <f t="shared" ref="G83" si="109">F83/E83</f>
        <v>1484.3339792291379</v>
      </c>
      <c r="H83" s="27">
        <v>0.50686927363001688</v>
      </c>
      <c r="I83" s="59">
        <f>(B83/('Consumidores Inadimplentes'!B119*1000000))</f>
        <v>1.8305937602660829E-2</v>
      </c>
    </row>
    <row r="84" spans="1:16" x14ac:dyDescent="0.35">
      <c r="A84" s="5">
        <v>45901</v>
      </c>
      <c r="B84" s="30">
        <v>1454285</v>
      </c>
      <c r="C84" s="30">
        <v>7318962</v>
      </c>
      <c r="D84" s="30">
        <v>10868575518</v>
      </c>
      <c r="E84" s="34">
        <f>IFERROR(C84/B84,"")</f>
        <v>5.0326875406127414</v>
      </c>
      <c r="F84" s="43">
        <f>IFERROR(D84/B84,"")</f>
        <v>7473.4838893339338</v>
      </c>
      <c r="G84" s="43">
        <f>IFERROR(F84/E84,"")</f>
        <v>1484.9886524892463</v>
      </c>
      <c r="H84" s="27">
        <v>0.50996391327262891</v>
      </c>
      <c r="I84" s="59">
        <f>(B84/('Consumidores Inadimplentes'!B120*1000000))</f>
        <v>1.8369849580668458E-2</v>
      </c>
    </row>
    <row r="85" spans="1:16" x14ac:dyDescent="0.35">
      <c r="A85" s="5">
        <v>45931</v>
      </c>
      <c r="B85" s="30">
        <v>1487404</v>
      </c>
      <c r="C85" s="30">
        <v>7463590</v>
      </c>
      <c r="D85" s="30">
        <v>11153731376</v>
      </c>
      <c r="E85" s="34">
        <f t="shared" ref="E85:E87" si="110">IFERROR(C85/B85,"")</f>
        <v>5.0178633377347381</v>
      </c>
      <c r="F85" s="43">
        <f t="shared" ref="F85:F87" si="111">IFERROR(D85/B85,"")</f>
        <v>7498.7907629668871</v>
      </c>
      <c r="G85" s="43">
        <f t="shared" ref="G85:G87" si="112">IFERROR(F85/E85,"")</f>
        <v>1494.4190900089634</v>
      </c>
      <c r="H85" s="27">
        <v>0.52083491636514656</v>
      </c>
      <c r="I85" s="59">
        <f>(B85/('Consumidores Inadimplentes'!B121*1000000))</f>
        <v>1.8491647551388716E-2</v>
      </c>
    </row>
    <row r="86" spans="1:16" x14ac:dyDescent="0.35">
      <c r="A86" s="5">
        <v>45962</v>
      </c>
      <c r="B86" s="30">
        <v>1485241</v>
      </c>
      <c r="C86" s="30">
        <v>7471695</v>
      </c>
      <c r="D86" s="30">
        <v>11316705972</v>
      </c>
      <c r="E86" s="34">
        <f t="shared" si="110"/>
        <v>5.0306280260240595</v>
      </c>
      <c r="F86" s="43">
        <f t="shared" si="111"/>
        <v>7619.440866499107</v>
      </c>
      <c r="G86" s="43">
        <f t="shared" si="112"/>
        <v>1514.6102687542786</v>
      </c>
      <c r="H86" s="27">
        <v>0.51933700691532758</v>
      </c>
      <c r="I86" s="59">
        <f>(B86/('Consumidores Inadimplentes'!B122*1000000))</f>
        <v>1.8425052337886282E-2</v>
      </c>
    </row>
    <row r="87" spans="1:16" ht="15" thickBot="1" x14ac:dyDescent="0.4">
      <c r="A87" s="12">
        <v>45992</v>
      </c>
      <c r="B87" s="31">
        <v>1476504</v>
      </c>
      <c r="C87" s="31">
        <v>7443169</v>
      </c>
      <c r="D87" s="31">
        <v>11263801251</v>
      </c>
      <c r="E87" s="35">
        <f t="shared" si="110"/>
        <v>5.0410760824217205</v>
      </c>
      <c r="F87" s="46">
        <f t="shared" si="111"/>
        <v>7628.6967397311491</v>
      </c>
      <c r="G87" s="46">
        <f t="shared" si="112"/>
        <v>1513.3072016771353</v>
      </c>
      <c r="H87" s="28">
        <v>0.51554684654832461</v>
      </c>
      <c r="I87" s="59">
        <f>(B87/('Consumidores Inadimplentes'!B123*1000000))</f>
        <v>1.8172800674911251E-2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1489895</v>
      </c>
      <c r="C88" s="29">
        <v>7520375</v>
      </c>
      <c r="D88" s="29">
        <v>11516036062</v>
      </c>
      <c r="E88" s="33">
        <f t="shared" ref="E88:E89" si="113">IFERROR(C88/B88,"")</f>
        <v>5.0475872460810995</v>
      </c>
      <c r="F88" s="45">
        <f t="shared" ref="F88:F89" si="114">IFERROR(D88/B88,"")</f>
        <v>7729.4279543189286</v>
      </c>
      <c r="G88" s="45">
        <f t="shared" ref="G88:G89" si="115">IFERROR(F88/E88,"")</f>
        <v>1531.3114122633513</v>
      </c>
      <c r="H88" s="26">
        <v>0.51948194585849572</v>
      </c>
      <c r="I88" s="59">
        <f>(B88/('Consumidores Inadimplentes'!B124*1000000))</f>
        <v>1.8321534929461362E-2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1521411</v>
      </c>
      <c r="C89" s="30">
        <v>7700606</v>
      </c>
      <c r="D89" s="30">
        <v>11860327459</v>
      </c>
      <c r="E89" s="34">
        <f t="shared" si="113"/>
        <v>5.0614896303497217</v>
      </c>
      <c r="F89" s="43">
        <f t="shared" si="114"/>
        <v>7795.6104293974477</v>
      </c>
      <c r="G89" s="43">
        <f t="shared" si="115"/>
        <v>1540.1810531534791</v>
      </c>
      <c r="H89" s="27">
        <v>0.52971541320045168</v>
      </c>
      <c r="I89" s="59">
        <f>(B89/('Consumidores Inadimplentes'!B125*1000000))</f>
        <v>1.8614649875576147E-2</v>
      </c>
    </row>
    <row r="90" spans="1:16" x14ac:dyDescent="0.35">
      <c r="A90" s="5">
        <v>46082</v>
      </c>
      <c r="B90" s="30">
        <v>1534672</v>
      </c>
      <c r="C90" s="30">
        <v>7853963</v>
      </c>
      <c r="D90" s="30">
        <v>12338468618</v>
      </c>
      <c r="E90" s="34">
        <f t="shared" ref="E90" si="116">IFERROR(C90/B90,"")</f>
        <v>5.1176818238685531</v>
      </c>
      <c r="F90" s="43">
        <f t="shared" ref="F90" si="117">IFERROR(D90/B90,"")</f>
        <v>8039.8082573996271</v>
      </c>
      <c r="G90" s="43">
        <f t="shared" ref="G90" si="118">IFERROR(F90/E90,"")</f>
        <v>1570.9863438368629</v>
      </c>
      <c r="H90" s="27">
        <v>0.53357179413008171</v>
      </c>
      <c r="I90" s="59">
        <f>(B90/('Consumidores Inadimplentes'!B126*1000000))</f>
        <v>1.8527415769737023E-2</v>
      </c>
    </row>
    <row r="91" spans="1:16" x14ac:dyDescent="0.35">
      <c r="A91" s="5">
        <v>46113</v>
      </c>
      <c r="B91" s="30">
        <v>1543394</v>
      </c>
      <c r="C91" s="30">
        <v>7970262</v>
      </c>
      <c r="D91" s="30">
        <v>12774275183</v>
      </c>
      <c r="E91" s="34">
        <f t="shared" ref="E91" si="119">IFERROR(C91/B91,"")</f>
        <v>5.1641136352739485</v>
      </c>
      <c r="F91" s="43">
        <f t="shared" ref="F91" si="120">IFERROR(D91/B91,"")</f>
        <v>8276.7428038465878</v>
      </c>
      <c r="G91" s="43">
        <f t="shared" ref="G91" si="121">IFERROR(F91/E91,"")</f>
        <v>1602.7421912855561</v>
      </c>
      <c r="H91" s="27">
        <v>0.53584022636334439</v>
      </c>
      <c r="I91" s="59">
        <f>(B91/('Consumidores Inadimplentes'!B127*1000000))</f>
        <v>1.8508321797865605E-2</v>
      </c>
    </row>
    <row r="92" spans="1:16" x14ac:dyDescent="0.35">
      <c r="A92" s="5">
        <v>46143</v>
      </c>
      <c r="B92" s="30">
        <v>1547544</v>
      </c>
      <c r="C92" s="30">
        <v>8049430</v>
      </c>
      <c r="D92" s="30">
        <v>12994014874</v>
      </c>
      <c r="E92" s="34">
        <f t="shared" ref="E92" si="122">IFERROR(C92/B92,"")</f>
        <v>5.2014223828207795</v>
      </c>
      <c r="F92" s="43">
        <f t="shared" ref="F92" si="123">IFERROR(D92/B92,"")</f>
        <v>8396.5398554096046</v>
      </c>
      <c r="G92" s="43">
        <f t="shared" ref="G92" si="124">IFERROR(F92/E92,"")</f>
        <v>1614.2776412739784</v>
      </c>
      <c r="H92" s="27">
        <v>0.53651602811229382</v>
      </c>
      <c r="I92" s="59">
        <f>(B92/('Consumidores Inadimplentes'!B128*1000000))</f>
        <v>1.853282940799407E-2</v>
      </c>
    </row>
    <row r="93" spans="1:16" x14ac:dyDescent="0.35">
      <c r="A93" s="5">
        <v>46174</v>
      </c>
      <c r="B93" s="30">
        <v>1550733</v>
      </c>
      <c r="C93" s="30">
        <v>8077587</v>
      </c>
      <c r="D93" s="30">
        <v>13184693368</v>
      </c>
      <c r="E93" s="34">
        <f t="shared" ref="E93" si="125">IFERROR(C93/B93,"")</f>
        <v>5.2088831539665437</v>
      </c>
      <c r="F93" s="43">
        <f t="shared" ref="F93" si="126">IFERROR(D93/B93,"")</f>
        <v>8502.2330523694272</v>
      </c>
      <c r="G93" s="43">
        <f t="shared" ref="G93" si="127">IFERROR(F93/E93,"")</f>
        <v>1632.2564359876283</v>
      </c>
      <c r="H93" s="27">
        <v>0.53685609883176477</v>
      </c>
      <c r="I93" s="59">
        <f>(B93/('Consumidores Inadimplentes'!B129*1000000))</f>
        <v>1.8518958384676761E-2</v>
      </c>
    </row>
    <row r="94" spans="1:16" x14ac:dyDescent="0.35">
      <c r="A94" s="5">
        <v>46204</v>
      </c>
      <c r="B94" s="30">
        <v>1551759</v>
      </c>
      <c r="C94" s="30">
        <v>8101312</v>
      </c>
      <c r="D94" s="30">
        <v>13415495554</v>
      </c>
      <c r="E94" s="34">
        <f t="shared" ref="E94" si="128">IFERROR(C94/B94,"")</f>
        <v>5.2207282187504633</v>
      </c>
      <c r="F94" s="43">
        <f t="shared" ref="F94" si="129">IFERROR(D94/B94,"")</f>
        <v>8645.3473471073794</v>
      </c>
      <c r="G94" s="43">
        <f t="shared" ref="G94" si="130">IFERROR(F94/E94,"")</f>
        <v>1655.9657934418524</v>
      </c>
      <c r="H94" s="27">
        <v>0.53644652004053017</v>
      </c>
      <c r="I94" s="59">
        <f>(B94/('Consumidores Inadimplentes'!B130*1000000))</f>
        <v>1.8488306200747134E-2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5FD0-0B03-464F-82CD-A1CF0FB4A627}">
  <sheetPr codeName="Planilha17"/>
  <dimension ref="A1:P99"/>
  <sheetViews>
    <sheetView zoomScale="90" zoomScaleNormal="90" workbookViewId="0">
      <pane xSplit="1" ySplit="3" topLeftCell="B84" activePane="bottomRight" state="frozen"/>
      <selection activeCell="H93" sqref="H93"/>
      <selection pane="topRight" activeCell="H93" sqref="H93"/>
      <selection pane="bottomLeft" activeCell="H93" sqref="H93"/>
      <selection pane="bottomRight" activeCell="I1" sqref="I1:I104857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33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2434490</v>
      </c>
      <c r="C4" s="29">
        <v>8073752</v>
      </c>
      <c r="D4" s="29">
        <v>7267085541.5000811</v>
      </c>
      <c r="E4" s="33">
        <f t="shared" ref="E4:E33" si="0">C4/B4</f>
        <v>3.3164038463908252</v>
      </c>
      <c r="F4" s="45">
        <f>D4/B4</f>
        <v>2985.0545869977209</v>
      </c>
      <c r="G4" s="45">
        <f t="shared" ref="G4" si="1">F4/E4</f>
        <v>900.08778341223285</v>
      </c>
      <c r="H4" s="26">
        <v>0.43127262499358954</v>
      </c>
      <c r="I4" s="58">
        <f>(B4/('Consumidores Inadimplentes'!B40*1000000))</f>
        <v>3.9154573611536042E-2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2435258</v>
      </c>
      <c r="C5" s="30">
        <v>7992586</v>
      </c>
      <c r="D5" s="30">
        <v>7195357607.9100924</v>
      </c>
      <c r="E5" s="34">
        <f t="shared" si="0"/>
        <v>3.2820284339482715</v>
      </c>
      <c r="F5" s="43">
        <f t="shared" ref="F5:F45" si="2">D5/B5</f>
        <v>2954.6592631705112</v>
      </c>
      <c r="G5" s="43">
        <f t="shared" ref="G5:G45" si="3">F5/E5</f>
        <v>900.25401139382086</v>
      </c>
      <c r="H5" s="27">
        <v>0.43071494022645895</v>
      </c>
      <c r="I5" s="59">
        <f>(B5/('Consumidores Inadimplentes'!B41*1000000))</f>
        <v>3.9169121634870421E-2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2448854</v>
      </c>
      <c r="C6" s="30">
        <v>7966185</v>
      </c>
      <c r="D6" s="30">
        <v>7278632661.4100714</v>
      </c>
      <c r="E6" s="34">
        <f t="shared" si="0"/>
        <v>3.2530257010013663</v>
      </c>
      <c r="F6" s="43">
        <f t="shared" si="2"/>
        <v>2972.2607641819691</v>
      </c>
      <c r="G6" s="43">
        <f t="shared" si="3"/>
        <v>913.69114091752476</v>
      </c>
      <c r="H6" s="27">
        <v>0.43234905407236252</v>
      </c>
      <c r="I6" s="59">
        <f>(B6/('Consumidores Inadimplentes'!B42*1000000))</f>
        <v>3.8895343860818728E-2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2448453</v>
      </c>
      <c r="C7" s="30">
        <v>7864870</v>
      </c>
      <c r="D7" s="30">
        <v>7475530411.2200403</v>
      </c>
      <c r="E7" s="34">
        <f t="shared" si="0"/>
        <v>3.2121792821834849</v>
      </c>
      <c r="F7" s="43">
        <f t="shared" si="2"/>
        <v>3053.1647580002723</v>
      </c>
      <c r="G7" s="43">
        <f t="shared" si="3"/>
        <v>950.49637326745903</v>
      </c>
      <c r="H7" s="27">
        <v>0.43146341108196568</v>
      </c>
      <c r="I7" s="59">
        <f>(B7/('Consumidores Inadimplentes'!B43*1000000))</f>
        <v>3.8738032589745015E-2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2474871</v>
      </c>
      <c r="C8" s="30">
        <v>7901415</v>
      </c>
      <c r="D8" s="30">
        <v>7478718096.0500307</v>
      </c>
      <c r="E8" s="34">
        <f t="shared" si="0"/>
        <v>3.1926573142600159</v>
      </c>
      <c r="F8" s="43">
        <f t="shared" si="2"/>
        <v>3021.8617843313978</v>
      </c>
      <c r="G8" s="43">
        <f t="shared" si="3"/>
        <v>946.50364473325737</v>
      </c>
      <c r="H8" s="27">
        <v>0.43309779135813437</v>
      </c>
      <c r="I8" s="59">
        <f>(B8/('Consumidores Inadimplentes'!B44*1000000))</f>
        <v>3.9051453705780857E-2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2474026</v>
      </c>
      <c r="C9" s="30">
        <v>7802223</v>
      </c>
      <c r="D9" s="30">
        <v>7484194886.190052</v>
      </c>
      <c r="E9" s="34">
        <f t="shared" si="0"/>
        <v>3.1536544078356492</v>
      </c>
      <c r="F9" s="43">
        <f t="shared" si="2"/>
        <v>3025.1076125271329</v>
      </c>
      <c r="G9" s="43">
        <f t="shared" si="3"/>
        <v>959.23878184333523</v>
      </c>
      <c r="H9" s="27">
        <v>0.43358393709769699</v>
      </c>
      <c r="I9" s="59">
        <f>(B9/('Consumidores Inadimplentes'!B45*1000000))</f>
        <v>3.8991384491814191E-2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2481206</v>
      </c>
      <c r="C10" s="30">
        <v>7756634</v>
      </c>
      <c r="D10" s="30">
        <v>7494333578.8700409</v>
      </c>
      <c r="E10" s="34">
        <f t="shared" si="0"/>
        <v>3.1261547811830215</v>
      </c>
      <c r="F10" s="43">
        <f t="shared" si="2"/>
        <v>3020.4398904686032</v>
      </c>
      <c r="G10" s="43">
        <f t="shared" si="3"/>
        <v>966.18373109650929</v>
      </c>
      <c r="H10" s="27">
        <v>0.4338457135798906</v>
      </c>
      <c r="I10" s="59">
        <f>(B10/('Consumidores Inadimplentes'!B46*1000000))</f>
        <v>3.9096664393859462E-2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2478648</v>
      </c>
      <c r="C11" s="30">
        <v>7711776</v>
      </c>
      <c r="D11" s="30">
        <v>7600056544.270051</v>
      </c>
      <c r="E11" s="34">
        <f t="shared" si="0"/>
        <v>3.111283247964213</v>
      </c>
      <c r="F11" s="43">
        <f t="shared" si="2"/>
        <v>3066.2105084183195</v>
      </c>
      <c r="G11" s="43">
        <f t="shared" si="3"/>
        <v>985.51313527131106</v>
      </c>
      <c r="H11" s="27">
        <v>0.43243827938049434</v>
      </c>
      <c r="I11" s="59">
        <f>(B11/('Consumidores Inadimplentes'!B47*1000000))</f>
        <v>3.9078173421337244E-2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2461254</v>
      </c>
      <c r="C12" s="30">
        <v>7536241</v>
      </c>
      <c r="D12" s="30">
        <v>7479969256.4900446</v>
      </c>
      <c r="E12" s="34">
        <f t="shared" si="0"/>
        <v>3.061951753049462</v>
      </c>
      <c r="F12" s="43">
        <f t="shared" si="2"/>
        <v>3039.0887151387237</v>
      </c>
      <c r="G12" s="43">
        <f t="shared" si="3"/>
        <v>992.53318152777274</v>
      </c>
      <c r="H12" s="27">
        <v>0.42880528464958845</v>
      </c>
      <c r="I12" s="59">
        <f>(B12/('Consumidores Inadimplentes'!B48*1000000))</f>
        <v>3.8939820359608281E-2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2482876</v>
      </c>
      <c r="C13" s="30">
        <v>7532648</v>
      </c>
      <c r="D13" s="30">
        <v>7519704972.5500469</v>
      </c>
      <c r="E13" s="34">
        <f t="shared" si="0"/>
        <v>3.0338397890188635</v>
      </c>
      <c r="F13" s="43">
        <f t="shared" si="2"/>
        <v>3028.6268716400041</v>
      </c>
      <c r="G13" s="43">
        <f t="shared" si="3"/>
        <v>998.28174269527085</v>
      </c>
      <c r="H13" s="27">
        <v>0.43196957167808292</v>
      </c>
      <c r="I13" s="59">
        <f>(B13/('Consumidores Inadimplentes'!B49*1000000))</f>
        <v>3.8885218039820889E-2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2474361</v>
      </c>
      <c r="C14" s="30">
        <v>7516778</v>
      </c>
      <c r="D14" s="30">
        <v>7505970718.2100658</v>
      </c>
      <c r="E14" s="34">
        <f t="shared" si="0"/>
        <v>3.037866342057606</v>
      </c>
      <c r="F14" s="43">
        <f t="shared" si="2"/>
        <v>3033.4986358943038</v>
      </c>
      <c r="G14" s="43">
        <f t="shared" si="3"/>
        <v>998.56224544745976</v>
      </c>
      <c r="H14" s="27">
        <v>0.42988830615534912</v>
      </c>
      <c r="I14" s="59">
        <f>(B14/('Consumidores Inadimplentes'!B50*1000000))</f>
        <v>3.875819990699389E-2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2446739</v>
      </c>
      <c r="C15" s="31">
        <v>7576097</v>
      </c>
      <c r="D15" s="31">
        <v>7443966503.6000729</v>
      </c>
      <c r="E15" s="35">
        <f t="shared" si="0"/>
        <v>3.09640586919978</v>
      </c>
      <c r="F15" s="43">
        <f t="shared" si="2"/>
        <v>3042.4031756554632</v>
      </c>
      <c r="G15" s="43">
        <f t="shared" si="3"/>
        <v>982.55955587686799</v>
      </c>
      <c r="H15" s="27">
        <v>0.4244970465941712</v>
      </c>
      <c r="I15" s="59">
        <f>(B15/('Consumidores Inadimplentes'!B51*1000000))</f>
        <v>3.8648581413375696E-2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2489601</v>
      </c>
      <c r="C16" s="29">
        <v>7584278</v>
      </c>
      <c r="D16" s="29">
        <v>7443446604.6800566</v>
      </c>
      <c r="E16" s="33">
        <f t="shared" si="0"/>
        <v>3.0463829344541553</v>
      </c>
      <c r="F16" s="45">
        <f t="shared" si="2"/>
        <v>2989.8150766649178</v>
      </c>
      <c r="G16" s="45">
        <f t="shared" si="3"/>
        <v>981.43114014017635</v>
      </c>
      <c r="H16" s="26">
        <v>0.43133157631391833</v>
      </c>
      <c r="I16" s="59">
        <f>(B16/('Consumidores Inadimplentes'!B52*1000000))</f>
        <v>3.90327513751451E-2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2440929</v>
      </c>
      <c r="C17" s="30">
        <v>7323981</v>
      </c>
      <c r="D17" s="30">
        <v>7088117187.1900778</v>
      </c>
      <c r="E17" s="34">
        <f t="shared" si="0"/>
        <v>3.0004891580213928</v>
      </c>
      <c r="F17" s="43">
        <f t="shared" si="2"/>
        <v>2903.8604511602252</v>
      </c>
      <c r="G17" s="43">
        <f t="shared" si="3"/>
        <v>967.7956820464276</v>
      </c>
      <c r="H17" s="27">
        <v>0.42230970856149275</v>
      </c>
      <c r="I17" s="59">
        <f>(B17/('Consumidores Inadimplentes'!B53*1000000))</f>
        <v>3.8205363165374324E-2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2416600</v>
      </c>
      <c r="C18" s="30">
        <v>7205829</v>
      </c>
      <c r="D18" s="30">
        <v>7082282292.7500553</v>
      </c>
      <c r="E18" s="34">
        <f t="shared" si="0"/>
        <v>2.9818046015062483</v>
      </c>
      <c r="F18" s="43">
        <f t="shared" si="2"/>
        <v>2930.6804157701131</v>
      </c>
      <c r="G18" s="43">
        <f t="shared" si="3"/>
        <v>982.85461572152985</v>
      </c>
      <c r="H18" s="27">
        <v>0.41751792281118827</v>
      </c>
      <c r="I18" s="59">
        <f>(B18/('Consumidores Inadimplentes'!B54*1000000))</f>
        <v>3.7285933940822816E-2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2429058</v>
      </c>
      <c r="C19" s="30">
        <v>7146424</v>
      </c>
      <c r="D19" s="30">
        <v>7029532745.4400768</v>
      </c>
      <c r="E19" s="34">
        <f t="shared" si="0"/>
        <v>2.9420557269525882</v>
      </c>
      <c r="F19" s="43">
        <f t="shared" si="2"/>
        <v>2893.9336752930876</v>
      </c>
      <c r="G19" s="43">
        <f t="shared" si="3"/>
        <v>983.64339219728311</v>
      </c>
      <c r="H19" s="27">
        <v>0.41908555265954245</v>
      </c>
      <c r="I19" s="59">
        <f>(B19/('Consumidores Inadimplentes'!B55*1000000))</f>
        <v>3.6854940899074005E-2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2430629</v>
      </c>
      <c r="C20" s="30">
        <v>7089456</v>
      </c>
      <c r="D20" s="30">
        <v>6925687468.7300739</v>
      </c>
      <c r="E20" s="34">
        <f t="shared" si="0"/>
        <v>2.9167166194429508</v>
      </c>
      <c r="F20" s="43">
        <f t="shared" si="2"/>
        <v>2849.3396025185552</v>
      </c>
      <c r="G20" s="43">
        <f t="shared" si="3"/>
        <v>976.89970411412014</v>
      </c>
      <c r="H20" s="27">
        <v>0.41877230505335983</v>
      </c>
      <c r="I20" s="59">
        <f>(B20/('Consumidores Inadimplentes'!B56*1000000))</f>
        <v>3.7261330694994016E-2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2397755</v>
      </c>
      <c r="C21" s="30">
        <v>6951992</v>
      </c>
      <c r="D21" s="30">
        <v>6794246540.9800596</v>
      </c>
      <c r="E21" s="34">
        <f t="shared" si="0"/>
        <v>2.8993754574591648</v>
      </c>
      <c r="F21" s="43">
        <f t="shared" si="2"/>
        <v>2833.5866429139173</v>
      </c>
      <c r="G21" s="43">
        <f t="shared" si="3"/>
        <v>977.30931522649337</v>
      </c>
      <c r="H21" s="27">
        <v>0.41195800210535827</v>
      </c>
      <c r="I21" s="59">
        <f>(B21/('Consumidores Inadimplentes'!B57*1000000))</f>
        <v>3.7464517375288962E-2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2366544</v>
      </c>
      <c r="C22" s="30">
        <v>6812491</v>
      </c>
      <c r="D22" s="30">
        <v>6786968000.090066</v>
      </c>
      <c r="E22" s="34">
        <f t="shared" si="0"/>
        <v>2.8786665280679338</v>
      </c>
      <c r="F22" s="43">
        <f t="shared" si="2"/>
        <v>2867.8816029155028</v>
      </c>
      <c r="G22" s="43">
        <f t="shared" si="3"/>
        <v>996.2534996508715</v>
      </c>
      <c r="H22" s="27">
        <v>0.40607510696915911</v>
      </c>
      <c r="I22" s="59">
        <f>(B22/('Consumidores Inadimplentes'!B58*1000000))</f>
        <v>3.7266574290113305E-2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2347263</v>
      </c>
      <c r="C23" s="30">
        <v>6757789</v>
      </c>
      <c r="D23" s="30">
        <v>6757357123.5100718</v>
      </c>
      <c r="E23" s="34">
        <f t="shared" si="0"/>
        <v>2.8790080191269576</v>
      </c>
      <c r="F23" s="43">
        <f t="shared" si="2"/>
        <v>2878.8240276057995</v>
      </c>
      <c r="G23" s="43">
        <f t="shared" si="3"/>
        <v>999.93609204283712</v>
      </c>
      <c r="H23" s="27">
        <v>0.40225108554495231</v>
      </c>
      <c r="I23" s="59">
        <f>(B23/('Consumidores Inadimplentes'!B59*1000000))</f>
        <v>3.7228341864943004E-2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2295294</v>
      </c>
      <c r="C24" s="30">
        <v>6542235</v>
      </c>
      <c r="D24" s="30">
        <v>6670300620.6300688</v>
      </c>
      <c r="E24" s="34">
        <f t="shared" si="0"/>
        <v>2.8502819246684736</v>
      </c>
      <c r="F24" s="43">
        <f t="shared" si="2"/>
        <v>2906.0767904373333</v>
      </c>
      <c r="G24" s="43">
        <f t="shared" si="3"/>
        <v>1019.5752094857597</v>
      </c>
      <c r="H24" s="27">
        <v>0.39284158035242706</v>
      </c>
      <c r="I24" s="59">
        <f>(B24/('Consumidores Inadimplentes'!B60*1000000))</f>
        <v>3.6570643872536196E-2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2255565</v>
      </c>
      <c r="C25" s="30">
        <v>6387341</v>
      </c>
      <c r="D25" s="30">
        <v>6563127979.7100677</v>
      </c>
      <c r="E25" s="34">
        <f t="shared" si="0"/>
        <v>2.8318142017631946</v>
      </c>
      <c r="F25" s="43">
        <f t="shared" si="2"/>
        <v>2909.7489895924382</v>
      </c>
      <c r="G25" s="43">
        <f t="shared" si="3"/>
        <v>1027.5211515574426</v>
      </c>
      <c r="H25" s="27">
        <v>0.38554768585751675</v>
      </c>
      <c r="I25" s="59">
        <f>(B25/('Consumidores Inadimplentes'!B61*1000000))</f>
        <v>3.6216646601836426E-2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2215246</v>
      </c>
      <c r="C26" s="30">
        <v>6182664</v>
      </c>
      <c r="D26" s="30">
        <v>6414465830.6300793</v>
      </c>
      <c r="E26" s="34">
        <f t="shared" si="0"/>
        <v>2.7909604621789184</v>
      </c>
      <c r="F26" s="43">
        <f t="shared" si="2"/>
        <v>2895.5997801734343</v>
      </c>
      <c r="G26" s="43">
        <f t="shared" si="3"/>
        <v>1037.4922251362971</v>
      </c>
      <c r="H26" s="27">
        <v>0.37817114210537189</v>
      </c>
      <c r="I26" s="59">
        <f>(B26/('Consumidores Inadimplentes'!B62*1000000))</f>
        <v>3.5759363913659074E-2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2230486</v>
      </c>
      <c r="C27" s="31">
        <v>6568121</v>
      </c>
      <c r="D27" s="31">
        <v>6328892006.8700695</v>
      </c>
      <c r="E27" s="35">
        <f t="shared" si="0"/>
        <v>2.9447039793121319</v>
      </c>
      <c r="F27" s="46">
        <f t="shared" si="2"/>
        <v>2837.4497785998519</v>
      </c>
      <c r="G27" s="46">
        <f t="shared" si="3"/>
        <v>963.57725548449389</v>
      </c>
      <c r="H27" s="28">
        <v>0.38028532575338059</v>
      </c>
      <c r="I27" s="59">
        <f>(B27/('Consumidores Inadimplentes'!B63*1000000))</f>
        <v>3.6350054805731488E-2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2233106</v>
      </c>
      <c r="C28" s="29">
        <v>6498151</v>
      </c>
      <c r="D28" s="29">
        <v>6361047131.1100864</v>
      </c>
      <c r="E28" s="33">
        <f t="shared" si="0"/>
        <v>2.9099160541416307</v>
      </c>
      <c r="F28" s="45">
        <f t="shared" si="2"/>
        <v>2848.5200125341503</v>
      </c>
      <c r="G28" s="45">
        <f t="shared" si="3"/>
        <v>978.90109526695915</v>
      </c>
      <c r="H28" s="26">
        <v>0.38024463230063132</v>
      </c>
      <c r="I28" s="59">
        <f>(B28/('Consumidores Inadimplentes'!B64*1000000))</f>
        <v>3.6210954651069854E-2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2235019</v>
      </c>
      <c r="C29" s="30">
        <v>6445761</v>
      </c>
      <c r="D29" s="30">
        <v>6374840714.360076</v>
      </c>
      <c r="E29" s="34">
        <f t="shared" si="0"/>
        <v>2.8839848788757498</v>
      </c>
      <c r="F29" s="43">
        <f t="shared" si="2"/>
        <v>2852.2534772008989</v>
      </c>
      <c r="G29" s="43">
        <f t="shared" si="3"/>
        <v>988.99737585059029</v>
      </c>
      <c r="H29" s="27">
        <v>0.38008316523086583</v>
      </c>
      <c r="I29" s="59">
        <f>(B29/('Consumidores Inadimplentes'!B65*1000000))</f>
        <v>3.6309288238241359E-2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2258327</v>
      </c>
      <c r="C30" s="30">
        <v>6429167</v>
      </c>
      <c r="D30" s="30">
        <v>6465972197.5800562</v>
      </c>
      <c r="E30" s="34">
        <f t="shared" si="0"/>
        <v>2.8468716000827161</v>
      </c>
      <c r="F30" s="43">
        <f t="shared" si="2"/>
        <v>2863.1691502515164</v>
      </c>
      <c r="G30" s="43">
        <f t="shared" si="3"/>
        <v>1005.7247225931534</v>
      </c>
      <c r="H30" s="27">
        <v>0.38355520153263994</v>
      </c>
      <c r="I30" s="59">
        <f>(B30/('Consumidores Inadimplentes'!B66*1000000))</f>
        <v>3.6100116352466627E-2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2265859</v>
      </c>
      <c r="C31" s="30">
        <v>6434891</v>
      </c>
      <c r="D31" s="30">
        <v>6538514269.0700521</v>
      </c>
      <c r="E31" s="34">
        <f t="shared" si="0"/>
        <v>2.8399344354613416</v>
      </c>
      <c r="F31" s="43">
        <f t="shared" si="2"/>
        <v>2885.6668791262177</v>
      </c>
      <c r="G31" s="43">
        <f t="shared" si="3"/>
        <v>1016.1033448849487</v>
      </c>
      <c r="H31" s="27">
        <v>0.3843417957681437</v>
      </c>
      <c r="I31" s="59">
        <f>(B31/('Consumidores Inadimplentes'!B67*1000000))</f>
        <v>3.5976539296288128E-2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2249001</v>
      </c>
      <c r="C32" s="30">
        <v>6383558</v>
      </c>
      <c r="D32" s="30">
        <v>6570559208.7500639</v>
      </c>
      <c r="E32" s="34">
        <f t="shared" si="0"/>
        <v>2.8383971372178136</v>
      </c>
      <c r="F32" s="43">
        <f t="shared" si="2"/>
        <v>2921.545703514611</v>
      </c>
      <c r="G32" s="43">
        <f t="shared" si="3"/>
        <v>1029.2941974914402</v>
      </c>
      <c r="H32" s="27">
        <v>0.38099391765249574</v>
      </c>
      <c r="I32" s="59">
        <f>(B32/('Consumidores Inadimplentes'!B68*1000000))</f>
        <v>3.5950191184118685E-2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2228772</v>
      </c>
      <c r="C33" s="30">
        <v>6255092</v>
      </c>
      <c r="D33" s="30">
        <v>6432420152.1800861</v>
      </c>
      <c r="E33" s="34">
        <f t="shared" si="0"/>
        <v>2.8065194645302434</v>
      </c>
      <c r="F33" s="43">
        <f t="shared" si="2"/>
        <v>2886.0826285416751</v>
      </c>
      <c r="G33" s="43">
        <f t="shared" si="3"/>
        <v>1028.3494075195197</v>
      </c>
      <c r="H33" s="27">
        <v>0.37708362553677316</v>
      </c>
      <c r="I33" s="59">
        <f>(B33/('Consumidores Inadimplentes'!B69*1000000))</f>
        <v>3.5654971236980686E-2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2220574</v>
      </c>
      <c r="C34" s="30">
        <v>6175636</v>
      </c>
      <c r="D34" s="30">
        <v>6425956885.720068</v>
      </c>
      <c r="E34" s="34">
        <f>C34/B34</f>
        <v>2.7810989410846023</v>
      </c>
      <c r="F34" s="43">
        <f t="shared" si="2"/>
        <v>2893.8269500228625</v>
      </c>
      <c r="G34" s="43">
        <f t="shared" si="3"/>
        <v>1040.5336204595071</v>
      </c>
      <c r="H34" s="27">
        <v>0.37569655084668913</v>
      </c>
      <c r="I34" s="59">
        <f>(B34/('Consumidores Inadimplentes'!B70*1000000))</f>
        <v>3.5686924775433788E-2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2207685</v>
      </c>
      <c r="C35" s="30">
        <v>6123873</v>
      </c>
      <c r="D35" s="30">
        <v>6350619413.5000467</v>
      </c>
      <c r="E35" s="34">
        <f>C35/B35</f>
        <v>2.773888937959899</v>
      </c>
      <c r="F35" s="43">
        <f t="shared" si="2"/>
        <v>2876.5967126198016</v>
      </c>
      <c r="G35" s="43">
        <f t="shared" si="3"/>
        <v>1037.0266355131871</v>
      </c>
      <c r="H35" s="27">
        <v>0.37305795880129244</v>
      </c>
      <c r="I35" s="59">
        <f>(B35/('Consumidores Inadimplentes'!B71*1000000))</f>
        <v>3.5465528587680185E-2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2190251</v>
      </c>
      <c r="C36" s="30">
        <v>6031189</v>
      </c>
      <c r="D36" s="30">
        <v>6341826127.6700459</v>
      </c>
      <c r="E36" s="34">
        <f>C36/B36</f>
        <v>2.7536519787001583</v>
      </c>
      <c r="F36" s="43">
        <f t="shared" si="2"/>
        <v>2895.4791609135418</v>
      </c>
      <c r="G36" s="43">
        <f t="shared" si="3"/>
        <v>1051.5051224012454</v>
      </c>
      <c r="H36" s="27">
        <v>0.36965818637447551</v>
      </c>
      <c r="I36" s="59">
        <f>(B36/('Consumidores Inadimplentes'!B72*1000000))</f>
        <v>3.5207225430784979E-2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2206403</v>
      </c>
      <c r="C37" s="30">
        <v>6099074</v>
      </c>
      <c r="D37" s="30">
        <v>6467582840.0800533</v>
      </c>
      <c r="E37" s="34">
        <f>C37/B37</f>
        <v>2.7642611073317069</v>
      </c>
      <c r="F37" s="43">
        <f t="shared" si="2"/>
        <v>2931.2790274850304</v>
      </c>
      <c r="G37" s="43">
        <f t="shared" si="3"/>
        <v>1060.4204572825404</v>
      </c>
      <c r="H37" s="27">
        <v>0.371927689965383</v>
      </c>
      <c r="I37" s="59">
        <f>(B37/('Consumidores Inadimplentes'!B73*1000000))</f>
        <v>3.479854118228419E-2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2226592</v>
      </c>
      <c r="C38" s="30">
        <v>6140061</v>
      </c>
      <c r="D38" s="30">
        <v>6585572592.4100447</v>
      </c>
      <c r="E38" s="34">
        <f t="shared" ref="E38:E45" si="4">C38/B38</f>
        <v>2.7576048957330306</v>
      </c>
      <c r="F38" s="43">
        <f t="shared" si="2"/>
        <v>2957.6916617009515</v>
      </c>
      <c r="G38" s="43">
        <f t="shared" si="3"/>
        <v>1072.5581704172068</v>
      </c>
      <c r="H38" s="27">
        <v>0.37487074101972079</v>
      </c>
      <c r="I38" s="59">
        <f>(B38/('Consumidores Inadimplentes'!B74*1000000))</f>
        <v>3.4644522058383059E-2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2215752</v>
      </c>
      <c r="C39" s="31">
        <v>6067106</v>
      </c>
      <c r="D39" s="31">
        <v>6443447856.8300457</v>
      </c>
      <c r="E39" s="35">
        <f t="shared" si="4"/>
        <v>2.7381701562268703</v>
      </c>
      <c r="F39" s="46">
        <f t="shared" si="2"/>
        <v>2908.018522303058</v>
      </c>
      <c r="G39" s="46">
        <f t="shared" si="3"/>
        <v>1062.0298799510088</v>
      </c>
      <c r="H39" s="28">
        <v>0.37258835124149203</v>
      </c>
      <c r="I39" s="59">
        <f>(B39/('Consumidores Inadimplentes'!B75*1000000))</f>
        <v>3.463689886022156E-2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2243239</v>
      </c>
      <c r="C40" s="29">
        <v>6171582</v>
      </c>
      <c r="D40" s="29">
        <v>6641155189.7700281</v>
      </c>
      <c r="E40" s="33">
        <f t="shared" si="4"/>
        <v>2.7511923606891644</v>
      </c>
      <c r="F40" s="45">
        <f t="shared" si="2"/>
        <v>2960.5205641351758</v>
      </c>
      <c r="G40" s="45">
        <f t="shared" si="3"/>
        <v>1076.0863567509964</v>
      </c>
      <c r="H40" s="26">
        <v>0.37674794183685278</v>
      </c>
      <c r="I40" s="59">
        <f>(B40/('Consumidores Inadimplentes'!B76*1000000))</f>
        <v>3.460857032895559E-2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2246910</v>
      </c>
      <c r="C41" s="30">
        <v>6210426</v>
      </c>
      <c r="D41" s="30">
        <v>6680310298.6500435</v>
      </c>
      <c r="E41" s="34">
        <f t="shared" si="4"/>
        <v>2.7639852063500543</v>
      </c>
      <c r="F41" s="43">
        <f t="shared" si="2"/>
        <v>2973.1098702885488</v>
      </c>
      <c r="G41" s="43">
        <f t="shared" si="3"/>
        <v>1075.6605583336864</v>
      </c>
      <c r="H41" s="27">
        <v>0.37690182010444978</v>
      </c>
      <c r="I41" s="59">
        <f>(B41/('Consumidores Inadimplentes'!B77*1000000))</f>
        <v>3.4478125584152967E-2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2244735</v>
      </c>
      <c r="C42" s="30">
        <v>6208899</v>
      </c>
      <c r="D42" s="30">
        <v>6721484098.3400583</v>
      </c>
      <c r="E42" s="34">
        <f t="shared" si="4"/>
        <v>2.7659830670435483</v>
      </c>
      <c r="F42" s="43">
        <f t="shared" si="2"/>
        <v>2994.3330051609914</v>
      </c>
      <c r="G42" s="43">
        <f t="shared" si="3"/>
        <v>1082.5565206230699</v>
      </c>
      <c r="H42" s="27">
        <v>0.37607533385023967</v>
      </c>
      <c r="I42" s="59">
        <f>(B42/('Consumidores Inadimplentes'!B78*1000000))</f>
        <v>3.4169568226203727E-2</v>
      </c>
    </row>
    <row r="43" spans="1:16" x14ac:dyDescent="0.35">
      <c r="A43" s="5">
        <v>44652</v>
      </c>
      <c r="B43" s="30">
        <v>2255100</v>
      </c>
      <c r="C43" s="30">
        <v>6248191</v>
      </c>
      <c r="D43" s="30">
        <v>6809252476.0500631</v>
      </c>
      <c r="E43" s="34">
        <f t="shared" si="4"/>
        <v>2.7706935390891756</v>
      </c>
      <c r="F43" s="43">
        <f t="shared" si="2"/>
        <v>3019.4902558866847</v>
      </c>
      <c r="G43" s="43">
        <f t="shared" si="3"/>
        <v>1089.7958266720821</v>
      </c>
      <c r="H43" s="27">
        <v>0.37734864012425345</v>
      </c>
      <c r="I43" s="59">
        <f>(B43/('Consumidores Inadimplentes'!B79*1000000))</f>
        <v>3.4099636382441532E-2</v>
      </c>
    </row>
    <row r="44" spans="1:16" x14ac:dyDescent="0.35">
      <c r="A44" s="5">
        <v>44682</v>
      </c>
      <c r="B44" s="30">
        <v>2289814</v>
      </c>
      <c r="C44" s="30">
        <v>6379715</v>
      </c>
      <c r="D44" s="30">
        <v>7078336634.7200356</v>
      </c>
      <c r="E44" s="34">
        <f t="shared" si="4"/>
        <v>2.7861280435878197</v>
      </c>
      <c r="F44" s="43">
        <f t="shared" si="2"/>
        <v>3091.2277742733845</v>
      </c>
      <c r="G44" s="43">
        <f t="shared" si="3"/>
        <v>1109.5067153814921</v>
      </c>
      <c r="H44" s="27">
        <v>0.38268761112839011</v>
      </c>
      <c r="I44" s="59">
        <f>(B44/('Consumidores Inadimplentes'!B80*1000000))</f>
        <v>3.4392013507756961E-2</v>
      </c>
    </row>
    <row r="45" spans="1:16" x14ac:dyDescent="0.35">
      <c r="A45" s="5">
        <v>44713</v>
      </c>
      <c r="B45" s="30">
        <v>2316265</v>
      </c>
      <c r="C45" s="30">
        <v>6523452</v>
      </c>
      <c r="D45" s="30">
        <v>7436612844.5802202</v>
      </c>
      <c r="E45" s="34">
        <f t="shared" si="4"/>
        <v>2.8163668664854842</v>
      </c>
      <c r="F45" s="43">
        <f t="shared" si="2"/>
        <v>3210.6053688072047</v>
      </c>
      <c r="G45" s="43">
        <f t="shared" si="3"/>
        <v>1139.9812314983265</v>
      </c>
      <c r="H45" s="27">
        <v>0.38663365411130168</v>
      </c>
      <c r="I45" s="59">
        <f>(B45/('Consumidores Inadimplentes'!B81*1000000))</f>
        <v>3.4664960555533732E-2</v>
      </c>
    </row>
    <row r="46" spans="1:16" x14ac:dyDescent="0.35">
      <c r="A46" s="5">
        <v>44743</v>
      </c>
      <c r="B46" s="30">
        <v>2354656</v>
      </c>
      <c r="C46" s="30">
        <v>6677222</v>
      </c>
      <c r="D46" s="30">
        <v>7663142577.9602203</v>
      </c>
      <c r="E46" s="34">
        <f t="shared" ref="E46" si="5">C46/B46</f>
        <v>2.8357526534661539</v>
      </c>
      <c r="F46" s="43">
        <f t="shared" ref="F46" si="6">D46/B46</f>
        <v>3254.4637424575903</v>
      </c>
      <c r="G46" s="43">
        <f t="shared" ref="G46" si="7">F46/E46</f>
        <v>1147.654305631926</v>
      </c>
      <c r="H46" s="27">
        <v>0.39256023845808485</v>
      </c>
      <c r="I46" s="59">
        <f>(B46/('Consumidores Inadimplentes'!B82*1000000))</f>
        <v>3.4815559769091953E-2</v>
      </c>
    </row>
    <row r="47" spans="1:16" x14ac:dyDescent="0.35">
      <c r="A47" s="5">
        <v>44774</v>
      </c>
      <c r="B47" s="30">
        <v>2370580</v>
      </c>
      <c r="C47" s="30">
        <v>6711630</v>
      </c>
      <c r="D47" s="30">
        <v>7714269912.7802696</v>
      </c>
      <c r="E47" s="34">
        <f t="shared" ref="E47" si="8">C47/B47</f>
        <v>2.8312185203621056</v>
      </c>
      <c r="F47" s="43">
        <f t="shared" ref="F47" si="9">D47/B47</f>
        <v>3254.169828809941</v>
      </c>
      <c r="G47" s="43">
        <f t="shared" ref="G47" si="10">F47/E47</f>
        <v>1149.3884366063489</v>
      </c>
      <c r="H47" s="27">
        <v>0.3947327888241689</v>
      </c>
      <c r="I47" s="59">
        <f>(B47/('Consumidores Inadimplentes'!B83*1000000))</f>
        <v>3.487365534084181E-2</v>
      </c>
    </row>
    <row r="48" spans="1:16" x14ac:dyDescent="0.35">
      <c r="A48" s="5">
        <v>44805</v>
      </c>
      <c r="B48" s="30">
        <v>2410278</v>
      </c>
      <c r="C48" s="30">
        <v>6836719</v>
      </c>
      <c r="D48" s="30">
        <v>7916088626.2202597</v>
      </c>
      <c r="E48" s="34">
        <f t="shared" ref="E48" si="11">C48/B48</f>
        <v>2.8364856667986018</v>
      </c>
      <c r="F48" s="43">
        <f t="shared" ref="F48" si="12">D48/B48</f>
        <v>3284.3052238041669</v>
      </c>
      <c r="G48" s="43">
        <f t="shared" ref="G48" si="13">F48/E48</f>
        <v>1157.8783077409294</v>
      </c>
      <c r="H48" s="27">
        <v>0.4008533032822274</v>
      </c>
      <c r="I48" s="59">
        <f>(B48/('Consumidores Inadimplentes'!B84*1000000))</f>
        <v>3.5244140390669719E-2</v>
      </c>
    </row>
    <row r="49" spans="1:16" x14ac:dyDescent="0.35">
      <c r="A49" s="5">
        <v>44835</v>
      </c>
      <c r="B49" s="30">
        <v>2406024</v>
      </c>
      <c r="C49" s="30">
        <v>6819023</v>
      </c>
      <c r="D49" s="30">
        <v>7991060477.2502632</v>
      </c>
      <c r="E49" s="34">
        <f t="shared" ref="E49" si="14">C49/B49</f>
        <v>2.8341458771816077</v>
      </c>
      <c r="F49" s="43">
        <f t="shared" ref="F49" si="15">D49/B49</f>
        <v>3321.2721391184223</v>
      </c>
      <c r="G49" s="43">
        <f t="shared" ref="G49" si="16">F49/E49</f>
        <v>1171.877624881198</v>
      </c>
      <c r="H49" s="27">
        <v>0.3996575537015794</v>
      </c>
      <c r="I49" s="59">
        <f>(B49/('Consumidores Inadimplentes'!B85*1000000))</f>
        <v>3.4841312870130953E-2</v>
      </c>
    </row>
    <row r="50" spans="1:16" x14ac:dyDescent="0.35">
      <c r="A50" s="5">
        <v>44866</v>
      </c>
      <c r="B50" s="30">
        <v>2442249</v>
      </c>
      <c r="C50" s="30">
        <v>7000980</v>
      </c>
      <c r="D50" s="30">
        <v>8269990446.1502705</v>
      </c>
      <c r="E50" s="34">
        <f t="shared" ref="E50" si="17">C50/B50</f>
        <v>2.8666118810981192</v>
      </c>
      <c r="F50" s="43">
        <f t="shared" ref="F50" si="18">D50/B50</f>
        <v>3386.2191963842633</v>
      </c>
      <c r="G50" s="43">
        <f t="shared" ref="G50" si="19">F50/E50</f>
        <v>1181.2618299367045</v>
      </c>
      <c r="H50" s="27">
        <v>0.40517976650288035</v>
      </c>
      <c r="I50" s="59">
        <f>(B50/('Consumidores Inadimplentes'!B86*1000000))</f>
        <v>3.497182942629809E-2</v>
      </c>
    </row>
    <row r="51" spans="1:16" ht="15" thickBot="1" x14ac:dyDescent="0.4">
      <c r="A51" s="12">
        <v>44896</v>
      </c>
      <c r="B51" s="31">
        <v>2426415</v>
      </c>
      <c r="C51" s="31">
        <v>6943870</v>
      </c>
      <c r="D51" s="31">
        <v>8276830438.4602604</v>
      </c>
      <c r="E51" s="35">
        <f t="shared" ref="E51" si="20">C51/B51</f>
        <v>2.8617816820288366</v>
      </c>
      <c r="F51" s="46">
        <f t="shared" ref="F51" si="21">D51/B51</f>
        <v>3411.1355388341485</v>
      </c>
      <c r="G51" s="46">
        <f t="shared" ref="G51" si="22">F51/E51</f>
        <v>1191.9621822499932</v>
      </c>
      <c r="H51" s="28">
        <v>0.40206163017882718</v>
      </c>
      <c r="I51" s="59">
        <f>(B51/('Consumidores Inadimplentes'!B87*1000000))</f>
        <v>3.4947989405512796E-2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2464421</v>
      </c>
      <c r="C52" s="29">
        <v>7129926</v>
      </c>
      <c r="D52" s="29">
        <v>8571699002.450304</v>
      </c>
      <c r="E52" s="33">
        <f t="shared" ref="E52" si="23">C52/B52</f>
        <v>2.8931444749091164</v>
      </c>
      <c r="F52" s="45">
        <f t="shared" ref="F52" si="24">D52/B52</f>
        <v>3478.1796626673381</v>
      </c>
      <c r="G52" s="45">
        <f t="shared" ref="G52" si="25">F52/E52</f>
        <v>1202.2143010250463</v>
      </c>
      <c r="H52" s="26">
        <v>0.40786100538436815</v>
      </c>
      <c r="I52" s="59">
        <f>(B52/('Consumidores Inadimplentes'!B88*1000000))</f>
        <v>3.5159314177795588E-2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2481398</v>
      </c>
      <c r="C53" s="30">
        <v>7196029</v>
      </c>
      <c r="D53" s="30">
        <v>8674371831.5803375</v>
      </c>
      <c r="E53" s="34">
        <f t="shared" ref="E53" si="26">C53/B53</f>
        <v>2.8999898444344678</v>
      </c>
      <c r="F53" s="43">
        <f t="shared" ref="F53" si="27">D53/B53</f>
        <v>3495.7599835174919</v>
      </c>
      <c r="G53" s="43">
        <f t="shared" ref="G53" si="28">F53/E53</f>
        <v>1205.4386984238581</v>
      </c>
      <c r="H53" s="27">
        <v>0.41016958229912021</v>
      </c>
      <c r="I53" s="59">
        <f>(B53/('Consumidores Inadimplentes'!B89*1000000))</f>
        <v>3.5183688095148428E-2</v>
      </c>
    </row>
    <row r="54" spans="1:16" x14ac:dyDescent="0.35">
      <c r="A54" s="5">
        <v>44986</v>
      </c>
      <c r="B54" s="30">
        <v>2489406</v>
      </c>
      <c r="C54" s="30">
        <v>7243122</v>
      </c>
      <c r="D54" s="30">
        <v>8831432610.0603294</v>
      </c>
      <c r="E54" s="34">
        <f t="shared" ref="E54:E55" si="29">C54/B54</f>
        <v>2.9095784295530742</v>
      </c>
      <c r="F54" s="43">
        <f t="shared" ref="F54:F55" si="30">D54/B54</f>
        <v>3547.6063808235094</v>
      </c>
      <c r="G54" s="43">
        <f t="shared" ref="G54:G55" si="31">F54/E54</f>
        <v>1219.28535927744</v>
      </c>
      <c r="H54" s="27">
        <v>0.41099117247769096</v>
      </c>
      <c r="I54" s="59">
        <f>(B54/('Consumidores Inadimplentes'!B90*1000000))</f>
        <v>3.5207150957628948E-2</v>
      </c>
    </row>
    <row r="55" spans="1:16" x14ac:dyDescent="0.35">
      <c r="A55" s="5">
        <v>45017</v>
      </c>
      <c r="B55" s="30">
        <v>2526785</v>
      </c>
      <c r="C55" s="30">
        <v>7391299</v>
      </c>
      <c r="D55" s="30">
        <v>9176742022.9003239</v>
      </c>
      <c r="E55" s="34">
        <f t="shared" si="29"/>
        <v>2.9251792297326444</v>
      </c>
      <c r="F55" s="43">
        <f t="shared" si="30"/>
        <v>3631.7858555042571</v>
      </c>
      <c r="G55" s="43">
        <f t="shared" si="31"/>
        <v>1241.5601131682433</v>
      </c>
      <c r="H55" s="27">
        <v>0.4166532689782585</v>
      </c>
      <c r="I55" s="59">
        <f>(B55/('Consumidores Inadimplentes'!B91*1000000))</f>
        <v>3.5369540827062021E-2</v>
      </c>
    </row>
    <row r="56" spans="1:16" x14ac:dyDescent="0.35">
      <c r="A56" s="5">
        <v>45047</v>
      </c>
      <c r="B56" s="30">
        <v>2538635</v>
      </c>
      <c r="C56" s="30">
        <v>7443417</v>
      </c>
      <c r="D56" s="30">
        <v>9236622776.25033</v>
      </c>
      <c r="E56" s="34">
        <f t="shared" ref="E56" si="32">C56/B56</f>
        <v>2.9320548247384912</v>
      </c>
      <c r="F56" s="43">
        <f t="shared" ref="F56" si="33">D56/B56</f>
        <v>3638.4209530910625</v>
      </c>
      <c r="G56" s="43">
        <f t="shared" ref="G56" si="34">F56/E56</f>
        <v>1240.9116372561593</v>
      </c>
      <c r="H56" s="27">
        <v>0.41809648004047506</v>
      </c>
      <c r="I56" s="59">
        <f>(B56/('Consumidores Inadimplentes'!B92*1000000))</f>
        <v>3.5306103143078811E-2</v>
      </c>
    </row>
    <row r="57" spans="1:16" x14ac:dyDescent="0.35">
      <c r="A57" s="5">
        <v>45078</v>
      </c>
      <c r="B57" s="30">
        <v>2533935</v>
      </c>
      <c r="C57" s="30">
        <v>7412993</v>
      </c>
      <c r="D57" s="30">
        <v>9300526770.6702747</v>
      </c>
      <c r="E57" s="34">
        <f t="shared" ref="E57" si="35">C57/B57</f>
        <v>2.9254866442904022</v>
      </c>
      <c r="F57" s="43">
        <f t="shared" ref="F57" si="36">D57/B57</f>
        <v>3670.388850017966</v>
      </c>
      <c r="G57" s="43">
        <f t="shared" ref="G57" si="37">F57/E57</f>
        <v>1254.625057742571</v>
      </c>
      <c r="H57" s="27">
        <v>0.41681320203325839</v>
      </c>
      <c r="I57" s="59">
        <f>(B57/('Consumidores Inadimplentes'!B93*1000000))</f>
        <v>3.5462696638629519E-2</v>
      </c>
    </row>
    <row r="58" spans="1:16" x14ac:dyDescent="0.35">
      <c r="A58" s="5">
        <v>45108</v>
      </c>
      <c r="B58" s="30">
        <v>2493779</v>
      </c>
      <c r="C58" s="30">
        <v>7279550</v>
      </c>
      <c r="D58" s="30">
        <v>9389207053.9000626</v>
      </c>
      <c r="E58" s="34">
        <f t="shared" ref="E58" si="38">C58/B58</f>
        <v>2.9190838482479804</v>
      </c>
      <c r="F58" s="43">
        <f t="shared" ref="F58" si="39">D58/B58</f>
        <v>3765.0517764004198</v>
      </c>
      <c r="G58" s="43">
        <f t="shared" ref="G58" si="40">F58/E58</f>
        <v>1289.8059706850097</v>
      </c>
      <c r="H58" s="27">
        <v>0.40970751125809751</v>
      </c>
      <c r="I58" s="59">
        <f>(B58/('Consumidores Inadimplentes'!B94*1000000))</f>
        <v>3.4917565888838126E-2</v>
      </c>
    </row>
    <row r="59" spans="1:16" x14ac:dyDescent="0.35">
      <c r="A59" s="5">
        <v>45139</v>
      </c>
      <c r="B59" s="30">
        <v>2538061</v>
      </c>
      <c r="C59" s="30">
        <v>7455252</v>
      </c>
      <c r="D59" s="30">
        <v>9656693743.5000553</v>
      </c>
      <c r="E59" s="34">
        <f t="shared" ref="E59" si="41">C59/B59</f>
        <v>2.9373809376527986</v>
      </c>
      <c r="F59" s="43">
        <f t="shared" ref="F59" si="42">D59/B59</f>
        <v>3804.7524245871377</v>
      </c>
      <c r="G59" s="43">
        <f t="shared" ref="G59" si="43">F59/E59</f>
        <v>1295.2873683545581</v>
      </c>
      <c r="H59" s="27">
        <v>0.41646390929771893</v>
      </c>
      <c r="I59" s="59">
        <f>(B59/('Consumidores Inadimplentes'!B95*1000000))</f>
        <v>3.537906291171778E-2</v>
      </c>
    </row>
    <row r="60" spans="1:16" x14ac:dyDescent="0.35">
      <c r="A60" s="5">
        <v>45170</v>
      </c>
      <c r="B60" s="30">
        <v>2561257</v>
      </c>
      <c r="C60" s="30">
        <v>7560552</v>
      </c>
      <c r="D60" s="30">
        <v>9951635774.0201035</v>
      </c>
      <c r="E60" s="34">
        <f t="shared" ref="E60" si="44">C60/B60</f>
        <v>2.9518912002973541</v>
      </c>
      <c r="F60" s="43">
        <f t="shared" ref="F60" si="45">D60/B60</f>
        <v>3885.4499076118109</v>
      </c>
      <c r="G60" s="43">
        <f t="shared" ref="G60" si="46">F60/E60</f>
        <v>1316.2578306478288</v>
      </c>
      <c r="H60" s="27">
        <v>0.41974718055216864</v>
      </c>
      <c r="I60" s="59">
        <f>(B60/('Consumidores Inadimplentes'!B96*1000000))</f>
        <v>3.5661102259694287E-2</v>
      </c>
    </row>
    <row r="61" spans="1:16" x14ac:dyDescent="0.35">
      <c r="A61" s="5">
        <v>45200</v>
      </c>
      <c r="B61" s="30">
        <v>2552349</v>
      </c>
      <c r="C61" s="30">
        <v>7541817</v>
      </c>
      <c r="D61" s="30">
        <v>10200688875.210091</v>
      </c>
      <c r="E61" s="34">
        <f t="shared" ref="E61" si="47">C61/B61</f>
        <v>2.9548533527350687</v>
      </c>
      <c r="F61" s="43">
        <f t="shared" ref="F61" si="48">D61/B61</f>
        <v>3996.5885837752166</v>
      </c>
      <c r="G61" s="43">
        <f t="shared" ref="G61" si="49">F61/E61</f>
        <v>1352.5505690750772</v>
      </c>
      <c r="H61" s="27">
        <v>0.41776690582952303</v>
      </c>
      <c r="I61" s="59">
        <f>(B61/('Consumidores Inadimplentes'!B97*1000000))</f>
        <v>3.5472686889022394E-2</v>
      </c>
    </row>
    <row r="62" spans="1:16" x14ac:dyDescent="0.35">
      <c r="A62" s="5">
        <v>45231</v>
      </c>
      <c r="B62" s="30">
        <v>2542100</v>
      </c>
      <c r="C62" s="30">
        <v>7500223</v>
      </c>
      <c r="D62" s="30">
        <v>10232259062.740129</v>
      </c>
      <c r="E62" s="34">
        <f t="shared" ref="E62" si="50">C62/B62</f>
        <v>2.9504043900712009</v>
      </c>
      <c r="F62" s="43">
        <f t="shared" ref="F62" si="51">D62/B62</f>
        <v>4025.120594288238</v>
      </c>
      <c r="G62" s="43">
        <f t="shared" ref="G62" si="52">F62/E62</f>
        <v>1364.2606443488587</v>
      </c>
      <c r="H62" s="27">
        <v>0.41557171967504292</v>
      </c>
      <c r="I62" s="59">
        <f>(B62/('Consumidores Inadimplentes'!B98*1000000))</f>
        <v>3.5400894484974847E-2</v>
      </c>
    </row>
    <row r="63" spans="1:16" ht="15" thickBot="1" x14ac:dyDescent="0.4">
      <c r="A63" s="12">
        <v>45261</v>
      </c>
      <c r="B63" s="31">
        <v>2504025</v>
      </c>
      <c r="C63" s="31">
        <v>7389810</v>
      </c>
      <c r="D63" s="31">
        <v>9928021251.4800415</v>
      </c>
      <c r="E63" s="35">
        <f t="shared" ref="E63" si="53">C63/B63</f>
        <v>2.9511726120945276</v>
      </c>
      <c r="F63" s="46">
        <f t="shared" ref="F63" si="54">D63/B63</f>
        <v>3964.8251321292882</v>
      </c>
      <c r="G63" s="46">
        <f t="shared" ref="G63" si="55">F63/E63</f>
        <v>1343.4744941317897</v>
      </c>
      <c r="H63" s="28">
        <v>0.40883809666867221</v>
      </c>
      <c r="I63" s="59">
        <f>(B63/('Consumidores Inadimplentes'!B99*1000000))</f>
        <v>3.5217146348523992E-2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2543416</v>
      </c>
      <c r="C64" s="29">
        <v>7506128</v>
      </c>
      <c r="D64" s="29">
        <v>10367726192.380108</v>
      </c>
      <c r="E64" s="33">
        <f t="shared" ref="E64" si="56">C64/B64</f>
        <v>2.9511994891909148</v>
      </c>
      <c r="F64" s="45">
        <f t="shared" ref="F64" si="57">D64/B64</f>
        <v>4076.2998236938465</v>
      </c>
      <c r="G64" s="45">
        <f t="shared" ref="G64" si="58">F64/E64</f>
        <v>1381.2349312961501</v>
      </c>
      <c r="H64" s="26">
        <v>0.414752940301652</v>
      </c>
      <c r="I64" s="59">
        <f>(B64/('Consumidores Inadimplentes'!B100*1000000))</f>
        <v>3.5291001714226659E-2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2547972</v>
      </c>
      <c r="C65" s="30">
        <v>7511332</v>
      </c>
      <c r="D65" s="30">
        <v>10310839228.650131</v>
      </c>
      <c r="E65" s="34">
        <f t="shared" ref="E65" si="59">C65/B65</f>
        <v>2.9479648912939389</v>
      </c>
      <c r="F65" s="43">
        <f t="shared" ref="F65" si="60">D65/B65</f>
        <v>4046.6846686895033</v>
      </c>
      <c r="G65" s="43">
        <f t="shared" ref="G65" si="61">F65/E65</f>
        <v>1372.7044988359096</v>
      </c>
      <c r="H65" s="27">
        <v>0.41497895033601773</v>
      </c>
      <c r="I65" s="59">
        <f>(B65/('Consumidores Inadimplentes'!B101*1000000))</f>
        <v>3.5369212480699588E-2</v>
      </c>
    </row>
    <row r="66" spans="1:16" x14ac:dyDescent="0.35">
      <c r="A66" s="5">
        <v>45352</v>
      </c>
      <c r="B66" s="30">
        <v>2570423</v>
      </c>
      <c r="C66" s="30">
        <v>7568236</v>
      </c>
      <c r="D66" s="30">
        <v>10479634750.150124</v>
      </c>
      <c r="E66" s="34">
        <f t="shared" ref="E66" si="62">C66/B66</f>
        <v>2.9443542949934698</v>
      </c>
      <c r="F66" s="43">
        <f t="shared" ref="F66" si="63">D66/B66</f>
        <v>4077.0078505172587</v>
      </c>
      <c r="G66" s="43">
        <f t="shared" ref="G66" si="64">F66/E66</f>
        <v>1384.6865703117774</v>
      </c>
      <c r="H66" s="27">
        <v>0.41811465875340026</v>
      </c>
      <c r="I66" s="59">
        <f>(B66/('Consumidores Inadimplentes'!B102*1000000))</f>
        <v>3.5262079867100574E-2</v>
      </c>
    </row>
    <row r="67" spans="1:16" x14ac:dyDescent="0.35">
      <c r="A67" s="5">
        <v>45383</v>
      </c>
      <c r="B67" s="30">
        <v>2596184</v>
      </c>
      <c r="C67" s="30">
        <v>7635439</v>
      </c>
      <c r="D67" s="30">
        <v>10662176861.560154</v>
      </c>
      <c r="E67" s="34">
        <f t="shared" ref="E67:E68" si="65">C67/B67</f>
        <v>2.9410238257380832</v>
      </c>
      <c r="F67" s="43">
        <f t="shared" ref="F67:F68" si="66">D67/B67</f>
        <v>4106.8648684223281</v>
      </c>
      <c r="G67" s="43">
        <f t="shared" ref="G67:G68" si="67">F67/E67</f>
        <v>1396.4065277137508</v>
      </c>
      <c r="H67" s="27">
        <v>0.42177963770787136</v>
      </c>
      <c r="I67" s="59">
        <f>(B67/('Consumidores Inadimplentes'!B103*1000000))</f>
        <v>3.5360823180847274E-2</v>
      </c>
    </row>
    <row r="68" spans="1:16" x14ac:dyDescent="0.35">
      <c r="A68" s="5">
        <v>45413</v>
      </c>
      <c r="B68" s="30">
        <v>2585092</v>
      </c>
      <c r="C68" s="30">
        <v>7667473</v>
      </c>
      <c r="D68" s="30">
        <v>10775478102.699974</v>
      </c>
      <c r="E68" s="34">
        <f t="shared" si="65"/>
        <v>2.9660348645231966</v>
      </c>
      <c r="F68" s="43">
        <f t="shared" si="66"/>
        <v>4168.3151325755425</v>
      </c>
      <c r="G68" s="43">
        <f t="shared" si="67"/>
        <v>1405.3493377413881</v>
      </c>
      <c r="H68" s="27">
        <v>0.41945507828440703</v>
      </c>
      <c r="I68" s="59">
        <f>(B68/('Consumidores Inadimplentes'!B104*1000000))</f>
        <v>3.5639062789147795E-2</v>
      </c>
    </row>
    <row r="69" spans="1:16" x14ac:dyDescent="0.35">
      <c r="A69" s="5">
        <v>45444</v>
      </c>
      <c r="B69" s="30">
        <v>2596915</v>
      </c>
      <c r="C69" s="30">
        <v>7678383</v>
      </c>
      <c r="D69" s="30">
        <v>10881814343.85</v>
      </c>
      <c r="E69" s="34">
        <f t="shared" ref="E69" si="68">C69/B69</f>
        <v>2.9567325076099911</v>
      </c>
      <c r="F69" s="43">
        <f t="shared" ref="F69" si="69">D69/B69</f>
        <v>4190.2851436608435</v>
      </c>
      <c r="G69" s="43">
        <f t="shared" ref="G69" si="70">F69/E69</f>
        <v>1417.2012966597263</v>
      </c>
      <c r="H69" s="27">
        <v>0.42084923251246953</v>
      </c>
      <c r="I69" s="59">
        <f>(B69/('Consumidores Inadimplentes'!B105*1000000))</f>
        <v>3.5818957971580363E-2</v>
      </c>
    </row>
    <row r="70" spans="1:16" x14ac:dyDescent="0.35">
      <c r="A70" s="5">
        <v>45474</v>
      </c>
      <c r="B70" s="30">
        <v>2630872</v>
      </c>
      <c r="C70" s="30">
        <v>7726432</v>
      </c>
      <c r="D70" s="30">
        <v>10883028681.77</v>
      </c>
      <c r="E70" s="34">
        <f t="shared" ref="E70" si="71">C70/B70</f>
        <v>2.9368331108468979</v>
      </c>
      <c r="F70" s="43">
        <f t="shared" ref="F70" si="72">D70/B70</f>
        <v>4136.662171998486</v>
      </c>
      <c r="G70" s="43">
        <f t="shared" ref="G70" si="73">F70/E70</f>
        <v>1408.5451967699969</v>
      </c>
      <c r="H70" s="27">
        <v>0.42582175376852782</v>
      </c>
      <c r="I70" s="59">
        <f>(B70/('Consumidores Inadimplentes'!B106*1000000))</f>
        <v>3.620591646394633E-2</v>
      </c>
    </row>
    <row r="71" spans="1:16" x14ac:dyDescent="0.35">
      <c r="A71" s="5">
        <v>45505</v>
      </c>
      <c r="B71" s="30">
        <v>2632330</v>
      </c>
      <c r="C71" s="30">
        <v>7718810</v>
      </c>
      <c r="D71" s="30">
        <v>10959833749.430185</v>
      </c>
      <c r="E71" s="34">
        <f t="shared" ref="E71" si="74">C71/B71</f>
        <v>2.9323109184638705</v>
      </c>
      <c r="F71" s="43">
        <f t="shared" ref="F71" si="75">D71/B71</f>
        <v>4163.548548027863</v>
      </c>
      <c r="G71" s="43">
        <f t="shared" ref="G71" si="76">F71/E71</f>
        <v>1419.8864526306754</v>
      </c>
      <c r="H71" s="27">
        <v>0.42554625804690027</v>
      </c>
      <c r="I71" s="59">
        <f>(B71/('Consumidores Inadimplentes'!B107*1000000))</f>
        <v>3.6326769666092301E-2</v>
      </c>
    </row>
    <row r="72" spans="1:16" x14ac:dyDescent="0.35">
      <c r="A72" s="5">
        <v>45536</v>
      </c>
      <c r="B72" s="30">
        <v>2635181</v>
      </c>
      <c r="C72" s="30">
        <v>7751452</v>
      </c>
      <c r="D72" s="30">
        <v>11101092301.56023</v>
      </c>
      <c r="E72" s="34">
        <f t="shared" ref="E72" si="77">C72/B72</f>
        <v>2.9415254587825275</v>
      </c>
      <c r="F72" s="43">
        <f t="shared" ref="F72" si="78">D72/B72</f>
        <v>4212.6488850520063</v>
      </c>
      <c r="G72" s="43">
        <f t="shared" ref="G72" si="79">F72/E72</f>
        <v>1432.1306900384898</v>
      </c>
      <c r="H72" s="27">
        <v>0.42549572902676192</v>
      </c>
      <c r="I72" s="59">
        <f>(B72/('Consumidores Inadimplentes'!B108*1000000))</f>
        <v>3.6276309634191144E-2</v>
      </c>
    </row>
    <row r="73" spans="1:16" x14ac:dyDescent="0.35">
      <c r="A73" s="5">
        <v>45566</v>
      </c>
      <c r="B73" s="30">
        <v>2644506</v>
      </c>
      <c r="C73" s="30">
        <v>7835793</v>
      </c>
      <c r="D73" s="30">
        <v>11284294870.970207</v>
      </c>
      <c r="E73" s="34">
        <f t="shared" ref="E73" si="80">C73/B73</f>
        <v>2.9630460282563171</v>
      </c>
      <c r="F73" s="43">
        <f t="shared" ref="F73" si="81">D73/B73</f>
        <v>4267.0710034199983</v>
      </c>
      <c r="G73" s="43">
        <f t="shared" ref="G73" si="82">F73/E73</f>
        <v>1440.0960912278063</v>
      </c>
      <c r="H73" s="27">
        <v>0.42648878842623816</v>
      </c>
      <c r="I73" s="59">
        <f>(B73/('Consumidores Inadimplentes'!B109*1000000))</f>
        <v>3.6174578159140151E-2</v>
      </c>
    </row>
    <row r="74" spans="1:16" x14ac:dyDescent="0.35">
      <c r="A74" s="5">
        <v>45597</v>
      </c>
      <c r="B74" s="30">
        <v>2668101</v>
      </c>
      <c r="C74" s="30">
        <v>7909185</v>
      </c>
      <c r="D74" s="30">
        <v>11531372231.570152</v>
      </c>
      <c r="E74" s="34">
        <f t="shared" ref="E74" si="83">C74/B74</f>
        <v>2.9643499252839378</v>
      </c>
      <c r="F74" s="43">
        <f t="shared" ref="F74" si="84">D74/B74</f>
        <v>4321.9399234025068</v>
      </c>
      <c r="G74" s="43">
        <f t="shared" ref="G74" si="85">F74/E74</f>
        <v>1457.972247655119</v>
      </c>
      <c r="H74" s="27">
        <v>0.42977745683501506</v>
      </c>
      <c r="I74" s="59">
        <f>(B74/('Consumidores Inadimplentes'!B110*1000000))</f>
        <v>3.6158620508149247E-2</v>
      </c>
    </row>
    <row r="75" spans="1:16" ht="15" thickBot="1" x14ac:dyDescent="0.4">
      <c r="A75" s="12">
        <v>45627</v>
      </c>
      <c r="B75" s="31">
        <v>2653959</v>
      </c>
      <c r="C75" s="31">
        <v>7830404</v>
      </c>
      <c r="D75" s="31">
        <v>11400499239.980169</v>
      </c>
      <c r="E75" s="35">
        <f t="shared" ref="E75" si="86">C75/B75</f>
        <v>2.9504615557361662</v>
      </c>
      <c r="F75" s="46">
        <f t="shared" ref="F75" si="87">D75/B75</f>
        <v>4295.6576344925334</v>
      </c>
      <c r="G75" s="46">
        <f t="shared" ref="G75" si="88">F75/E75</f>
        <v>1455.9273365691181</v>
      </c>
      <c r="H75" s="28">
        <v>0.42698623664058644</v>
      </c>
      <c r="I75" s="59">
        <f>(B75/('Consumidores Inadimplentes'!B111*1000000))</f>
        <v>3.6102267687296533E-2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2720639</v>
      </c>
      <c r="C76" s="29">
        <v>8086489</v>
      </c>
      <c r="D76" s="29">
        <v>11873844049.390182</v>
      </c>
      <c r="E76" s="33">
        <f t="shared" ref="E76:E77" si="89">C76/B76</f>
        <v>2.9722756308352558</v>
      </c>
      <c r="F76" s="45">
        <f t="shared" ref="F76:F77" si="90">D76/B76</f>
        <v>4364.3585383397731</v>
      </c>
      <c r="G76" s="45">
        <f t="shared" ref="G76:G77" si="91">F76/E76</f>
        <v>1468.3559267056671</v>
      </c>
      <c r="H76" s="26">
        <v>0.43718865659054945</v>
      </c>
      <c r="I76" s="59">
        <f>(B76/('Consumidores Inadimplentes'!B112*1000000))</f>
        <v>3.6468267177874582E-2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2747368</v>
      </c>
      <c r="C77" s="30">
        <v>8287922</v>
      </c>
      <c r="D77" s="30">
        <v>12450946796.470213</v>
      </c>
      <c r="E77" s="34">
        <f t="shared" si="89"/>
        <v>3.0166770523642992</v>
      </c>
      <c r="F77" s="43">
        <f t="shared" si="90"/>
        <v>4531.9545093595807</v>
      </c>
      <c r="G77" s="43">
        <f t="shared" si="91"/>
        <v>1502.3001901405698</v>
      </c>
      <c r="H77" s="27">
        <v>0.44095380925355732</v>
      </c>
      <c r="I77" s="59">
        <f>(B77/('Consumidores Inadimplentes'!B113*1000000))</f>
        <v>3.6629919126185594E-2</v>
      </c>
    </row>
    <row r="78" spans="1:16" x14ac:dyDescent="0.35">
      <c r="A78" s="5">
        <v>45717</v>
      </c>
      <c r="B78" s="30">
        <v>2757220</v>
      </c>
      <c r="C78" s="30">
        <v>8112156</v>
      </c>
      <c r="D78" s="30">
        <v>12214241190.260159</v>
      </c>
      <c r="E78" s="34">
        <f t="shared" ref="E78" si="92">C78/B78</f>
        <v>2.9421504268792478</v>
      </c>
      <c r="F78" s="43">
        <f t="shared" ref="F78" si="93">D78/B78</f>
        <v>4429.9117191447031</v>
      </c>
      <c r="G78" s="43">
        <f t="shared" ref="G78" si="94">F78/E78</f>
        <v>1505.6713887479677</v>
      </c>
      <c r="H78" s="27">
        <v>0.44200377653033401</v>
      </c>
      <c r="I78" s="59">
        <f>(B78/('Consumidores Inadimplentes'!B114*1000000))</f>
        <v>3.6389561392428313E-2</v>
      </c>
    </row>
    <row r="79" spans="1:16" x14ac:dyDescent="0.35">
      <c r="A79" s="5">
        <v>45748</v>
      </c>
      <c r="B79" s="30">
        <v>2746322</v>
      </c>
      <c r="C79" s="30">
        <v>8274735</v>
      </c>
      <c r="D79" s="30">
        <v>12784530155</v>
      </c>
      <c r="E79" s="34">
        <f t="shared" ref="E79" si="95">C79/B79</f>
        <v>3.013024328538314</v>
      </c>
      <c r="F79" s="43">
        <f t="shared" ref="F79" si="96">D79/B79</f>
        <v>4655.1461026784182</v>
      </c>
      <c r="G79" s="43">
        <f t="shared" ref="G79" si="97">F79/E79</f>
        <v>1545.0078044795391</v>
      </c>
      <c r="H79" s="27">
        <v>0.43972819465666396</v>
      </c>
      <c r="I79" s="59">
        <f>(B79/('Consumidores Inadimplentes'!B115*1000000))</f>
        <v>3.5834742187320891E-2</v>
      </c>
    </row>
    <row r="80" spans="1:16" x14ac:dyDescent="0.35">
      <c r="A80" s="5">
        <v>45778</v>
      </c>
      <c r="B80" s="30">
        <v>2834497</v>
      </c>
      <c r="C80" s="30">
        <v>8492330</v>
      </c>
      <c r="D80" s="30">
        <v>13061417641</v>
      </c>
      <c r="E80" s="34">
        <f t="shared" ref="E80" si="98">C80/B80</f>
        <v>2.9960624407081751</v>
      </c>
      <c r="F80" s="43">
        <f t="shared" ref="F80" si="99">D80/B80</f>
        <v>4608.0195678457239</v>
      </c>
      <c r="G80" s="43">
        <f t="shared" ref="G80" si="100">F80/E80</f>
        <v>1538.0252111022535</v>
      </c>
      <c r="H80" s="27">
        <v>0.45330150011050685</v>
      </c>
      <c r="I80" s="59">
        <f>(B80/('Consumidores Inadimplentes'!B116*1000000))</f>
        <v>3.677712661413416E-2</v>
      </c>
    </row>
    <row r="81" spans="1:16" x14ac:dyDescent="0.35">
      <c r="A81" s="5">
        <v>45809</v>
      </c>
      <c r="B81" s="30">
        <v>2855214</v>
      </c>
      <c r="C81" s="30">
        <v>8602204</v>
      </c>
      <c r="D81" s="30">
        <v>13442969778</v>
      </c>
      <c r="E81" s="34">
        <f t="shared" ref="E81:E82" si="101">C81/B81</f>
        <v>3.0128053448883341</v>
      </c>
      <c r="F81" s="43">
        <f t="shared" ref="F81:F82" si="102">D81/B81</f>
        <v>4708.2179402314505</v>
      </c>
      <c r="G81" s="43">
        <f t="shared" ref="G81:G82" si="103">F81/E81</f>
        <v>1562.7355242912167</v>
      </c>
      <c r="H81" s="27">
        <v>0.45606644302184385</v>
      </c>
      <c r="I81" s="59">
        <f>(B81/('Consumidores Inadimplentes'!B117*1000000))</f>
        <v>3.6664252999877404E-2</v>
      </c>
    </row>
    <row r="82" spans="1:16" x14ac:dyDescent="0.35">
      <c r="A82" s="5">
        <v>45839</v>
      </c>
      <c r="B82" s="30">
        <v>2880461</v>
      </c>
      <c r="C82" s="30">
        <v>8691068</v>
      </c>
      <c r="D82" s="30">
        <v>13659868694</v>
      </c>
      <c r="E82" s="34">
        <f t="shared" si="101"/>
        <v>3.0172489750772531</v>
      </c>
      <c r="F82" s="43">
        <f t="shared" si="102"/>
        <v>4742.2508737316703</v>
      </c>
      <c r="G82" s="43">
        <f t="shared" si="103"/>
        <v>1571.7134757201302</v>
      </c>
      <c r="H82" s="27">
        <v>0.4595471026602721</v>
      </c>
      <c r="I82" s="59">
        <f>(B82/('Consumidores Inadimplentes'!B118*1000000))</f>
        <v>3.6852831747625117E-2</v>
      </c>
    </row>
    <row r="83" spans="1:16" x14ac:dyDescent="0.35">
      <c r="A83" s="5">
        <v>45870</v>
      </c>
      <c r="B83" s="30">
        <v>2923930</v>
      </c>
      <c r="C83" s="30">
        <v>8896136</v>
      </c>
      <c r="D83" s="30">
        <v>14107537577</v>
      </c>
      <c r="E83" s="34">
        <f t="shared" ref="E83" si="104">C83/B83</f>
        <v>3.0425270098805375</v>
      </c>
      <c r="F83" s="43">
        <f t="shared" ref="F83" si="105">D83/B83</f>
        <v>4824.8547595188666</v>
      </c>
      <c r="G83" s="43">
        <f t="shared" ref="G83" si="106">F83/E83</f>
        <v>1585.8050705384899</v>
      </c>
      <c r="H83" s="27">
        <v>0.46594236709488496</v>
      </c>
      <c r="I83" s="59">
        <f>(B83/('Consumidores Inadimplentes'!B119*1000000))</f>
        <v>3.7082725487804558E-2</v>
      </c>
    </row>
    <row r="84" spans="1:16" x14ac:dyDescent="0.35">
      <c r="A84" s="5">
        <v>45901</v>
      </c>
      <c r="B84" s="30">
        <v>2920285</v>
      </c>
      <c r="C84" s="30">
        <v>8845665</v>
      </c>
      <c r="D84" s="30">
        <v>14216319120</v>
      </c>
      <c r="E84" s="34">
        <f>IFERROR(C84/B84,"")</f>
        <v>3.0290416859998253</v>
      </c>
      <c r="F84" s="43">
        <f>IFERROR(D84/B84,"")</f>
        <v>4868.1272957947594</v>
      </c>
      <c r="G84" s="43">
        <f>IFERROR(F84/E84,"")</f>
        <v>1607.1509739516475</v>
      </c>
      <c r="H84" s="27">
        <v>0.46482301680807897</v>
      </c>
      <c r="I84" s="59">
        <f>(B84/('Consumidores Inadimplentes'!B120*1000000))</f>
        <v>3.6887677575359983E-2</v>
      </c>
    </row>
    <row r="85" spans="1:16" x14ac:dyDescent="0.35">
      <c r="A85" s="5">
        <v>45931</v>
      </c>
      <c r="B85" s="30">
        <v>2947474</v>
      </c>
      <c r="C85" s="30">
        <v>8960328</v>
      </c>
      <c r="D85" s="30">
        <v>14507953672</v>
      </c>
      <c r="E85" s="34">
        <f t="shared" ref="E85:E87" si="107">IFERROR(C85/B85,"")</f>
        <v>3.0400023884858696</v>
      </c>
      <c r="F85" s="43">
        <f t="shared" ref="F85:F87" si="108">IFERROR(D85/B85,"")</f>
        <v>4922.1651054428303</v>
      </c>
      <c r="G85" s="43">
        <f t="shared" ref="G85:G87" si="109">IFERROR(F85/E85,"")</f>
        <v>1619.1319862397895</v>
      </c>
      <c r="H85" s="27">
        <v>0.46860784641673603</v>
      </c>
      <c r="I85" s="59">
        <f>(B85/('Consumidores Inadimplentes'!B121*1000000))</f>
        <v>3.6643474385494389E-2</v>
      </c>
    </row>
    <row r="86" spans="1:16" x14ac:dyDescent="0.35">
      <c r="A86" s="5">
        <v>45962</v>
      </c>
      <c r="B86" s="30">
        <v>2941202</v>
      </c>
      <c r="C86" s="30">
        <v>8923659</v>
      </c>
      <c r="D86" s="30">
        <v>14638630350</v>
      </c>
      <c r="E86" s="34">
        <f t="shared" si="107"/>
        <v>3.0340177247261493</v>
      </c>
      <c r="F86" s="43">
        <f t="shared" si="108"/>
        <v>4977.0911178490969</v>
      </c>
      <c r="G86" s="43">
        <f t="shared" si="109"/>
        <v>1640.429150195004</v>
      </c>
      <c r="H86" s="27">
        <v>0.46706964338402618</v>
      </c>
      <c r="I86" s="59">
        <f>(B86/('Consumidores Inadimplentes'!B122*1000000))</f>
        <v>3.6486873703524082E-2</v>
      </c>
    </row>
    <row r="87" spans="1:16" ht="15" thickBot="1" x14ac:dyDescent="0.4">
      <c r="A87" s="12">
        <v>45992</v>
      </c>
      <c r="B87" s="31">
        <v>2986610</v>
      </c>
      <c r="C87" s="31">
        <v>9114963</v>
      </c>
      <c r="D87" s="31">
        <v>14932892759</v>
      </c>
      <c r="E87" s="35">
        <f t="shared" si="107"/>
        <v>3.0519428382011711</v>
      </c>
      <c r="F87" s="46">
        <f t="shared" si="108"/>
        <v>4999.9473513448356</v>
      </c>
      <c r="G87" s="46">
        <f t="shared" si="109"/>
        <v>1638.2834202398847</v>
      </c>
      <c r="H87" s="28">
        <v>0.47373173765190302</v>
      </c>
      <c r="I87" s="59">
        <f>(B87/('Consumidores Inadimplentes'!B123*1000000))</f>
        <v>3.6759174525566263E-2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2961068</v>
      </c>
      <c r="C88" s="29">
        <v>8737184</v>
      </c>
      <c r="D88" s="29">
        <v>14169182219</v>
      </c>
      <c r="E88" s="33">
        <f t="shared" ref="E88:E89" si="110">IFERROR(C88/B88,"")</f>
        <v>2.9506867116864592</v>
      </c>
      <c r="F88" s="45">
        <f t="shared" ref="F88:F89" si="111">IFERROR(D88/B88,"")</f>
        <v>4785.1593475732407</v>
      </c>
      <c r="G88" s="45">
        <f t="shared" ref="G88:G89" si="112">IFERROR(F88/E88,"")</f>
        <v>1621.7104068084179</v>
      </c>
      <c r="H88" s="26">
        <v>0.46913685870258198</v>
      </c>
      <c r="I88" s="59">
        <f>(B88/('Consumidores Inadimplentes'!B124*1000000))</f>
        <v>3.6412841703952488E-2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2988306</v>
      </c>
      <c r="C89" s="30">
        <v>8904594</v>
      </c>
      <c r="D89" s="30">
        <v>14656026545</v>
      </c>
      <c r="E89" s="34">
        <f t="shared" si="110"/>
        <v>2.9798133122913115</v>
      </c>
      <c r="F89" s="43">
        <f t="shared" si="111"/>
        <v>4904.4597658338871</v>
      </c>
      <c r="G89" s="43">
        <f t="shared" si="112"/>
        <v>1645.8949779181398</v>
      </c>
      <c r="H89" s="27">
        <v>0.47290446282414694</v>
      </c>
      <c r="I89" s="59">
        <f>(B89/('Consumidores Inadimplentes'!B125*1000000))</f>
        <v>3.6562289815890284E-2</v>
      </c>
    </row>
    <row r="90" spans="1:16" x14ac:dyDescent="0.35">
      <c r="A90" s="5">
        <v>46082</v>
      </c>
      <c r="B90" s="30">
        <v>3044284</v>
      </c>
      <c r="C90" s="30">
        <v>9181419</v>
      </c>
      <c r="D90" s="30">
        <v>15308824980</v>
      </c>
      <c r="E90" s="34">
        <f t="shared" ref="E90" si="113">IFERROR(C90/B90,"")</f>
        <v>3.0159535049949349</v>
      </c>
      <c r="F90" s="43">
        <f t="shared" ref="F90" si="114">IFERROR(D90/B90,"")</f>
        <v>5028.711178063545</v>
      </c>
      <c r="G90" s="43">
        <f t="shared" ref="G90" si="115">IFERROR(F90/E90,"")</f>
        <v>1667.3702594337542</v>
      </c>
      <c r="H90" s="27">
        <v>0.48120564595673221</v>
      </c>
      <c r="I90" s="59">
        <f>(B90/('Consumidores Inadimplentes'!B126*1000000))</f>
        <v>3.6752293251690327E-2</v>
      </c>
    </row>
    <row r="91" spans="1:16" x14ac:dyDescent="0.35">
      <c r="A91" s="5">
        <v>46113</v>
      </c>
      <c r="B91" s="30">
        <v>3117166</v>
      </c>
      <c r="C91" s="30">
        <v>9800404</v>
      </c>
      <c r="D91" s="30">
        <v>15650638084</v>
      </c>
      <c r="E91" s="34">
        <f t="shared" ref="E91" si="116">IFERROR(C91/B91,"")</f>
        <v>3.1440109381406058</v>
      </c>
      <c r="F91" s="43">
        <f t="shared" ref="F91" si="117">IFERROR(D91/B91,"")</f>
        <v>5020.7907066867792</v>
      </c>
      <c r="G91" s="43">
        <f t="shared" ref="G91" si="118">IFERROR(F91/E91,"")</f>
        <v>1596.9380531659717</v>
      </c>
      <c r="H91" s="27">
        <v>0.49215584515647021</v>
      </c>
      <c r="I91" s="59">
        <f>(B91/('Consumidores Inadimplentes'!B127*1000000))</f>
        <v>3.7380935409471287E-2</v>
      </c>
    </row>
    <row r="92" spans="1:16" x14ac:dyDescent="0.35">
      <c r="A92" s="5">
        <v>46143</v>
      </c>
      <c r="B92" s="30">
        <v>3101091</v>
      </c>
      <c r="C92" s="30">
        <v>9734516</v>
      </c>
      <c r="D92" s="30">
        <v>15804105349</v>
      </c>
      <c r="E92" s="34">
        <f t="shared" ref="E92" si="119">IFERROR(C92/B92,"")</f>
        <v>3.1390617044130598</v>
      </c>
      <c r="F92" s="43">
        <f t="shared" ref="F92" si="120">IFERROR(D92/B92,"")</f>
        <v>5096.3049291362295</v>
      </c>
      <c r="G92" s="43">
        <f t="shared" ref="G92" si="121">IFERROR(F92/E92,"")</f>
        <v>1623.5121858138607</v>
      </c>
      <c r="H92" s="27">
        <v>0.48905131245156547</v>
      </c>
      <c r="I92" s="59">
        <f>(B92/('Consumidores Inadimplentes'!B128*1000000))</f>
        <v>3.7137548581278296E-2</v>
      </c>
    </row>
    <row r="93" spans="1:16" x14ac:dyDescent="0.35">
      <c r="A93" s="5">
        <v>46174</v>
      </c>
      <c r="B93" s="30">
        <v>3119222</v>
      </c>
      <c r="C93" s="30">
        <v>9801604</v>
      </c>
      <c r="D93" s="30">
        <v>16044384280</v>
      </c>
      <c r="E93" s="34">
        <f t="shared" ref="E93" si="122">IFERROR(C93/B93,"")</f>
        <v>3.1423233101074564</v>
      </c>
      <c r="F93" s="43">
        <f t="shared" ref="F93" si="123">IFERROR(D93/B93,"")</f>
        <v>5143.7134900946457</v>
      </c>
      <c r="G93" s="43">
        <f t="shared" ref="G93" si="124">IFERROR(F93/E93,"")</f>
        <v>1636.9141499697398</v>
      </c>
      <c r="H93" s="27">
        <v>0.49134141308491303</v>
      </c>
      <c r="I93" s="59">
        <f>(B93/('Consumidores Inadimplentes'!B129*1000000))</f>
        <v>3.7249960122450618E-2</v>
      </c>
    </row>
    <row r="94" spans="1:16" x14ac:dyDescent="0.35">
      <c r="A94" s="5">
        <v>46204</v>
      </c>
      <c r="B94" s="30">
        <v>3145775</v>
      </c>
      <c r="C94" s="30">
        <v>9939740</v>
      </c>
      <c r="D94" s="30">
        <v>16239448235</v>
      </c>
      <c r="E94" s="34">
        <f t="shared" ref="E94" si="125">IFERROR(C94/B94,"")</f>
        <v>3.1597110409994356</v>
      </c>
      <c r="F94" s="43">
        <f t="shared" ref="F94" si="126">IFERROR(D94/B94,"")</f>
        <v>5162.3044353140322</v>
      </c>
      <c r="G94" s="43">
        <f t="shared" ref="G94" si="127">IFERROR(F94/E94,"")</f>
        <v>1633.790042294869</v>
      </c>
      <c r="H94" s="27">
        <v>0.49495070120933315</v>
      </c>
      <c r="I94" s="59">
        <f>(B94/('Consumidores Inadimplentes'!B130*1000000))</f>
        <v>3.7480079985780859E-2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E4B8-4FE9-4F46-9A8B-E6472CCAAA83}">
  <sheetPr codeName="Planilha18"/>
  <dimension ref="A1:P99"/>
  <sheetViews>
    <sheetView zoomScale="90" zoomScaleNormal="90" workbookViewId="0">
      <pane xSplit="1" ySplit="3" topLeftCell="B84" activePane="bottomRight" state="frozen"/>
      <selection activeCell="H93" sqref="H93"/>
      <selection pane="topRight" activeCell="H93" sqref="H93"/>
      <selection pane="bottomLeft" activeCell="H93" sqref="H93"/>
      <selection pane="bottomRight" activeCell="I1" sqref="I1:I104857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34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982919</v>
      </c>
      <c r="C4" s="29">
        <v>3209367</v>
      </c>
      <c r="D4" s="29">
        <v>3102582869.920001</v>
      </c>
      <c r="E4" s="33">
        <f t="shared" ref="E4:E33" si="0">C4/B4</f>
        <v>3.2651388364656699</v>
      </c>
      <c r="F4" s="45">
        <f>D4/B4</f>
        <v>3156.4990298488492</v>
      </c>
      <c r="G4" s="45">
        <f t="shared" ref="G4" si="1">F4/E4</f>
        <v>966.72735462164383</v>
      </c>
      <c r="H4" s="26">
        <v>0.3371096254860495</v>
      </c>
      <c r="I4" s="58">
        <f>(B4/('Consumidores Inadimplentes'!B40*1000000))</f>
        <v>1.5808557167898574E-2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989232</v>
      </c>
      <c r="C5" s="30">
        <v>3202354</v>
      </c>
      <c r="D5" s="30">
        <v>3082639810.8199973</v>
      </c>
      <c r="E5" s="34">
        <f t="shared" si="0"/>
        <v>3.2372123020686754</v>
      </c>
      <c r="F5" s="43">
        <f t="shared" ref="F5:F45" si="2">D5/B5</f>
        <v>3116.1949985645401</v>
      </c>
      <c r="G5" s="43">
        <f t="shared" ref="G5:G45" si="3">F5/E5</f>
        <v>962.61681588606291</v>
      </c>
      <c r="H5" s="27">
        <v>0.33879694098847163</v>
      </c>
      <c r="I5" s="59">
        <f>(B5/('Consumidores Inadimplentes'!B41*1000000))</f>
        <v>1.5910982956674872E-2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1021860</v>
      </c>
      <c r="C6" s="30">
        <v>3283738</v>
      </c>
      <c r="D6" s="30">
        <v>3184945812</v>
      </c>
      <c r="E6" s="34">
        <f t="shared" si="0"/>
        <v>3.2134910848844265</v>
      </c>
      <c r="F6" s="43">
        <f t="shared" si="2"/>
        <v>3116.812295226352</v>
      </c>
      <c r="G6" s="43">
        <f t="shared" si="3"/>
        <v>969.9147167039514</v>
      </c>
      <c r="H6" s="27">
        <v>0.34940951112871904</v>
      </c>
      <c r="I6" s="59">
        <f>(B6/('Consumidores Inadimplentes'!B42*1000000))</f>
        <v>1.6230284074761594E-2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1006521</v>
      </c>
      <c r="C7" s="30">
        <v>3234217</v>
      </c>
      <c r="D7" s="30">
        <v>3182240013.1399994</v>
      </c>
      <c r="E7" s="34">
        <f t="shared" si="0"/>
        <v>3.2132633099557784</v>
      </c>
      <c r="F7" s="43">
        <f t="shared" si="2"/>
        <v>3161.623069106357</v>
      </c>
      <c r="G7" s="43">
        <f t="shared" si="3"/>
        <v>983.92903541722762</v>
      </c>
      <c r="H7" s="27">
        <v>0.34346134387953825</v>
      </c>
      <c r="I7" s="59">
        <f>(B7/('Consumidores Inadimplentes'!B43*1000000))</f>
        <v>1.5924603535482505E-2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1021511</v>
      </c>
      <c r="C8" s="30">
        <v>3238860</v>
      </c>
      <c r="D8" s="30">
        <v>3261482626.459991</v>
      </c>
      <c r="E8" s="34">
        <f t="shared" si="0"/>
        <v>3.170656018388446</v>
      </c>
      <c r="F8" s="43">
        <f t="shared" si="2"/>
        <v>3192.8022571073548</v>
      </c>
      <c r="G8" s="43">
        <f t="shared" si="3"/>
        <v>1006.9847497144029</v>
      </c>
      <c r="H8" s="27">
        <v>0.34506740172146011</v>
      </c>
      <c r="I8" s="59">
        <f>(B8/('Consumidores Inadimplentes'!B44*1000000))</f>
        <v>1.6118613667720827E-2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1014077</v>
      </c>
      <c r="C9" s="30">
        <v>3213551</v>
      </c>
      <c r="D9" s="30">
        <v>3289167722.5199919</v>
      </c>
      <c r="E9" s="34">
        <f t="shared" si="0"/>
        <v>3.1689418061942041</v>
      </c>
      <c r="F9" s="43">
        <f t="shared" si="2"/>
        <v>3243.5088484602175</v>
      </c>
      <c r="G9" s="43">
        <f t="shared" si="3"/>
        <v>1023.5305811297197</v>
      </c>
      <c r="H9" s="27">
        <v>0.34589704530264526</v>
      </c>
      <c r="I9" s="59">
        <f>(B9/('Consumidores Inadimplentes'!B45*1000000))</f>
        <v>1.5982154678772759E-2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1018510</v>
      </c>
      <c r="C10" s="30">
        <v>3206083</v>
      </c>
      <c r="D10" s="30">
        <v>3289159405.3299952</v>
      </c>
      <c r="E10" s="34">
        <f t="shared" si="0"/>
        <v>3.1478169090141481</v>
      </c>
      <c r="F10" s="43">
        <f t="shared" si="2"/>
        <v>3229.3835164406782</v>
      </c>
      <c r="G10" s="43">
        <f t="shared" si="3"/>
        <v>1025.9121193462538</v>
      </c>
      <c r="H10" s="27">
        <v>0.34669960391925742</v>
      </c>
      <c r="I10" s="59">
        <f>(B10/('Consumidores Inadimplentes'!B46*1000000))</f>
        <v>1.6048785812943302E-2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1030324</v>
      </c>
      <c r="C11" s="30">
        <v>3235675</v>
      </c>
      <c r="D11" s="30">
        <v>3398579309.3499913</v>
      </c>
      <c r="E11" s="34">
        <f t="shared" si="0"/>
        <v>3.1404441709598148</v>
      </c>
      <c r="F11" s="43">
        <f t="shared" si="2"/>
        <v>3298.5539590944122</v>
      </c>
      <c r="G11" s="43">
        <f t="shared" si="3"/>
        <v>1050.3463139375835</v>
      </c>
      <c r="H11" s="27">
        <v>0.34882391895204268</v>
      </c>
      <c r="I11" s="59">
        <f>(B11/('Consumidores Inadimplentes'!B47*1000000))</f>
        <v>1.624400881132209E-2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1019494</v>
      </c>
      <c r="C12" s="30">
        <v>3173084</v>
      </c>
      <c r="D12" s="30">
        <v>3361838599.5499983</v>
      </c>
      <c r="E12" s="34">
        <f t="shared" si="0"/>
        <v>3.1124106664678752</v>
      </c>
      <c r="F12" s="43">
        <f t="shared" si="2"/>
        <v>3297.5560420659644</v>
      </c>
      <c r="G12" s="43">
        <f t="shared" si="3"/>
        <v>1059.4861653678247</v>
      </c>
      <c r="H12" s="27">
        <v>0.34480129926087966</v>
      </c>
      <c r="I12" s="59">
        <f>(B12/('Consumidores Inadimplentes'!B48*1000000))</f>
        <v>1.6129547465518992E-2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1034498</v>
      </c>
      <c r="C13" s="30">
        <v>3184489</v>
      </c>
      <c r="D13" s="30">
        <v>3387693259.0399966</v>
      </c>
      <c r="E13" s="34">
        <f t="shared" si="0"/>
        <v>3.0782940131348733</v>
      </c>
      <c r="F13" s="43">
        <f t="shared" si="2"/>
        <v>3274.7219028359618</v>
      </c>
      <c r="G13" s="43">
        <f t="shared" si="3"/>
        <v>1063.8106330529001</v>
      </c>
      <c r="H13" s="27">
        <v>0.34951488456526447</v>
      </c>
      <c r="I13" s="59">
        <f>(B13/('Consumidores Inadimplentes'!B49*1000000))</f>
        <v>1.6201646917429074E-2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1055268</v>
      </c>
      <c r="C14" s="30">
        <v>3190533</v>
      </c>
      <c r="D14" s="30">
        <v>3403517086.3400002</v>
      </c>
      <c r="E14" s="34">
        <f t="shared" si="0"/>
        <v>3.0234338575603545</v>
      </c>
      <c r="F14" s="43">
        <f t="shared" si="2"/>
        <v>3225.263237717812</v>
      </c>
      <c r="G14" s="43">
        <f t="shared" si="3"/>
        <v>1066.7550175284191</v>
      </c>
      <c r="H14" s="27">
        <v>0.35616436506790045</v>
      </c>
      <c r="I14" s="59">
        <f>(B14/('Consumidores Inadimplentes'!B50*1000000))</f>
        <v>1.6529636580698462E-2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1017512</v>
      </c>
      <c r="C15" s="31">
        <v>3080538</v>
      </c>
      <c r="D15" s="31">
        <v>3403157937.8099942</v>
      </c>
      <c r="E15" s="35">
        <f t="shared" si="0"/>
        <v>3.0275200685593879</v>
      </c>
      <c r="F15" s="43">
        <f t="shared" si="2"/>
        <v>3344.5875211397943</v>
      </c>
      <c r="G15" s="43">
        <f t="shared" si="3"/>
        <v>1104.7284395810063</v>
      </c>
      <c r="H15" s="27">
        <v>0.34306699286024478</v>
      </c>
      <c r="I15" s="59">
        <f>(B15/('Consumidores Inadimplentes'!B51*1000000))</f>
        <v>1.607257470906653E-2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1030083</v>
      </c>
      <c r="C16" s="29">
        <v>3105274</v>
      </c>
      <c r="D16" s="29">
        <v>3422477748.2100024</v>
      </c>
      <c r="E16" s="33">
        <f t="shared" si="0"/>
        <v>3.0145862032476995</v>
      </c>
      <c r="F16" s="45">
        <f t="shared" si="2"/>
        <v>3322.526192753402</v>
      </c>
      <c r="G16" s="45">
        <f t="shared" si="3"/>
        <v>1102.1500029337194</v>
      </c>
      <c r="H16" s="26">
        <v>0.34694716151042559</v>
      </c>
      <c r="I16" s="59">
        <f>(B16/('Consumidores Inadimplentes'!B52*1000000))</f>
        <v>1.6149966856039821E-2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1033906</v>
      </c>
      <c r="C17" s="30">
        <v>3093669</v>
      </c>
      <c r="D17" s="30">
        <v>3401024384.1800041</v>
      </c>
      <c r="E17" s="34">
        <f t="shared" si="0"/>
        <v>2.9922149595804646</v>
      </c>
      <c r="F17" s="43">
        <f t="shared" si="2"/>
        <v>3289.4909055368712</v>
      </c>
      <c r="G17" s="43">
        <f t="shared" si="3"/>
        <v>1099.3497960447626</v>
      </c>
      <c r="H17" s="27">
        <v>0.34787556227891997</v>
      </c>
      <c r="I17" s="59">
        <f>(B17/('Consumidores Inadimplentes'!B53*1000000))</f>
        <v>1.6182672338629883E-2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1057277</v>
      </c>
      <c r="C18" s="30">
        <v>3138451</v>
      </c>
      <c r="D18" s="30">
        <v>3489358636.4099998</v>
      </c>
      <c r="E18" s="34">
        <f t="shared" si="0"/>
        <v>2.9684283305131958</v>
      </c>
      <c r="F18" s="43">
        <f t="shared" si="2"/>
        <v>3300.3258714698227</v>
      </c>
      <c r="G18" s="43">
        <f t="shared" si="3"/>
        <v>1111.8091811565641</v>
      </c>
      <c r="H18" s="27">
        <v>0.35537217583389746</v>
      </c>
      <c r="I18" s="59">
        <f>(B18/('Consumidores Inadimplentes'!B54*1000000))</f>
        <v>1.6312819820885262E-2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1203821</v>
      </c>
      <c r="C19" s="30">
        <v>3417258</v>
      </c>
      <c r="D19" s="30">
        <v>3534826370.6500039</v>
      </c>
      <c r="E19" s="34">
        <f t="shared" si="0"/>
        <v>2.8386761819240567</v>
      </c>
      <c r="F19" s="43">
        <f t="shared" si="2"/>
        <v>2936.3388499203816</v>
      </c>
      <c r="G19" s="43">
        <f t="shared" si="3"/>
        <v>1034.4043003630406</v>
      </c>
      <c r="H19" s="27">
        <v>0.40421120422483664</v>
      </c>
      <c r="I19" s="59">
        <f>(B19/('Consumidores Inadimplentes'!B55*1000000))</f>
        <v>1.8265003062118798E-2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1174725</v>
      </c>
      <c r="C20" s="30">
        <v>3428816</v>
      </c>
      <c r="D20" s="30">
        <v>3457168510.8599987</v>
      </c>
      <c r="E20" s="34">
        <f t="shared" si="0"/>
        <v>2.918824405711975</v>
      </c>
      <c r="F20" s="43">
        <f t="shared" si="2"/>
        <v>2942.9598509097864</v>
      </c>
      <c r="G20" s="43">
        <f t="shared" si="3"/>
        <v>1008.2688924865023</v>
      </c>
      <c r="H20" s="27">
        <v>0.39403456374690821</v>
      </c>
      <c r="I20" s="59">
        <f>(B20/('Consumidores Inadimplentes'!B56*1000000))</f>
        <v>1.8008431850634894E-2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1097405</v>
      </c>
      <c r="C21" s="30">
        <v>3225474</v>
      </c>
      <c r="D21" s="30">
        <v>3395495183.7600064</v>
      </c>
      <c r="E21" s="34">
        <f t="shared" si="0"/>
        <v>2.9391828905463342</v>
      </c>
      <c r="F21" s="43">
        <f t="shared" si="2"/>
        <v>3094.1130974981947</v>
      </c>
      <c r="G21" s="43">
        <f t="shared" si="3"/>
        <v>1052.7119994642669</v>
      </c>
      <c r="H21" s="27">
        <v>0.36734020991251692</v>
      </c>
      <c r="I21" s="59">
        <f>(B21/('Consumidores Inadimplentes'!B57*1000000))</f>
        <v>1.7146767993489319E-2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1073023</v>
      </c>
      <c r="C22" s="30">
        <v>3150532</v>
      </c>
      <c r="D22" s="30">
        <v>3446859425.8899956</v>
      </c>
      <c r="E22" s="34">
        <f t="shared" si="0"/>
        <v>2.9361271845990253</v>
      </c>
      <c r="F22" s="43">
        <f t="shared" si="2"/>
        <v>3212.2884839281128</v>
      </c>
      <c r="G22" s="43">
        <f t="shared" si="3"/>
        <v>1094.056313628935</v>
      </c>
      <c r="H22" s="27">
        <v>0.3588510057812902</v>
      </c>
      <c r="I22" s="59">
        <f>(B22/('Consumidores Inadimplentes'!B58*1000000))</f>
        <v>1.6897167914266646E-2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1044548</v>
      </c>
      <c r="C23" s="30">
        <v>3055040</v>
      </c>
      <c r="D23" s="30">
        <v>3402903364.2600021</v>
      </c>
      <c r="E23" s="34">
        <f t="shared" si="0"/>
        <v>2.9247483121886213</v>
      </c>
      <c r="F23" s="43">
        <f t="shared" si="2"/>
        <v>3257.7759607600628</v>
      </c>
      <c r="G23" s="43">
        <f t="shared" si="3"/>
        <v>1113.8654041387354</v>
      </c>
      <c r="H23" s="27">
        <v>0.34900947010133676</v>
      </c>
      <c r="I23" s="59">
        <f>(B23/('Consumidores Inadimplentes'!B59*1000000))</f>
        <v>1.6566865339905448E-2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1024155</v>
      </c>
      <c r="C24" s="30">
        <v>2969804</v>
      </c>
      <c r="D24" s="30">
        <v>3369317268.5500007</v>
      </c>
      <c r="E24" s="34">
        <f t="shared" si="0"/>
        <v>2.8997602901904496</v>
      </c>
      <c r="F24" s="43">
        <f t="shared" si="2"/>
        <v>3289.850919587368</v>
      </c>
      <c r="G24" s="43">
        <f t="shared" si="3"/>
        <v>1134.5251297897105</v>
      </c>
      <c r="H24" s="27">
        <v>0.3418834660935644</v>
      </c>
      <c r="I24" s="59">
        <f>(B24/('Consumidores Inadimplentes'!B60*1000000))</f>
        <v>1.6317738718995174E-2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1021705</v>
      </c>
      <c r="C25" s="30">
        <v>2937377</v>
      </c>
      <c r="D25" s="30">
        <v>3324601463.2800059</v>
      </c>
      <c r="E25" s="34">
        <f t="shared" si="0"/>
        <v>2.8749756534420405</v>
      </c>
      <c r="F25" s="43">
        <f t="shared" si="2"/>
        <v>3253.9739585105349</v>
      </c>
      <c r="G25" s="43">
        <f t="shared" si="3"/>
        <v>1131.8266137714043</v>
      </c>
      <c r="H25" s="27">
        <v>0.34075449887455178</v>
      </c>
      <c r="I25" s="59">
        <f>(B25/('Consumidores Inadimplentes'!B61*1000000))</f>
        <v>1.6405082059851649E-2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1031746</v>
      </c>
      <c r="C26" s="30">
        <v>2911066</v>
      </c>
      <c r="D26" s="30">
        <v>3241579202.7599988</v>
      </c>
      <c r="E26" s="34">
        <f t="shared" si="0"/>
        <v>2.8214948252767638</v>
      </c>
      <c r="F26" s="43">
        <f t="shared" si="2"/>
        <v>3141.8384008854882</v>
      </c>
      <c r="G26" s="43">
        <f t="shared" si="3"/>
        <v>1113.5368290378847</v>
      </c>
      <c r="H26" s="27">
        <v>0.3437893918194635</v>
      </c>
      <c r="I26" s="59">
        <f>(B26/('Consumidores Inadimplentes'!B62*1000000))</f>
        <v>1.6654845863828257E-2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1080121</v>
      </c>
      <c r="C27" s="31">
        <v>2961436</v>
      </c>
      <c r="D27" s="31">
        <v>3196621364.7700062</v>
      </c>
      <c r="E27" s="35">
        <f t="shared" si="0"/>
        <v>2.7417631913461546</v>
      </c>
      <c r="F27" s="46">
        <f t="shared" si="2"/>
        <v>2959.5030230594593</v>
      </c>
      <c r="G27" s="46">
        <f t="shared" si="3"/>
        <v>1079.415987639107</v>
      </c>
      <c r="H27" s="28">
        <v>0.35958019054949347</v>
      </c>
      <c r="I27" s="59">
        <f>(B27/('Consumidores Inadimplentes'!B63*1000000))</f>
        <v>1.7602646932920227E-2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1012134</v>
      </c>
      <c r="C28" s="29">
        <v>2841107</v>
      </c>
      <c r="D28" s="29">
        <v>3223584560.9600096</v>
      </c>
      <c r="E28" s="33">
        <f t="shared" si="0"/>
        <v>2.8070463001934525</v>
      </c>
      <c r="F28" s="45">
        <f t="shared" si="2"/>
        <v>3184.9385169947946</v>
      </c>
      <c r="G28" s="45">
        <f t="shared" si="3"/>
        <v>1134.6227231005414</v>
      </c>
      <c r="H28" s="26">
        <v>0.33663941312759804</v>
      </c>
      <c r="I28" s="59">
        <f>(B28/('Consumidores Inadimplentes'!B64*1000000))</f>
        <v>1.6412269894400863E-2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1054292</v>
      </c>
      <c r="C29" s="30">
        <v>2899558</v>
      </c>
      <c r="D29" s="30">
        <v>3240446283.2999973</v>
      </c>
      <c r="E29" s="34">
        <f t="shared" si="0"/>
        <v>2.7502418684766647</v>
      </c>
      <c r="F29" s="43">
        <f t="shared" si="2"/>
        <v>3073.5757108087678</v>
      </c>
      <c r="G29" s="43">
        <f t="shared" si="3"/>
        <v>1117.5656025159687</v>
      </c>
      <c r="H29" s="27">
        <v>0.35034145508281422</v>
      </c>
      <c r="I29" s="59">
        <f>(B29/('Consumidores Inadimplentes'!B65*1000000))</f>
        <v>1.7127636102991502E-2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1068545</v>
      </c>
      <c r="C30" s="30">
        <v>2959137</v>
      </c>
      <c r="D30" s="30">
        <v>3303407247.7999949</v>
      </c>
      <c r="E30" s="34">
        <f t="shared" si="0"/>
        <v>2.7693143480152917</v>
      </c>
      <c r="F30" s="43">
        <f t="shared" si="2"/>
        <v>3091.5003559045194</v>
      </c>
      <c r="G30" s="43">
        <f t="shared" si="3"/>
        <v>1116.3414359659573</v>
      </c>
      <c r="H30" s="27">
        <v>0.35475378269133406</v>
      </c>
      <c r="I30" s="59">
        <f>(B30/('Consumidores Inadimplentes'!B66*1000000))</f>
        <v>1.7081051073580773E-2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1070793</v>
      </c>
      <c r="C31" s="30">
        <v>2962863</v>
      </c>
      <c r="D31" s="30">
        <v>3386996128.2400045</v>
      </c>
      <c r="E31" s="34">
        <f t="shared" si="0"/>
        <v>2.7669801726384091</v>
      </c>
      <c r="F31" s="43">
        <f t="shared" si="2"/>
        <v>3163.0727210954915</v>
      </c>
      <c r="G31" s="43">
        <f t="shared" si="3"/>
        <v>1143.1497602960396</v>
      </c>
      <c r="H31" s="27">
        <v>0.35517572158393218</v>
      </c>
      <c r="I31" s="59">
        <f>(B31/('Consumidores Inadimplentes'!B67*1000000))</f>
        <v>1.7001687414216971E-2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1067332</v>
      </c>
      <c r="C32" s="30">
        <v>2961617</v>
      </c>
      <c r="D32" s="30">
        <v>3431408212.3300047</v>
      </c>
      <c r="E32" s="34">
        <f t="shared" si="0"/>
        <v>2.7747851652531734</v>
      </c>
      <c r="F32" s="43">
        <f t="shared" si="2"/>
        <v>3214.9398803090367</v>
      </c>
      <c r="G32" s="43">
        <f t="shared" si="3"/>
        <v>1158.6265922737493</v>
      </c>
      <c r="H32" s="27">
        <v>0.35370474145001674</v>
      </c>
      <c r="I32" s="59">
        <f>(B32/('Consumidores Inadimplentes'!B68*1000000))</f>
        <v>1.7061259402253608E-2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1114156</v>
      </c>
      <c r="C33" s="30">
        <v>3007917</v>
      </c>
      <c r="D33" s="30">
        <v>3376939545.2800074</v>
      </c>
      <c r="E33" s="34">
        <f t="shared" si="0"/>
        <v>2.6997269682163001</v>
      </c>
      <c r="F33" s="43">
        <f t="shared" si="2"/>
        <v>3030.9396038615841</v>
      </c>
      <c r="G33" s="43">
        <f t="shared" si="3"/>
        <v>1122.6837526700394</v>
      </c>
      <c r="H33" s="27">
        <v>0.36888490846214078</v>
      </c>
      <c r="I33" s="59">
        <f>(B33/('Consumidores Inadimplentes'!B69*1000000))</f>
        <v>1.7823806173762707E-2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1154762</v>
      </c>
      <c r="C34" s="30">
        <v>3055580</v>
      </c>
      <c r="D34" s="30">
        <v>3393493766.3900108</v>
      </c>
      <c r="E34" s="34">
        <f>C34/B34</f>
        <v>2.6460690601180157</v>
      </c>
      <c r="F34" s="43">
        <f t="shared" si="2"/>
        <v>2938.6953903834824</v>
      </c>
      <c r="G34" s="43">
        <f t="shared" si="3"/>
        <v>1110.5890751968566</v>
      </c>
      <c r="H34" s="27">
        <v>0.38232898591414993</v>
      </c>
      <c r="I34" s="59">
        <f>(B34/('Consumidores Inadimplentes'!B70*1000000))</f>
        <v>1.85582217154346E-2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1133539</v>
      </c>
      <c r="C35" s="30">
        <v>3005064</v>
      </c>
      <c r="D35" s="30">
        <v>3409529035.050005</v>
      </c>
      <c r="E35" s="34">
        <f>C35/B35</f>
        <v>2.6510459719515604</v>
      </c>
      <c r="F35" s="43">
        <f t="shared" si="2"/>
        <v>3007.8621335922321</v>
      </c>
      <c r="G35" s="43">
        <f t="shared" si="3"/>
        <v>1134.5944828629292</v>
      </c>
      <c r="H35" s="27">
        <v>0.37498606462770806</v>
      </c>
      <c r="I35" s="59">
        <f>(B35/('Consumidores Inadimplentes'!B71*1000000))</f>
        <v>1.8209826043910436E-2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1107297</v>
      </c>
      <c r="C36" s="30">
        <v>2951372</v>
      </c>
      <c r="D36" s="30">
        <v>3447184196.9999981</v>
      </c>
      <c r="E36" s="34">
        <f>C36/B36</f>
        <v>2.6653842645649721</v>
      </c>
      <c r="F36" s="43">
        <f t="shared" si="2"/>
        <v>3113.1522951836755</v>
      </c>
      <c r="G36" s="43">
        <f t="shared" si="3"/>
        <v>1167.9937998327553</v>
      </c>
      <c r="H36" s="27">
        <v>0.36599632713609165</v>
      </c>
      <c r="I36" s="59">
        <f>(B36/('Consumidores Inadimplentes'!B72*1000000))</f>
        <v>1.7799263690705731E-2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1185027</v>
      </c>
      <c r="C37" s="30">
        <v>3099849</v>
      </c>
      <c r="D37" s="30">
        <v>3590131230.5800018</v>
      </c>
      <c r="E37" s="34">
        <f>C37/B37</f>
        <v>2.6158467275429169</v>
      </c>
      <c r="F37" s="43">
        <f t="shared" si="2"/>
        <v>3029.5775797344718</v>
      </c>
      <c r="G37" s="43">
        <f t="shared" si="3"/>
        <v>1158.1632623331013</v>
      </c>
      <c r="H37" s="27">
        <v>0.39135853801028603</v>
      </c>
      <c r="I37" s="59">
        <f>(B37/('Consumidores Inadimplentes'!B73*1000000))</f>
        <v>1.8689790968204216E-2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1133435</v>
      </c>
      <c r="C38" s="30">
        <v>3092047</v>
      </c>
      <c r="D38" s="30">
        <v>3668715568.2199974</v>
      </c>
      <c r="E38" s="34">
        <f t="shared" ref="E38:E45" si="4">C38/B38</f>
        <v>2.7280320441842716</v>
      </c>
      <c r="F38" s="43">
        <f t="shared" si="2"/>
        <v>3236.8116109172538</v>
      </c>
      <c r="G38" s="43">
        <f t="shared" si="3"/>
        <v>1186.500583018304</v>
      </c>
      <c r="H38" s="27">
        <v>0.37400479651124424</v>
      </c>
      <c r="I38" s="59">
        <f>(B38/('Consumidores Inadimplentes'!B74*1000000))</f>
        <v>1.7635612568105606E-2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1156744</v>
      </c>
      <c r="C39" s="31">
        <v>3094873</v>
      </c>
      <c r="D39" s="31">
        <v>3639478255.5899959</v>
      </c>
      <c r="E39" s="35">
        <f t="shared" si="4"/>
        <v>2.6755038279861405</v>
      </c>
      <c r="F39" s="46">
        <f t="shared" si="2"/>
        <v>3146.3126288876329</v>
      </c>
      <c r="G39" s="46">
        <f t="shared" si="3"/>
        <v>1175.9701466231395</v>
      </c>
      <c r="H39" s="28">
        <v>0.38137451814847689</v>
      </c>
      <c r="I39" s="59">
        <f>(B39/('Consumidores Inadimplentes'!B75*1000000))</f>
        <v>1.8082359819676628E-2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1103119</v>
      </c>
      <c r="C40" s="29">
        <v>3028396</v>
      </c>
      <c r="D40" s="29">
        <v>3786972635.2199955</v>
      </c>
      <c r="E40" s="33">
        <f t="shared" si="4"/>
        <v>2.7453030906003795</v>
      </c>
      <c r="F40" s="45">
        <f t="shared" si="2"/>
        <v>3432.9683698857471</v>
      </c>
      <c r="G40" s="45">
        <f t="shared" si="3"/>
        <v>1250.4879266846197</v>
      </c>
      <c r="H40" s="26">
        <v>0.36338807174740173</v>
      </c>
      <c r="I40" s="59">
        <f>(B40/('Consumidores Inadimplentes'!B76*1000000))</f>
        <v>1.7018860448087415E-2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1129892</v>
      </c>
      <c r="C41" s="30">
        <v>3096115</v>
      </c>
      <c r="D41" s="30">
        <v>3827607294.7200031</v>
      </c>
      <c r="E41" s="34">
        <f t="shared" si="4"/>
        <v>2.7401866727085422</v>
      </c>
      <c r="F41" s="43">
        <f t="shared" si="2"/>
        <v>3387.5868620363744</v>
      </c>
      <c r="G41" s="43">
        <f t="shared" si="3"/>
        <v>1236.2613451761331</v>
      </c>
      <c r="H41" s="27">
        <v>0.37189397704569466</v>
      </c>
      <c r="I41" s="59">
        <f>(B41/('Consumidores Inadimplentes'!B77*1000000))</f>
        <v>1.733783652773354E-2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1142564</v>
      </c>
      <c r="C42" s="30">
        <v>3137781</v>
      </c>
      <c r="D42" s="30">
        <v>3858473600.1900043</v>
      </c>
      <c r="E42" s="34">
        <f t="shared" si="4"/>
        <v>2.7462627914059956</v>
      </c>
      <c r="F42" s="43">
        <f t="shared" si="2"/>
        <v>3377.0306085173384</v>
      </c>
      <c r="G42" s="43">
        <f t="shared" si="3"/>
        <v>1229.6822500327473</v>
      </c>
      <c r="H42" s="27">
        <v>0.37574800083662963</v>
      </c>
      <c r="I42" s="59">
        <f>(B42/('Consumidores Inadimplentes'!B78*1000000))</f>
        <v>1.7392217144030025E-2</v>
      </c>
    </row>
    <row r="43" spans="1:16" x14ac:dyDescent="0.35">
      <c r="A43" s="5">
        <v>44652</v>
      </c>
      <c r="B43" s="30">
        <v>1161347</v>
      </c>
      <c r="C43" s="30">
        <v>3200093</v>
      </c>
      <c r="D43" s="30">
        <v>3922347425.6900024</v>
      </c>
      <c r="E43" s="34">
        <f t="shared" si="4"/>
        <v>2.755501155124179</v>
      </c>
      <c r="F43" s="43">
        <f t="shared" si="2"/>
        <v>3377.4121134251886</v>
      </c>
      <c r="G43" s="43">
        <f t="shared" si="3"/>
        <v>1225.6979486814923</v>
      </c>
      <c r="H43" s="27">
        <v>0.38160328008474909</v>
      </c>
      <c r="I43" s="59">
        <f>(B43/('Consumidores Inadimplentes'!B79*1000000))</f>
        <v>1.7560866663934784E-2</v>
      </c>
    </row>
    <row r="44" spans="1:16" x14ac:dyDescent="0.35">
      <c r="A44" s="5">
        <v>44682</v>
      </c>
      <c r="B44" s="30">
        <v>1151316</v>
      </c>
      <c r="C44" s="30">
        <v>3307172</v>
      </c>
      <c r="D44" s="30">
        <v>4030388790.74999</v>
      </c>
      <c r="E44" s="34">
        <f t="shared" si="4"/>
        <v>2.8725145833116192</v>
      </c>
      <c r="F44" s="43">
        <f t="shared" si="2"/>
        <v>3500.6799095556648</v>
      </c>
      <c r="G44" s="43">
        <f t="shared" si="3"/>
        <v>1218.6813358210547</v>
      </c>
      <c r="H44" s="27">
        <v>0.37798852359662261</v>
      </c>
      <c r="I44" s="59">
        <f>(B44/('Consumidores Inadimplentes'!B80*1000000))</f>
        <v>1.7292267155191082E-2</v>
      </c>
    </row>
    <row r="45" spans="1:16" x14ac:dyDescent="0.35">
      <c r="A45" s="5">
        <v>44713</v>
      </c>
      <c r="B45" s="30">
        <v>1187931</v>
      </c>
      <c r="C45" s="30">
        <v>3452959</v>
      </c>
      <c r="D45" s="30">
        <v>4136039305.43998</v>
      </c>
      <c r="E45" s="34">
        <f t="shared" si="4"/>
        <v>2.9066999682641499</v>
      </c>
      <c r="F45" s="43">
        <f t="shared" si="2"/>
        <v>3481.7167877932138</v>
      </c>
      <c r="G45" s="43">
        <f t="shared" si="3"/>
        <v>1197.8246209815929</v>
      </c>
      <c r="H45" s="27">
        <v>0.38968092529008802</v>
      </c>
      <c r="I45" s="59">
        <f>(B45/('Consumidores Inadimplentes'!B81*1000000))</f>
        <v>1.7778441265440585E-2</v>
      </c>
    </row>
    <row r="46" spans="1:16" x14ac:dyDescent="0.35">
      <c r="A46" s="5">
        <v>44743</v>
      </c>
      <c r="B46" s="30">
        <v>1188556</v>
      </c>
      <c r="C46" s="30">
        <v>3501008</v>
      </c>
      <c r="D46" s="30">
        <v>4279014217.71</v>
      </c>
      <c r="E46" s="34">
        <f t="shared" ref="E46" si="5">C46/B46</f>
        <v>2.9455978515105725</v>
      </c>
      <c r="F46" s="43">
        <f t="shared" ref="F46" si="6">D46/B46</f>
        <v>3600.1788874146446</v>
      </c>
      <c r="G46" s="43">
        <f t="shared" ref="G46" si="7">F46/E46</f>
        <v>1222.2234904090481</v>
      </c>
      <c r="H46" s="27">
        <v>0.38955740366733727</v>
      </c>
      <c r="I46" s="59">
        <f>(B46/('Consumidores Inadimplentes'!B82*1000000))</f>
        <v>1.7573795262200868E-2</v>
      </c>
    </row>
    <row r="47" spans="1:16" x14ac:dyDescent="0.35">
      <c r="A47" s="5">
        <v>44774</v>
      </c>
      <c r="B47" s="30">
        <v>1153788</v>
      </c>
      <c r="C47" s="30">
        <v>3446792</v>
      </c>
      <c r="D47" s="30">
        <v>4321697609.43999</v>
      </c>
      <c r="E47" s="34">
        <f t="shared" ref="E47" si="8">C47/B47</f>
        <v>2.9873702967962918</v>
      </c>
      <c r="F47" s="43">
        <f t="shared" ref="F47" si="9">D47/B47</f>
        <v>3745.6600427808144</v>
      </c>
      <c r="G47" s="43">
        <f t="shared" ref="G47" si="10">F47/E47</f>
        <v>1253.8318556617255</v>
      </c>
      <c r="H47" s="27">
        <v>0.37783019470344542</v>
      </c>
      <c r="I47" s="59">
        <f>(B47/('Consumidores Inadimplentes'!B83*1000000))</f>
        <v>1.6973401044638525E-2</v>
      </c>
    </row>
    <row r="48" spans="1:16" x14ac:dyDescent="0.35">
      <c r="A48" s="5">
        <v>44805</v>
      </c>
      <c r="B48" s="30">
        <v>1152468</v>
      </c>
      <c r="C48" s="30">
        <v>3471856</v>
      </c>
      <c r="D48" s="30">
        <v>4438414992.9999971</v>
      </c>
      <c r="E48" s="34">
        <f t="shared" ref="E48" si="11">C48/B48</f>
        <v>3.0125400444958124</v>
      </c>
      <c r="F48" s="43">
        <f t="shared" ref="F48" si="12">D48/B48</f>
        <v>3851.2262318780195</v>
      </c>
      <c r="G48" s="43">
        <f t="shared" ref="G48" si="13">F48/E48</f>
        <v>1278.3983532151096</v>
      </c>
      <c r="H48" s="27">
        <v>0.37706689106995744</v>
      </c>
      <c r="I48" s="59">
        <f>(B48/('Consumidores Inadimplentes'!B84*1000000))</f>
        <v>1.6851891768399477E-2</v>
      </c>
    </row>
    <row r="49" spans="1:16" x14ac:dyDescent="0.35">
      <c r="A49" s="5">
        <v>44835</v>
      </c>
      <c r="B49" s="30">
        <v>1213512</v>
      </c>
      <c r="C49" s="30">
        <v>3717382</v>
      </c>
      <c r="D49" s="30">
        <v>4540700606.9299698</v>
      </c>
      <c r="E49" s="34">
        <f t="shared" ref="E49" si="14">C49/B49</f>
        <v>3.0633252905616097</v>
      </c>
      <c r="F49" s="43">
        <f t="shared" ref="F49" si="15">D49/B49</f>
        <v>3741.7846769788594</v>
      </c>
      <c r="G49" s="43">
        <f t="shared" ref="G49" si="16">F49/E49</f>
        <v>1221.4780743356398</v>
      </c>
      <c r="H49" s="27">
        <v>0.3966910377805658</v>
      </c>
      <c r="I49" s="59">
        <f>(B49/('Consumidores Inadimplentes'!B85*1000000))</f>
        <v>1.7572705535629882E-2</v>
      </c>
    </row>
    <row r="50" spans="1:16" x14ac:dyDescent="0.35">
      <c r="A50" s="5">
        <v>44866</v>
      </c>
      <c r="B50" s="30">
        <v>1228108</v>
      </c>
      <c r="C50" s="30">
        <v>3763557</v>
      </c>
      <c r="D50" s="30">
        <v>4701204321.1399555</v>
      </c>
      <c r="E50" s="34">
        <f t="shared" ref="E50" si="17">C50/B50</f>
        <v>3.0645163128975628</v>
      </c>
      <c r="F50" s="43">
        <f t="shared" ref="F50" si="18">D50/B50</f>
        <v>3828.0056160695603</v>
      </c>
      <c r="G50" s="43">
        <f t="shared" ref="G50" si="19">F50/E50</f>
        <v>1249.1385997714278</v>
      </c>
      <c r="H50" s="27">
        <v>0.40111020676915199</v>
      </c>
      <c r="I50" s="59">
        <f>(B50/('Consumidores Inadimplentes'!B86*1000000))</f>
        <v>1.7585915069705051E-2</v>
      </c>
    </row>
    <row r="51" spans="1:16" ht="15" thickBot="1" x14ac:dyDescent="0.4">
      <c r="A51" s="12">
        <v>44896</v>
      </c>
      <c r="B51" s="31">
        <v>1190558</v>
      </c>
      <c r="C51" s="31">
        <v>3707205</v>
      </c>
      <c r="D51" s="31">
        <v>4702627098.039957</v>
      </c>
      <c r="E51" s="35">
        <f t="shared" ref="E51" si="20">C51/B51</f>
        <v>3.113838217037725</v>
      </c>
      <c r="F51" s="46">
        <f t="shared" ref="F51" si="21">D51/B51</f>
        <v>3949.935322798181</v>
      </c>
      <c r="G51" s="46">
        <f t="shared" ref="G51" si="22">F51/E51</f>
        <v>1268.5101304189968</v>
      </c>
      <c r="H51" s="28">
        <v>0.38850486268221396</v>
      </c>
      <c r="I51" s="59">
        <f>(B51/('Consumidores Inadimplentes'!B87*1000000))</f>
        <v>1.7147770835017302E-2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1189586</v>
      </c>
      <c r="C52" s="29">
        <v>3749070</v>
      </c>
      <c r="D52" s="29">
        <v>4885815324.8399706</v>
      </c>
      <c r="E52" s="33">
        <f t="shared" ref="E52" si="23">C52/B52</f>
        <v>3.1515754220375829</v>
      </c>
      <c r="F52" s="45">
        <f t="shared" ref="F52" si="24">D52/B52</f>
        <v>4107.1560398659458</v>
      </c>
      <c r="G52" s="45">
        <f t="shared" ref="G52" si="25">F52/E52</f>
        <v>1303.2072820299356</v>
      </c>
      <c r="H52" s="26">
        <v>0.38784709724200173</v>
      </c>
      <c r="I52" s="59">
        <f>(B52/('Consumidores Inadimplentes'!B88*1000000))</f>
        <v>1.6971543383012537E-2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1205084</v>
      </c>
      <c r="C53" s="30">
        <v>3807645</v>
      </c>
      <c r="D53" s="30">
        <v>4958279401.6499701</v>
      </c>
      <c r="E53" s="34">
        <f t="shared" ref="E53" si="26">C53/B53</f>
        <v>3.1596511114577903</v>
      </c>
      <c r="F53" s="43">
        <f t="shared" ref="F53" si="27">D53/B53</f>
        <v>4114.4678724885316</v>
      </c>
      <c r="G53" s="43">
        <f t="shared" ref="G53" si="28">F53/E53</f>
        <v>1302.1905670434007</v>
      </c>
      <c r="H53" s="27">
        <v>0.39255532445449198</v>
      </c>
      <c r="I53" s="59">
        <f>(B53/('Consumidores Inadimplentes'!B89*1000000))</f>
        <v>1.7086859739732944E-2</v>
      </c>
    </row>
    <row r="54" spans="1:16" x14ac:dyDescent="0.35">
      <c r="A54" s="5">
        <v>44986</v>
      </c>
      <c r="B54" s="30">
        <v>1198464</v>
      </c>
      <c r="C54" s="30">
        <v>3808709</v>
      </c>
      <c r="D54" s="30">
        <v>5064821551.549983</v>
      </c>
      <c r="E54" s="34">
        <f t="shared" ref="E54" si="29">C54/B54</f>
        <v>3.1779919964220871</v>
      </c>
      <c r="F54" s="43">
        <f t="shared" ref="F54" si="30">D54/B54</f>
        <v>4226.0940266457592</v>
      </c>
      <c r="G54" s="43">
        <f t="shared" ref="G54" si="31">F54/E54</f>
        <v>1329.8000848975291</v>
      </c>
      <c r="H54" s="27">
        <v>0.39005630844307693</v>
      </c>
      <c r="I54" s="59">
        <f>(B54/('Consumidores Inadimplentes'!B90*1000000))</f>
        <v>1.6949626925171633E-2</v>
      </c>
    </row>
    <row r="55" spans="1:16" x14ac:dyDescent="0.35">
      <c r="A55" s="5">
        <v>45017</v>
      </c>
      <c r="B55" s="30">
        <v>1235356</v>
      </c>
      <c r="C55" s="30">
        <v>3880354</v>
      </c>
      <c r="D55" s="30">
        <v>5164001298.2299747</v>
      </c>
      <c r="E55" s="34">
        <f t="shared" ref="E55" si="32">C55/B55</f>
        <v>3.1410815991503664</v>
      </c>
      <c r="F55" s="43">
        <f t="shared" ref="F55" si="33">D55/B55</f>
        <v>4180.1725965875221</v>
      </c>
      <c r="G55" s="43">
        <f t="shared" ref="G55" si="34">F55/E55</f>
        <v>1330.8067506804728</v>
      </c>
      <c r="H55" s="27">
        <v>0.40171056623566492</v>
      </c>
      <c r="I55" s="59">
        <f>(B55/('Consumidores Inadimplentes'!B91*1000000))</f>
        <v>1.729231987603062E-2</v>
      </c>
    </row>
    <row r="56" spans="1:16" x14ac:dyDescent="0.35">
      <c r="A56" s="5">
        <v>45047</v>
      </c>
      <c r="B56" s="30">
        <v>1205430</v>
      </c>
      <c r="C56" s="30">
        <v>3836743</v>
      </c>
      <c r="D56" s="30">
        <v>5233238557.409976</v>
      </c>
      <c r="E56" s="34">
        <f t="shared" ref="E56" si="35">C56/B56</f>
        <v>3.1828832864620922</v>
      </c>
      <c r="F56" s="43">
        <f t="shared" ref="F56" si="36">D56/B56</f>
        <v>4341.3873534008408</v>
      </c>
      <c r="G56" s="43">
        <f t="shared" ref="G56" si="37">F56/E56</f>
        <v>1363.9794370928612</v>
      </c>
      <c r="H56" s="27">
        <v>0.39163544176801424</v>
      </c>
      <c r="I56" s="59">
        <f>(B56/('Consumidores Inadimplentes'!B92*1000000))</f>
        <v>1.6764535237149686E-2</v>
      </c>
    </row>
    <row r="57" spans="1:16" x14ac:dyDescent="0.35">
      <c r="A57" s="5">
        <v>45078</v>
      </c>
      <c r="B57" s="30">
        <v>1205071</v>
      </c>
      <c r="C57" s="30">
        <v>3806596</v>
      </c>
      <c r="D57" s="30">
        <v>5213258447.6999931</v>
      </c>
      <c r="E57" s="34">
        <f t="shared" ref="E57" si="38">C57/B57</f>
        <v>3.1588147088428813</v>
      </c>
      <c r="F57" s="43">
        <f t="shared" ref="F57" si="39">D57/B57</f>
        <v>4326.1006593802304</v>
      </c>
      <c r="G57" s="43">
        <f t="shared" ref="G57" si="40">F57/E57</f>
        <v>1369.5328970292603</v>
      </c>
      <c r="H57" s="27">
        <v>0.39117528099662341</v>
      </c>
      <c r="I57" s="59">
        <f>(B57/('Consumidores Inadimplentes'!B93*1000000))</f>
        <v>1.6865100052294125E-2</v>
      </c>
    </row>
    <row r="58" spans="1:16" x14ac:dyDescent="0.35">
      <c r="A58" s="5">
        <v>45108</v>
      </c>
      <c r="B58" s="30">
        <v>1193933</v>
      </c>
      <c r="C58" s="30">
        <v>3769693</v>
      </c>
      <c r="D58" s="30">
        <v>5292693417.5299921</v>
      </c>
      <c r="E58" s="34">
        <f t="shared" ref="E58" si="41">C58/B58</f>
        <v>3.1573739899977635</v>
      </c>
      <c r="F58" s="43">
        <f t="shared" ref="F58" si="42">D58/B58</f>
        <v>4432.9903081077346</v>
      </c>
      <c r="G58" s="43">
        <f t="shared" ref="G58" si="43">F58/E58</f>
        <v>1404.0117902253558</v>
      </c>
      <c r="H58" s="27">
        <v>0.38721979718792598</v>
      </c>
      <c r="I58" s="59">
        <f>(B58/('Consumidores Inadimplentes'!B94*1000000))</f>
        <v>1.6717292989618635E-2</v>
      </c>
    </row>
    <row r="59" spans="1:16" x14ac:dyDescent="0.35">
      <c r="A59" s="5">
        <v>45139</v>
      </c>
      <c r="B59" s="30">
        <v>1163547</v>
      </c>
      <c r="C59" s="30">
        <v>3679802</v>
      </c>
      <c r="D59" s="30">
        <v>5214891887.3000107</v>
      </c>
      <c r="E59" s="34">
        <f t="shared" ref="E59" si="44">C59/B59</f>
        <v>3.1625727194518141</v>
      </c>
      <c r="F59" s="43">
        <f t="shared" ref="F59" si="45">D59/B59</f>
        <v>4481.8919109412946</v>
      </c>
      <c r="G59" s="43">
        <f t="shared" ref="G59" si="46">F59/E59</f>
        <v>1417.1664364821831</v>
      </c>
      <c r="H59" s="27">
        <v>0.37702474523910051</v>
      </c>
      <c r="I59" s="59">
        <f>(B59/('Consumidores Inadimplentes'!B95*1000000))</f>
        <v>1.6219154115578976E-2</v>
      </c>
    </row>
    <row r="60" spans="1:16" x14ac:dyDescent="0.35">
      <c r="A60" s="5">
        <v>45170</v>
      </c>
      <c r="B60" s="30">
        <v>1177620</v>
      </c>
      <c r="C60" s="30">
        <v>3748530</v>
      </c>
      <c r="D60" s="30">
        <v>5622001045.7400112</v>
      </c>
      <c r="E60" s="34">
        <f t="shared" ref="E60" si="47">C60/B60</f>
        <v>3.1831405716614869</v>
      </c>
      <c r="F60" s="43">
        <f t="shared" ref="F60" si="48">D60/B60</f>
        <v>4774.0366550670087</v>
      </c>
      <c r="G60" s="43">
        <f t="shared" ref="G60" si="49">F60/E60</f>
        <v>1499.7881958367709</v>
      </c>
      <c r="H60" s="27">
        <v>0.3812409090188037</v>
      </c>
      <c r="I60" s="59">
        <f>(B60/('Consumidores Inadimplentes'!B96*1000000))</f>
        <v>1.639633478524849E-2</v>
      </c>
    </row>
    <row r="61" spans="1:16" x14ac:dyDescent="0.35">
      <c r="A61" s="5">
        <v>45200</v>
      </c>
      <c r="B61" s="30">
        <v>1180614</v>
      </c>
      <c r="C61" s="30">
        <v>3758288</v>
      </c>
      <c r="D61" s="30">
        <v>5807870761.2800045</v>
      </c>
      <c r="E61" s="34">
        <f t="shared" ref="E61" si="50">C61/B61</f>
        <v>3.1833334180350223</v>
      </c>
      <c r="F61" s="43">
        <f t="shared" ref="F61" si="51">D61/B61</f>
        <v>4919.3646367737501</v>
      </c>
      <c r="G61" s="43">
        <f t="shared" ref="G61" si="52">F61/E61</f>
        <v>1545.3501065591579</v>
      </c>
      <c r="H61" s="27">
        <v>0.38186564026263869</v>
      </c>
      <c r="I61" s="59">
        <f>(B61/('Consumidores Inadimplentes'!B97*1000000))</f>
        <v>1.6408238355646615E-2</v>
      </c>
    </row>
    <row r="62" spans="1:16" x14ac:dyDescent="0.35">
      <c r="A62" s="5">
        <v>45231</v>
      </c>
      <c r="B62" s="30">
        <v>1181265</v>
      </c>
      <c r="C62" s="30">
        <v>3755170</v>
      </c>
      <c r="D62" s="30">
        <v>5854900427.7799854</v>
      </c>
      <c r="E62" s="34">
        <f t="shared" ref="E62" si="53">C62/B62</f>
        <v>3.1789395266938407</v>
      </c>
      <c r="F62" s="43">
        <f t="shared" ref="F62" si="54">D62/B62</f>
        <v>4956.4665234134472</v>
      </c>
      <c r="G62" s="43">
        <f t="shared" ref="G62" si="55">F62/E62</f>
        <v>1559.157222650369</v>
      </c>
      <c r="H62" s="27">
        <v>0.38173184651811654</v>
      </c>
      <c r="I62" s="59">
        <f>(B62/('Consumidores Inadimplentes'!B98*1000000))</f>
        <v>1.6450115111047485E-2</v>
      </c>
    </row>
    <row r="63" spans="1:16" ht="15" thickBot="1" x14ac:dyDescent="0.4">
      <c r="A63" s="12">
        <v>45261</v>
      </c>
      <c r="B63" s="31">
        <v>1149366</v>
      </c>
      <c r="C63" s="31">
        <v>3606401</v>
      </c>
      <c r="D63" s="31">
        <v>5452850054.8399887</v>
      </c>
      <c r="E63" s="35">
        <f t="shared" ref="E63:E64" si="56">C63/B63</f>
        <v>3.1377307141502357</v>
      </c>
      <c r="F63" s="46">
        <f t="shared" ref="F63:F64" si="57">D63/B63</f>
        <v>4744.2242547978531</v>
      </c>
      <c r="G63" s="46">
        <f t="shared" ref="G63:G64" si="58">F63/E63</f>
        <v>1511.9921647204483</v>
      </c>
      <c r="H63" s="28">
        <v>0.3710887065138746</v>
      </c>
      <c r="I63" s="59">
        <f>(B63/('Consumidores Inadimplentes'!B99*1000000))</f>
        <v>1.6164930713558224E-2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1203728</v>
      </c>
      <c r="C64" s="29">
        <v>3782166</v>
      </c>
      <c r="D64" s="29">
        <v>5884448901.3199883</v>
      </c>
      <c r="E64" s="33">
        <f t="shared" si="56"/>
        <v>3.1420437175175788</v>
      </c>
      <c r="F64" s="45">
        <f t="shared" si="57"/>
        <v>4888.5204143460887</v>
      </c>
      <c r="G64" s="45">
        <f t="shared" si="58"/>
        <v>1555.8409919924161</v>
      </c>
      <c r="H64" s="26">
        <v>0.38828996072675659</v>
      </c>
      <c r="I64" s="59">
        <f>(B64/('Consumidores Inadimplentes'!B100*1000000))</f>
        <v>1.6702248830495141E-2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1214248</v>
      </c>
      <c r="C65" s="30">
        <v>3804448</v>
      </c>
      <c r="D65" s="30">
        <v>5857716777.2799835</v>
      </c>
      <c r="E65" s="34">
        <f t="shared" ref="E65" si="59">C65/B65</f>
        <v>3.1331721361698763</v>
      </c>
      <c r="F65" s="43">
        <f t="shared" ref="F65" si="60">D65/B65</f>
        <v>4824.1518843596887</v>
      </c>
      <c r="G65" s="43">
        <f t="shared" ref="G65" si="61">F65/E65</f>
        <v>1539.7021531848991</v>
      </c>
      <c r="H65" s="27">
        <v>0.39133035458762078</v>
      </c>
      <c r="I65" s="59">
        <f>(B65/('Consumidores Inadimplentes'!B101*1000000))</f>
        <v>1.6855363997824353E-2</v>
      </c>
    </row>
    <row r="66" spans="1:16" x14ac:dyDescent="0.35">
      <c r="A66" s="5">
        <v>45352</v>
      </c>
      <c r="B66" s="30">
        <v>1244536</v>
      </c>
      <c r="C66" s="30">
        <v>3870906</v>
      </c>
      <c r="D66" s="30">
        <v>5919675895.6199522</v>
      </c>
      <c r="E66" s="34">
        <f t="shared" ref="E66" si="62">C66/B66</f>
        <v>3.1103206335533886</v>
      </c>
      <c r="F66" s="43">
        <f t="shared" ref="F66" si="63">D66/B66</f>
        <v>4756.5324712342208</v>
      </c>
      <c r="G66" s="43">
        <f t="shared" ref="G66" si="64">F66/E66</f>
        <v>1529.2739982887604</v>
      </c>
      <c r="H66" s="27">
        <v>0.40073001913917505</v>
      </c>
      <c r="I66" s="59">
        <f>(B66/('Consumidores Inadimplentes'!B102*1000000))</f>
        <v>1.7073037328673872E-2</v>
      </c>
    </row>
    <row r="67" spans="1:16" x14ac:dyDescent="0.35">
      <c r="A67" s="5">
        <v>45383</v>
      </c>
      <c r="B67" s="30">
        <v>1249627</v>
      </c>
      <c r="C67" s="30">
        <v>3900457</v>
      </c>
      <c r="D67" s="30">
        <v>6003822001.5799885</v>
      </c>
      <c r="E67" s="34">
        <f t="shared" ref="E67" si="65">C67/B67</f>
        <v>3.1212969950233149</v>
      </c>
      <c r="F67" s="43">
        <f t="shared" ref="F67" si="66">D67/B67</f>
        <v>4804.4912614564091</v>
      </c>
      <c r="G67" s="43">
        <f t="shared" ref="G67" si="67">F67/E67</f>
        <v>1539.2611690322412</v>
      </c>
      <c r="H67" s="27">
        <v>0.40200657943415324</v>
      </c>
      <c r="I67" s="59">
        <f>(B67/('Consumidores Inadimplentes'!B103*1000000))</f>
        <v>1.702030341031785E-2</v>
      </c>
    </row>
    <row r="68" spans="1:16" x14ac:dyDescent="0.35">
      <c r="A68" s="5">
        <v>45413</v>
      </c>
      <c r="B68" s="30">
        <v>1239353</v>
      </c>
      <c r="C68" s="30">
        <v>3921311</v>
      </c>
      <c r="D68" s="30">
        <v>6048951219.1599874</v>
      </c>
      <c r="E68" s="34">
        <f t="shared" ref="E68" si="68">C68/B68</f>
        <v>3.1639984733970064</v>
      </c>
      <c r="F68" s="43">
        <f t="shared" ref="F68" si="69">D68/B68</f>
        <v>4880.733107645673</v>
      </c>
      <c r="G68" s="43">
        <f t="shared" ref="G68" si="70">F68/E68</f>
        <v>1542.5839009351689</v>
      </c>
      <c r="H68" s="27">
        <v>0.39834196804593869</v>
      </c>
      <c r="I68" s="59">
        <f>(B68/('Consumidores Inadimplentes'!B104*1000000))</f>
        <v>1.7086192439154463E-2</v>
      </c>
    </row>
    <row r="69" spans="1:16" x14ac:dyDescent="0.35">
      <c r="A69" s="5">
        <v>45444</v>
      </c>
      <c r="B69" s="30">
        <v>1248771</v>
      </c>
      <c r="C69" s="30">
        <v>3939868</v>
      </c>
      <c r="D69" s="30">
        <v>6119232059.1999998</v>
      </c>
      <c r="E69" s="34">
        <f t="shared" ref="E69" si="71">C69/B69</f>
        <v>3.15499639245306</v>
      </c>
      <c r="F69" s="43">
        <f t="shared" ref="F69" si="72">D69/B69</f>
        <v>4900.2035274682066</v>
      </c>
      <c r="G69" s="43">
        <f t="shared" ref="G69" si="73">F69/E69</f>
        <v>1553.1566182420324</v>
      </c>
      <c r="H69" s="27">
        <v>0.40100722972968633</v>
      </c>
      <c r="I69" s="59">
        <f>(B69/('Consumidores Inadimplentes'!B105*1000000))</f>
        <v>1.7224158651757328E-2</v>
      </c>
    </row>
    <row r="70" spans="1:16" x14ac:dyDescent="0.35">
      <c r="A70" s="5">
        <v>45474</v>
      </c>
      <c r="B70" s="30">
        <v>1250166</v>
      </c>
      <c r="C70" s="30">
        <v>3892476</v>
      </c>
      <c r="D70" s="30">
        <v>6015038222.4799995</v>
      </c>
      <c r="E70" s="34">
        <f t="shared" ref="E70" si="74">C70/B70</f>
        <v>3.1135673182601349</v>
      </c>
      <c r="F70" s="43">
        <f t="shared" ref="F70" si="75">D70/B70</f>
        <v>4811.3916251761766</v>
      </c>
      <c r="G70" s="43">
        <f t="shared" ref="G70" si="76">F70/E70</f>
        <v>1545.2987308027077</v>
      </c>
      <c r="H70" s="27">
        <v>0.40109326714782911</v>
      </c>
      <c r="I70" s="59">
        <f>(B70/('Consumidores Inadimplentes'!B106*1000000))</f>
        <v>1.7204716064508623E-2</v>
      </c>
    </row>
    <row r="71" spans="1:16" x14ac:dyDescent="0.35">
      <c r="A71" s="5">
        <v>45505</v>
      </c>
      <c r="B71" s="30">
        <v>1237549</v>
      </c>
      <c r="C71" s="30">
        <v>3894821</v>
      </c>
      <c r="D71" s="30">
        <v>6084801680.9599829</v>
      </c>
      <c r="E71" s="34">
        <f t="shared" ref="E71" si="77">C71/B71</f>
        <v>3.147205484388901</v>
      </c>
      <c r="F71" s="43">
        <f t="shared" ref="F71" si="78">D71/B71</f>
        <v>4916.8167732833062</v>
      </c>
      <c r="G71" s="43">
        <f t="shared" ref="G71" si="79">F71/E71</f>
        <v>1562.2801871921667</v>
      </c>
      <c r="H71" s="27">
        <v>0.39671885623830527</v>
      </c>
      <c r="I71" s="59">
        <f>(B71/('Consumidores Inadimplentes'!B107*1000000))</f>
        <v>1.7078465645835764E-2</v>
      </c>
    </row>
    <row r="72" spans="1:16" x14ac:dyDescent="0.35">
      <c r="A72" s="5">
        <v>45536</v>
      </c>
      <c r="B72" s="30">
        <v>1239875</v>
      </c>
      <c r="C72" s="30">
        <v>3909629</v>
      </c>
      <c r="D72" s="30">
        <v>6185215973.809988</v>
      </c>
      <c r="E72" s="34">
        <f t="shared" ref="E72" si="80">C72/B72</f>
        <v>3.1532444802903519</v>
      </c>
      <c r="F72" s="43">
        <f t="shared" ref="F72" si="81">D72/B72</f>
        <v>4988.5802793104049</v>
      </c>
      <c r="G72" s="43">
        <f t="shared" ref="G72" si="82">F72/E72</f>
        <v>1582.0467808607896</v>
      </c>
      <c r="H72" s="27">
        <v>0.39713769383234232</v>
      </c>
      <c r="I72" s="59">
        <f>(B72/('Consumidores Inadimplentes'!B108*1000000))</f>
        <v>1.7068311211902613E-2</v>
      </c>
    </row>
    <row r="73" spans="1:16" x14ac:dyDescent="0.35">
      <c r="A73" s="5">
        <v>45566</v>
      </c>
      <c r="B73" s="30">
        <v>1246604</v>
      </c>
      <c r="C73" s="30">
        <v>3944401</v>
      </c>
      <c r="D73" s="30">
        <v>6291845355.719986</v>
      </c>
      <c r="E73" s="34">
        <f t="shared" ref="E73" si="83">C73/B73</f>
        <v>3.1641170732646455</v>
      </c>
      <c r="F73" s="43">
        <f t="shared" ref="F73" si="84">D73/B73</f>
        <v>5047.188486255448</v>
      </c>
      <c r="G73" s="43">
        <f t="shared" ref="G73" si="85">F73/E73</f>
        <v>1595.1332929182367</v>
      </c>
      <c r="H73" s="27">
        <v>0.39896473049164421</v>
      </c>
      <c r="I73" s="59">
        <f>(B73/('Consumidores Inadimplentes'!B109*1000000))</f>
        <v>1.7052475521513941E-2</v>
      </c>
    </row>
    <row r="74" spans="1:16" x14ac:dyDescent="0.35">
      <c r="A74" s="5">
        <v>45597</v>
      </c>
      <c r="B74" s="30">
        <v>1267290</v>
      </c>
      <c r="C74" s="30">
        <v>3981158</v>
      </c>
      <c r="D74" s="30">
        <v>6410679295.7899818</v>
      </c>
      <c r="E74" s="34">
        <f t="shared" ref="E74" si="86">C74/B74</f>
        <v>3.1414735380220784</v>
      </c>
      <c r="F74" s="43">
        <f t="shared" ref="F74" si="87">D74/B74</f>
        <v>5058.5732514183665</v>
      </c>
      <c r="G74" s="43">
        <f t="shared" ref="G74" si="88">F74/E74</f>
        <v>1610.2549297942915</v>
      </c>
      <c r="H74" s="27">
        <v>0.40525165261348289</v>
      </c>
      <c r="I74" s="59">
        <f>(B74/('Consumidores Inadimplentes'!B110*1000000))</f>
        <v>1.7174559052964059E-2</v>
      </c>
    </row>
    <row r="75" spans="1:16" ht="15" thickBot="1" x14ac:dyDescent="0.4">
      <c r="A75" s="12">
        <v>45627</v>
      </c>
      <c r="B75" s="31">
        <v>1267193</v>
      </c>
      <c r="C75" s="31">
        <v>3953496</v>
      </c>
      <c r="D75" s="31">
        <v>6272666626.1399536</v>
      </c>
      <c r="E75" s="35">
        <f t="shared" ref="E75" si="89">C75/B75</f>
        <v>3.1198846584537634</v>
      </c>
      <c r="F75" s="46">
        <f t="shared" ref="F75" si="90">D75/B75</f>
        <v>4950.0483558068527</v>
      </c>
      <c r="G75" s="46">
        <f t="shared" ref="G75" si="91">F75/E75</f>
        <v>1586.6126147945902</v>
      </c>
      <c r="H75" s="28">
        <v>0.40488749708042931</v>
      </c>
      <c r="I75" s="59">
        <f>(B75/('Consumidores Inadimplentes'!B111*1000000))</f>
        <v>1.7237847644770835E-2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1285016</v>
      </c>
      <c r="C76" s="29">
        <v>4042989</v>
      </c>
      <c r="D76" s="29">
        <v>6504866015.0499659</v>
      </c>
      <c r="E76" s="33">
        <f t="shared" ref="E76:E77" si="92">C76/B76</f>
        <v>3.1462557664651647</v>
      </c>
      <c r="F76" s="45">
        <f t="shared" ref="F76:F77" si="93">D76/B76</f>
        <v>5062.0895109866069</v>
      </c>
      <c r="G76" s="45">
        <f t="shared" ref="G76:G77" si="94">F76/E76</f>
        <v>1608.9249847204544</v>
      </c>
      <c r="H76" s="26">
        <v>0.41024455698449425</v>
      </c>
      <c r="I76" s="59">
        <f>(B76/('Consumidores Inadimplentes'!B112*1000000))</f>
        <v>1.7224742722516173E-2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1301028</v>
      </c>
      <c r="C77" s="30">
        <v>4164376</v>
      </c>
      <c r="D77" s="30">
        <v>6839439053.2599459</v>
      </c>
      <c r="E77" s="34">
        <f t="shared" si="92"/>
        <v>3.200835031990088</v>
      </c>
      <c r="F77" s="43">
        <f t="shared" si="93"/>
        <v>5256.9499297939365</v>
      </c>
      <c r="G77" s="43">
        <f t="shared" si="94"/>
        <v>1642.3682811686422</v>
      </c>
      <c r="H77" s="27">
        <v>0.41501485695693158</v>
      </c>
      <c r="I77" s="59">
        <f>(B77/('Consumidores Inadimplentes'!B113*1000000))</f>
        <v>1.734625664305E-2</v>
      </c>
    </row>
    <row r="78" spans="1:16" x14ac:dyDescent="0.35">
      <c r="A78" s="5">
        <v>45717</v>
      </c>
      <c r="B78" s="30">
        <v>1331404</v>
      </c>
      <c r="C78" s="30">
        <v>4194066</v>
      </c>
      <c r="D78" s="30">
        <v>6719035787.0999575</v>
      </c>
      <c r="E78" s="34">
        <f t="shared" ref="E78" si="95">C78/B78</f>
        <v>3.1501077058503655</v>
      </c>
      <c r="F78" s="43">
        <f t="shared" ref="F78" si="96">D78/B78</f>
        <v>5046.5792404859512</v>
      </c>
      <c r="G78" s="43">
        <f t="shared" ref="G78" si="97">F78/E78</f>
        <v>1602.0338704970206</v>
      </c>
      <c r="H78" s="27">
        <v>0.42435525382672373</v>
      </c>
      <c r="I78" s="59">
        <f>(B78/('Consumidores Inadimplentes'!B114*1000000))</f>
        <v>1.7571759814641059E-2</v>
      </c>
    </row>
    <row r="79" spans="1:16" x14ac:dyDescent="0.35">
      <c r="A79" s="5">
        <v>45748</v>
      </c>
      <c r="B79" s="30">
        <v>1323198</v>
      </c>
      <c r="C79" s="30">
        <v>4259175</v>
      </c>
      <c r="D79" s="30">
        <v>6944064096</v>
      </c>
      <c r="E79" s="34">
        <f t="shared" ref="E79" si="98">C79/B79</f>
        <v>3.2188493332063683</v>
      </c>
      <c r="F79" s="43">
        <f t="shared" ref="F79" si="99">D79/B79</f>
        <v>5247.9402901153117</v>
      </c>
      <c r="G79" s="43">
        <f t="shared" ref="G79" si="100">F79/E79</f>
        <v>1630.3777365334836</v>
      </c>
      <c r="H79" s="27">
        <v>0.4213929874521386</v>
      </c>
      <c r="I79" s="59">
        <f>(B79/('Consumidores Inadimplentes'!B115*1000000))</f>
        <v>1.7265440539302613E-2</v>
      </c>
    </row>
    <row r="80" spans="1:16" x14ac:dyDescent="0.35">
      <c r="A80" s="5">
        <v>45778</v>
      </c>
      <c r="B80" s="30">
        <v>1347087</v>
      </c>
      <c r="C80" s="30">
        <v>4371076</v>
      </c>
      <c r="D80" s="30">
        <v>7139992890</v>
      </c>
      <c r="E80" s="34">
        <f t="shared" ref="E80" si="101">C80/B80</f>
        <v>3.2448357084583255</v>
      </c>
      <c r="F80" s="43">
        <f t="shared" ref="F80" si="102">D80/B80</f>
        <v>5300.3205360900965</v>
      </c>
      <c r="G80" s="43">
        <f t="shared" ref="G80" si="103">F80/E80</f>
        <v>1633.463451562041</v>
      </c>
      <c r="H80" s="27">
        <v>0.42864807020591916</v>
      </c>
      <c r="I80" s="59">
        <f>(B80/('Consumidores Inadimplentes'!B116*1000000))</f>
        <v>1.7478229526880482E-2</v>
      </c>
    </row>
    <row r="81" spans="1:16" x14ac:dyDescent="0.35">
      <c r="A81" s="5">
        <v>45809</v>
      </c>
      <c r="B81" s="30">
        <v>1364217</v>
      </c>
      <c r="C81" s="30">
        <v>4455558</v>
      </c>
      <c r="D81" s="30">
        <v>7354019457</v>
      </c>
      <c r="E81" s="34">
        <f t="shared" ref="E81" si="104">C81/B81</f>
        <v>3.2660185293102195</v>
      </c>
      <c r="F81" s="43">
        <f t="shared" ref="F81" si="105">D81/B81</f>
        <v>5390.652262066812</v>
      </c>
      <c r="G81" s="43">
        <f t="shared" ref="G81" si="106">F81/E81</f>
        <v>1650.5271521546797</v>
      </c>
      <c r="H81" s="27">
        <v>0.43374198428285143</v>
      </c>
      <c r="I81" s="59">
        <f>(B81/('Consumidores Inadimplentes'!B117*1000000))</f>
        <v>1.7518125518694486E-2</v>
      </c>
    </row>
    <row r="82" spans="1:16" x14ac:dyDescent="0.35">
      <c r="A82" s="5">
        <v>45839</v>
      </c>
      <c r="B82" s="30">
        <v>1367787</v>
      </c>
      <c r="C82" s="30">
        <v>4495206</v>
      </c>
      <c r="D82" s="30">
        <v>7417785589</v>
      </c>
      <c r="E82" s="34">
        <f t="shared" ref="E82" si="107">C82/B82</f>
        <v>3.2864810091044876</v>
      </c>
      <c r="F82" s="43">
        <f t="shared" ref="F82" si="108">D82/B82</f>
        <v>5423.202288806664</v>
      </c>
      <c r="G82" s="43">
        <f t="shared" ref="G82" si="109">F82/E82</f>
        <v>1650.1547624291302</v>
      </c>
      <c r="H82" s="27">
        <v>0.43451936199574565</v>
      </c>
      <c r="I82" s="59">
        <f>(B82/('Consumidores Inadimplentes'!B118*1000000))</f>
        <v>1.749956835992187E-2</v>
      </c>
    </row>
    <row r="83" spans="1:16" x14ac:dyDescent="0.35">
      <c r="A83" s="5">
        <v>45870</v>
      </c>
      <c r="B83" s="30">
        <v>1377871</v>
      </c>
      <c r="C83" s="30">
        <v>4565855</v>
      </c>
      <c r="D83" s="30">
        <v>7558879099</v>
      </c>
      <c r="E83" s="34">
        <f t="shared" ref="E83" si="110">C83/B83</f>
        <v>3.3137028067213841</v>
      </c>
      <c r="F83" s="43">
        <f t="shared" ref="F83" si="111">D83/B83</f>
        <v>5485.9120331293716</v>
      </c>
      <c r="G83" s="43">
        <f t="shared" ref="G83" si="112">F83/E83</f>
        <v>1655.5232478911398</v>
      </c>
      <c r="H83" s="27">
        <v>0.43737979262193738</v>
      </c>
      <c r="I83" s="59">
        <f>(B83/('Consumidores Inadimplentes'!B119*1000000))</f>
        <v>1.747484107027417E-2</v>
      </c>
    </row>
    <row r="84" spans="1:16" x14ac:dyDescent="0.35">
      <c r="A84" s="5">
        <v>45901</v>
      </c>
      <c r="B84" s="30">
        <v>1390049</v>
      </c>
      <c r="C84" s="30">
        <v>4613775</v>
      </c>
      <c r="D84" s="30">
        <v>7581706853</v>
      </c>
      <c r="E84" s="34">
        <f>IFERROR(C84/B84,"")</f>
        <v>3.3191455840765327</v>
      </c>
      <c r="F84" s="43">
        <f>IFERROR(D84/B84,"")</f>
        <v>5454.2730889342747</v>
      </c>
      <c r="G84" s="43">
        <f>IFERROR(F84/E84,"")</f>
        <v>1643.2762440734539</v>
      </c>
      <c r="H84" s="27">
        <v>0.44089964462838227</v>
      </c>
      <c r="I84" s="59">
        <f>(B84/('Consumidores Inadimplentes'!B120*1000000))</f>
        <v>1.7558450399858771E-2</v>
      </c>
    </row>
    <row r="85" spans="1:16" x14ac:dyDescent="0.35">
      <c r="A85" s="5">
        <v>45931</v>
      </c>
      <c r="B85" s="30">
        <v>1422349</v>
      </c>
      <c r="C85" s="30">
        <v>4736190</v>
      </c>
      <c r="D85" s="30">
        <v>7726514024</v>
      </c>
      <c r="E85" s="34">
        <f t="shared" ref="E85:E87" si="113">IFERROR(C85/B85,"")</f>
        <v>3.3298367700191727</v>
      </c>
      <c r="F85" s="43">
        <f t="shared" ref="F85:F87" si="114">IFERROR(D85/B85,"")</f>
        <v>5432.2209415551315</v>
      </c>
      <c r="G85" s="43">
        <f t="shared" ref="G85:G87" si="115">IFERROR(F85/E85,"")</f>
        <v>1631.3775469311829</v>
      </c>
      <c r="H85" s="27">
        <v>0.45079105193315605</v>
      </c>
      <c r="I85" s="59">
        <f>(B85/('Consumidores Inadimplentes'!B121*1000000))</f>
        <v>1.768287324968212E-2</v>
      </c>
    </row>
    <row r="86" spans="1:16" x14ac:dyDescent="0.35">
      <c r="A86" s="5">
        <v>45962</v>
      </c>
      <c r="B86" s="30">
        <v>1392051</v>
      </c>
      <c r="C86" s="30">
        <v>4598927</v>
      </c>
      <c r="D86" s="30">
        <v>7526554343</v>
      </c>
      <c r="E86" s="34">
        <f t="shared" si="113"/>
        <v>3.3037058268698489</v>
      </c>
      <c r="F86" s="43">
        <f t="shared" si="114"/>
        <v>5406.8093360085222</v>
      </c>
      <c r="G86" s="43">
        <f t="shared" si="115"/>
        <v>1636.5892180936987</v>
      </c>
      <c r="H86" s="27">
        <v>0.44084277690372498</v>
      </c>
      <c r="I86" s="59">
        <f>(B86/('Consumidores Inadimplentes'!B122*1000000))</f>
        <v>1.726899037395745E-2</v>
      </c>
    </row>
    <row r="87" spans="1:16" ht="15" thickBot="1" x14ac:dyDescent="0.4">
      <c r="A87" s="12">
        <v>45992</v>
      </c>
      <c r="B87" s="31">
        <v>1417141</v>
      </c>
      <c r="C87" s="31">
        <v>4680040</v>
      </c>
      <c r="D87" s="31">
        <v>7657441882</v>
      </c>
      <c r="E87" s="35">
        <f t="shared" si="113"/>
        <v>3.3024519084551218</v>
      </c>
      <c r="F87" s="46">
        <f t="shared" si="114"/>
        <v>5403.4438930212309</v>
      </c>
      <c r="G87" s="46">
        <f t="shared" si="115"/>
        <v>1636.1915457987541</v>
      </c>
      <c r="H87" s="28">
        <v>0.44843665600166571</v>
      </c>
      <c r="I87" s="59">
        <f>(B87/('Consumidores Inadimplentes'!B123*1000000))</f>
        <v>1.7442161295360123E-2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1376313</v>
      </c>
      <c r="C88" s="29">
        <v>4425081</v>
      </c>
      <c r="D88" s="29">
        <v>7480066097</v>
      </c>
      <c r="E88" s="33">
        <f t="shared" ref="E88:E89" si="116">IFERROR(C88/B88,"")</f>
        <v>3.2151705317031807</v>
      </c>
      <c r="F88" s="45">
        <f t="shared" ref="F88:F89" si="117">IFERROR(D88/B88,"")</f>
        <v>5434.8582749708821</v>
      </c>
      <c r="G88" s="45">
        <f t="shared" ref="G88:G89" si="118">IFERROR(F88/E88,"")</f>
        <v>1690.3794748615901</v>
      </c>
      <c r="H88" s="26">
        <v>0.43517576976342698</v>
      </c>
      <c r="I88" s="59">
        <f>(B88/('Consumidores Inadimplentes'!B124*1000000))</f>
        <v>1.6924794501204283E-2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1377777</v>
      </c>
      <c r="C89" s="30">
        <v>4451656</v>
      </c>
      <c r="D89" s="30">
        <v>7682321148</v>
      </c>
      <c r="E89" s="34">
        <f t="shared" si="116"/>
        <v>3.2310424691368778</v>
      </c>
      <c r="F89" s="43">
        <f t="shared" si="117"/>
        <v>5575.8814002556292</v>
      </c>
      <c r="G89" s="43">
        <f t="shared" si="118"/>
        <v>1725.7221016179149</v>
      </c>
      <c r="H89" s="27">
        <v>0.43529733281940136</v>
      </c>
      <c r="I89" s="59">
        <f>(B89/('Consumidores Inadimplentes'!B125*1000000))</f>
        <v>1.6857270298178254E-2</v>
      </c>
    </row>
    <row r="90" spans="1:16" x14ac:dyDescent="0.35">
      <c r="A90" s="5">
        <v>46082</v>
      </c>
      <c r="B90" s="30">
        <v>1394915</v>
      </c>
      <c r="C90" s="30">
        <v>4563785</v>
      </c>
      <c r="D90" s="30">
        <v>7978422005</v>
      </c>
      <c r="E90" s="34">
        <f t="shared" ref="E90" si="119">IFERROR(C90/B90,"")</f>
        <v>3.2717298186627861</v>
      </c>
      <c r="F90" s="43">
        <f t="shared" ref="F90" si="120">IFERROR(D90/B90,"")</f>
        <v>5719.6474372990469</v>
      </c>
      <c r="G90" s="43">
        <f t="shared" ref="G90" si="121">IFERROR(F90/E90,"")</f>
        <v>1748.2028634127155</v>
      </c>
      <c r="H90" s="27">
        <v>0.44036662202750204</v>
      </c>
      <c r="I90" s="59">
        <f>(B90/('Consumidores Inadimplentes'!B126*1000000))</f>
        <v>1.6840191368867562E-2</v>
      </c>
    </row>
    <row r="91" spans="1:16" x14ac:dyDescent="0.35">
      <c r="A91" s="5">
        <v>46113</v>
      </c>
      <c r="B91" s="30">
        <v>1402134</v>
      </c>
      <c r="C91" s="30">
        <v>4594224</v>
      </c>
      <c r="D91" s="30">
        <v>8050292562</v>
      </c>
      <c r="E91" s="34">
        <f t="shared" ref="E91" si="122">IFERROR(C91/B91,"")</f>
        <v>3.2765941058415242</v>
      </c>
      <c r="F91" s="43">
        <f t="shared" ref="F91" si="123">IFERROR(D91/B91,"")</f>
        <v>5741.4573514371668</v>
      </c>
      <c r="G91" s="43">
        <f t="shared" ref="G91" si="124">IFERROR(F91/E91,"")</f>
        <v>1752.2638343276255</v>
      </c>
      <c r="H91" s="27">
        <v>0.44229877486746499</v>
      </c>
      <c r="I91" s="59">
        <f>(B91/('Consumidores Inadimplentes'!B127*1000000))</f>
        <v>1.6814337282462215E-2</v>
      </c>
    </row>
    <row r="92" spans="1:16" x14ac:dyDescent="0.35">
      <c r="A92" s="5">
        <v>46143</v>
      </c>
      <c r="B92" s="30">
        <v>1389423</v>
      </c>
      <c r="C92" s="30">
        <v>4530701</v>
      </c>
      <c r="D92" s="30">
        <v>8053387042</v>
      </c>
      <c r="E92" s="34">
        <f t="shared" ref="E92" si="125">IFERROR(C92/B92,"")</f>
        <v>3.260850727244331</v>
      </c>
      <c r="F92" s="43">
        <f t="shared" ref="F92" si="126">IFERROR(D92/B92,"")</f>
        <v>5796.2096798455186</v>
      </c>
      <c r="G92" s="43">
        <f t="shared" ref="G92" si="127">IFERROR(F92/E92,"")</f>
        <v>1777.5145704825809</v>
      </c>
      <c r="H92" s="27">
        <v>0.43794569235502073</v>
      </c>
      <c r="I92" s="59">
        <f>(B92/('Consumidores Inadimplentes'!B128*1000000))</f>
        <v>1.6639229278484713E-2</v>
      </c>
    </row>
    <row r="93" spans="1:16" x14ac:dyDescent="0.35">
      <c r="A93" s="5">
        <v>46174</v>
      </c>
      <c r="B93" s="30">
        <v>1389915</v>
      </c>
      <c r="C93" s="30">
        <v>4523164</v>
      </c>
      <c r="D93" s="30">
        <v>8087309465</v>
      </c>
      <c r="E93" s="34">
        <f t="shared" ref="E93" si="128">IFERROR(C93/B93,"")</f>
        <v>3.254273822499937</v>
      </c>
      <c r="F93" s="43">
        <f t="shared" ref="F93" si="129">IFERROR(D93/B93,"")</f>
        <v>5818.5640596727135</v>
      </c>
      <c r="G93" s="43">
        <f t="shared" ref="G93" si="130">IFERROR(F93/E93,"")</f>
        <v>1787.9761744212678</v>
      </c>
      <c r="H93" s="27">
        <v>0.43775747382743113</v>
      </c>
      <c r="I93" s="59">
        <f>(B93/('Consumidores Inadimplentes'!B129*1000000))</f>
        <v>1.6598458950211288E-2</v>
      </c>
    </row>
    <row r="94" spans="1:16" x14ac:dyDescent="0.35">
      <c r="A94" s="5">
        <v>46204</v>
      </c>
      <c r="B94" s="30">
        <v>1392030</v>
      </c>
      <c r="C94" s="30">
        <v>4547020</v>
      </c>
      <c r="D94" s="30">
        <v>8164488106</v>
      </c>
      <c r="E94" s="34">
        <f t="shared" ref="E94" si="131">IFERROR(C94/B94,"")</f>
        <v>3.2664669583270474</v>
      </c>
      <c r="F94" s="43">
        <f t="shared" ref="F94" si="132">IFERROR(D94/B94,"")</f>
        <v>5865.1667751413406</v>
      </c>
      <c r="G94" s="43">
        <f t="shared" ref="G94" si="133">IFERROR(F94/E94,"")</f>
        <v>1795.5689893600645</v>
      </c>
      <c r="H94" s="27">
        <v>0.43808004229647185</v>
      </c>
      <c r="I94" s="59">
        <f>(B94/('Consumidores Inadimplentes'!B130*1000000))</f>
        <v>1.6585228041613442E-2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DACB-44A3-4A8D-BA62-7D66D65468E3}">
  <sheetPr codeName="Planilha19"/>
  <dimension ref="A1:P99"/>
  <sheetViews>
    <sheetView zoomScale="90" zoomScaleNormal="90" workbookViewId="0">
      <pane xSplit="1" ySplit="3" topLeftCell="B84" activePane="bottomRight" state="frozen"/>
      <selection activeCell="H93" sqref="H93"/>
      <selection pane="topRight" activeCell="H93" sqref="H93"/>
      <selection pane="bottomLeft" activeCell="H93" sqref="H93"/>
      <selection pane="bottomRight" activeCell="I1" sqref="I1:I104857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35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2801398</v>
      </c>
      <c r="C4" s="29">
        <v>8076545</v>
      </c>
      <c r="D4" s="29">
        <v>8536154770.4400997</v>
      </c>
      <c r="E4" s="33">
        <f t="shared" ref="E4:E33" si="0">C4/B4</f>
        <v>2.8830408960097778</v>
      </c>
      <c r="F4" s="45">
        <f>D4/B4</f>
        <v>3047.1053275686281</v>
      </c>
      <c r="G4" s="45">
        <f t="shared" ref="G4" si="1">F4/E4</f>
        <v>1056.906730593354</v>
      </c>
      <c r="H4" s="26">
        <v>0.41548278794978827</v>
      </c>
      <c r="I4" s="58">
        <f>(B4/('Consumidores Inadimplentes'!B40*1000000))</f>
        <v>4.5055656094791868E-2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2801760</v>
      </c>
      <c r="C5" s="30">
        <v>8037657</v>
      </c>
      <c r="D5" s="30">
        <v>8446431559.6201</v>
      </c>
      <c r="E5" s="34">
        <f t="shared" si="0"/>
        <v>2.8687885471989034</v>
      </c>
      <c r="F5" s="43">
        <f t="shared" ref="F5:F45" si="2">D5/B5</f>
        <v>3014.6877532765475</v>
      </c>
      <c r="G5" s="43">
        <f t="shared" ref="G5:G45" si="3">F5/E5</f>
        <v>1050.8574276832292</v>
      </c>
      <c r="H5" s="27">
        <v>0.41508136383815669</v>
      </c>
      <c r="I5" s="59">
        <f>(B5/('Consumidores Inadimplentes'!B41*1000000))</f>
        <v>4.5064004812514546E-2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2837670</v>
      </c>
      <c r="C6" s="30">
        <v>8132772</v>
      </c>
      <c r="D6" s="30">
        <v>8676395003.8401127</v>
      </c>
      <c r="E6" s="34">
        <f t="shared" si="0"/>
        <v>2.8660034464895494</v>
      </c>
      <c r="F6" s="43">
        <f t="shared" si="2"/>
        <v>3057.5771685361979</v>
      </c>
      <c r="G6" s="43">
        <f t="shared" si="3"/>
        <v>1066.8435072125608</v>
      </c>
      <c r="H6" s="27">
        <v>0.41982943262176525</v>
      </c>
      <c r="I6" s="59">
        <f>(B6/('Consumidores Inadimplentes'!B42*1000000))</f>
        <v>4.5070939473537207E-2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2813035</v>
      </c>
      <c r="C7" s="30">
        <v>7993414</v>
      </c>
      <c r="D7" s="30">
        <v>8615039153.2300625</v>
      </c>
      <c r="E7" s="34">
        <f t="shared" si="0"/>
        <v>2.8415622272741006</v>
      </c>
      <c r="F7" s="43">
        <f t="shared" si="2"/>
        <v>3062.542468625546</v>
      </c>
      <c r="G7" s="43">
        <f t="shared" si="3"/>
        <v>1077.7671659731452</v>
      </c>
      <c r="H7" s="27">
        <v>0.41544993797396113</v>
      </c>
      <c r="I7" s="59">
        <f>(B7/('Consumidores Inadimplentes'!B43*1000000))</f>
        <v>4.4506241902986653E-2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2803290</v>
      </c>
      <c r="C8" s="30">
        <v>7911931</v>
      </c>
      <c r="D8" s="30">
        <v>8691214540.4600525</v>
      </c>
      <c r="E8" s="34">
        <f t="shared" si="0"/>
        <v>2.8223733541659977</v>
      </c>
      <c r="F8" s="43">
        <f t="shared" si="2"/>
        <v>3100.3622673573027</v>
      </c>
      <c r="G8" s="43">
        <f t="shared" si="3"/>
        <v>1098.4947341502414</v>
      </c>
      <c r="H8" s="27">
        <v>0.41117514135081368</v>
      </c>
      <c r="I8" s="59">
        <f>(B8/('Consumidores Inadimplentes'!B44*1000000))</f>
        <v>4.4233638706372341E-2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2793508</v>
      </c>
      <c r="C9" s="30">
        <v>7870336</v>
      </c>
      <c r="D9" s="30">
        <v>8767180822.8300743</v>
      </c>
      <c r="E9" s="34">
        <f t="shared" si="0"/>
        <v>2.8173665513039521</v>
      </c>
      <c r="F9" s="43">
        <f t="shared" si="2"/>
        <v>3138.412642036491</v>
      </c>
      <c r="G9" s="43">
        <f t="shared" si="3"/>
        <v>1113.9525457147031</v>
      </c>
      <c r="H9" s="27">
        <v>0.41200413097624689</v>
      </c>
      <c r="I9" s="59">
        <f>(B9/('Consumidores Inadimplentes'!B45*1000000))</f>
        <v>4.402651569100683E-2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2840277</v>
      </c>
      <c r="C10" s="30">
        <v>7980955</v>
      </c>
      <c r="D10" s="30">
        <v>8749363675.3700294</v>
      </c>
      <c r="E10" s="34">
        <f t="shared" si="0"/>
        <v>2.8099213562620831</v>
      </c>
      <c r="F10" s="43">
        <f t="shared" si="2"/>
        <v>3080.4614040708107</v>
      </c>
      <c r="G10" s="43">
        <f t="shared" si="3"/>
        <v>1096.2802916906599</v>
      </c>
      <c r="H10" s="27">
        <v>0.41632862010593585</v>
      </c>
      <c r="I10" s="59">
        <f>(B10/('Consumidores Inadimplentes'!B46*1000000))</f>
        <v>4.4754589765863044E-2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2799780</v>
      </c>
      <c r="C11" s="30">
        <v>7925572</v>
      </c>
      <c r="D11" s="30">
        <v>8991178911.0300465</v>
      </c>
      <c r="E11" s="34">
        <f t="shared" si="0"/>
        <v>2.8307838473022882</v>
      </c>
      <c r="F11" s="43">
        <f t="shared" si="2"/>
        <v>3211.3876486831273</v>
      </c>
      <c r="G11" s="43">
        <f t="shared" si="3"/>
        <v>1134.4517356009189</v>
      </c>
      <c r="H11" s="27">
        <v>0.41008351567616147</v>
      </c>
      <c r="I11" s="59">
        <f>(B11/('Consumidores Inadimplentes'!B47*1000000))</f>
        <v>4.4141115794413564E-2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2774707</v>
      </c>
      <c r="C12" s="30">
        <v>7828012</v>
      </c>
      <c r="D12" s="30">
        <v>8910071745.6000481</v>
      </c>
      <c r="E12" s="34">
        <f t="shared" si="0"/>
        <v>2.8212031036069756</v>
      </c>
      <c r="F12" s="43">
        <f t="shared" si="2"/>
        <v>3211.1757189498021</v>
      </c>
      <c r="G12" s="43">
        <f t="shared" si="3"/>
        <v>1138.2291884069734</v>
      </c>
      <c r="H12" s="27">
        <v>0.40605143451535314</v>
      </c>
      <c r="I12" s="59">
        <f>(B12/('Consumidores Inadimplentes'!B48*1000000))</f>
        <v>4.3899001131353213E-2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2802190</v>
      </c>
      <c r="C13" s="30">
        <v>7886376</v>
      </c>
      <c r="D13" s="30">
        <v>8971940702.6400185</v>
      </c>
      <c r="E13" s="34">
        <f t="shared" si="0"/>
        <v>2.814361624300993</v>
      </c>
      <c r="F13" s="43">
        <f t="shared" si="2"/>
        <v>3201.7603027061045</v>
      </c>
      <c r="G13" s="43">
        <f t="shared" si="3"/>
        <v>1137.6506398680483</v>
      </c>
      <c r="H13" s="27">
        <v>0.40971044412992874</v>
      </c>
      <c r="I13" s="59">
        <f>(B13/('Consumidores Inadimplentes'!B49*1000000))</f>
        <v>4.3886109954345567E-2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2831142</v>
      </c>
      <c r="C14" s="30">
        <v>7926956</v>
      </c>
      <c r="D14" s="30">
        <v>9027666411.2300873</v>
      </c>
      <c r="E14" s="34">
        <f t="shared" si="0"/>
        <v>2.7999146634114433</v>
      </c>
      <c r="F14" s="43">
        <f t="shared" si="2"/>
        <v>3188.7013831274048</v>
      </c>
      <c r="G14" s="43">
        <f t="shared" si="3"/>
        <v>1138.8566318811518</v>
      </c>
      <c r="H14" s="27">
        <v>0.41357721527345415</v>
      </c>
      <c r="I14" s="59">
        <f>(B14/('Consumidores Inadimplentes'!B50*1000000))</f>
        <v>4.4346789979750931E-2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2770573</v>
      </c>
      <c r="C15" s="31">
        <v>7754121</v>
      </c>
      <c r="D15" s="31">
        <v>9018087607.2700825</v>
      </c>
      <c r="E15" s="35">
        <f t="shared" si="0"/>
        <v>2.7987427149546322</v>
      </c>
      <c r="F15" s="43">
        <f t="shared" si="2"/>
        <v>3254.9539778486551</v>
      </c>
      <c r="G15" s="43">
        <f t="shared" si="3"/>
        <v>1163.0057884407636</v>
      </c>
      <c r="H15" s="27">
        <v>0.40437106230244463</v>
      </c>
      <c r="I15" s="59">
        <f>(B15/('Consumidores Inadimplentes'!B51*1000000))</f>
        <v>4.3763849005635888E-2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2788330</v>
      </c>
      <c r="C16" s="29">
        <v>7871665</v>
      </c>
      <c r="D16" s="29">
        <v>9035477948.8601036</v>
      </c>
      <c r="E16" s="33">
        <f t="shared" si="0"/>
        <v>2.8230751023013774</v>
      </c>
      <c r="F16" s="45">
        <f t="shared" si="2"/>
        <v>3240.4621938078003</v>
      </c>
      <c r="G16" s="45">
        <f t="shared" si="3"/>
        <v>1147.848383901005</v>
      </c>
      <c r="H16" s="26">
        <v>0.40660263190090917</v>
      </c>
      <c r="I16" s="59">
        <f>(B16/('Consumidores Inadimplentes'!B52*1000000))</f>
        <v>4.3716319057494894E-2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2770799</v>
      </c>
      <c r="C17" s="30">
        <v>7818501</v>
      </c>
      <c r="D17" s="30">
        <v>8966642109.4400826</v>
      </c>
      <c r="E17" s="34">
        <f t="shared" si="0"/>
        <v>2.8217496108523208</v>
      </c>
      <c r="F17" s="43">
        <f t="shared" si="2"/>
        <v>3236.1214615134777</v>
      </c>
      <c r="G17" s="43">
        <f t="shared" si="3"/>
        <v>1146.8492629776581</v>
      </c>
      <c r="H17" s="27">
        <v>0.40368865028105089</v>
      </c>
      <c r="I17" s="59">
        <f>(B17/('Consumidores Inadimplentes'!B53*1000000))</f>
        <v>4.3368480628996585E-2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2795464</v>
      </c>
      <c r="C18" s="30">
        <v>7894832</v>
      </c>
      <c r="D18" s="30">
        <v>9124726162.1900673</v>
      </c>
      <c r="E18" s="34">
        <f t="shared" si="0"/>
        <v>2.8241579930916658</v>
      </c>
      <c r="F18" s="43">
        <f t="shared" si="2"/>
        <v>3264.1186444146902</v>
      </c>
      <c r="G18" s="43">
        <f t="shared" si="3"/>
        <v>1155.7847161522964</v>
      </c>
      <c r="H18" s="27">
        <v>0.40692179169586457</v>
      </c>
      <c r="I18" s="59">
        <f>(B18/('Consumidores Inadimplentes'!B54*1000000))</f>
        <v>4.313145991804531E-2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2852103</v>
      </c>
      <c r="C19" s="30">
        <v>7970737</v>
      </c>
      <c r="D19" s="30">
        <v>9155627513.6800537</v>
      </c>
      <c r="E19" s="34">
        <f t="shared" si="0"/>
        <v>2.7946876392612747</v>
      </c>
      <c r="F19" s="43">
        <f t="shared" si="2"/>
        <v>3210.1321423805712</v>
      </c>
      <c r="G19" s="43">
        <f t="shared" si="3"/>
        <v>1148.655075895749</v>
      </c>
      <c r="H19" s="27">
        <v>0.41479903552526537</v>
      </c>
      <c r="I19" s="59">
        <f>(B19/('Consumidores Inadimplentes'!B55*1000000))</f>
        <v>4.3273601331492155E-2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2807622</v>
      </c>
      <c r="C20" s="30">
        <v>7830189</v>
      </c>
      <c r="D20" s="30">
        <v>8955253120.4100628</v>
      </c>
      <c r="E20" s="34">
        <f t="shared" si="0"/>
        <v>2.7889042755755584</v>
      </c>
      <c r="F20" s="43">
        <f t="shared" si="2"/>
        <v>3189.6220789016693</v>
      </c>
      <c r="G20" s="43">
        <f t="shared" si="3"/>
        <v>1143.6828817810224</v>
      </c>
      <c r="H20" s="27">
        <v>0.40796854731873505</v>
      </c>
      <c r="I20" s="59">
        <f>(B20/('Consumidores Inadimplentes'!B56*1000000))</f>
        <v>4.3040600522967709E-2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2746984</v>
      </c>
      <c r="C21" s="30">
        <v>7637038</v>
      </c>
      <c r="D21" s="30">
        <v>8820374176.9400864</v>
      </c>
      <c r="E21" s="34">
        <f t="shared" si="0"/>
        <v>2.7801537977651125</v>
      </c>
      <c r="F21" s="43">
        <f t="shared" si="2"/>
        <v>3210.9303064524897</v>
      </c>
      <c r="G21" s="43">
        <f t="shared" si="3"/>
        <v>1154.9470065410289</v>
      </c>
      <c r="H21" s="27">
        <v>0.39845132512308984</v>
      </c>
      <c r="I21" s="59">
        <f>(B21/('Consumidores Inadimplentes'!B57*1000000))</f>
        <v>4.2921161585583505E-2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2692899</v>
      </c>
      <c r="C22" s="30">
        <v>7478566</v>
      </c>
      <c r="D22" s="30">
        <v>8904314666.9900665</v>
      </c>
      <c r="E22" s="34">
        <f t="shared" si="0"/>
        <v>2.777143145732536</v>
      </c>
      <c r="F22" s="43">
        <f t="shared" si="2"/>
        <v>3306.5906545288431</v>
      </c>
      <c r="G22" s="43">
        <f t="shared" si="3"/>
        <v>1190.6446592822831</v>
      </c>
      <c r="H22" s="27">
        <v>0.39031057160974725</v>
      </c>
      <c r="I22" s="59">
        <f>(B22/('Consumidores Inadimplentes'!B58*1000000))</f>
        <v>4.2405770033970142E-2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2747227</v>
      </c>
      <c r="C23" s="30">
        <v>7731528</v>
      </c>
      <c r="D23" s="30">
        <v>8781566551.0100975</v>
      </c>
      <c r="E23" s="34">
        <f t="shared" si="0"/>
        <v>2.8143025676436642</v>
      </c>
      <c r="F23" s="43">
        <f t="shared" si="2"/>
        <v>3196.5201823548246</v>
      </c>
      <c r="G23" s="43">
        <f t="shared" si="3"/>
        <v>1135.812552319554</v>
      </c>
      <c r="H23" s="27">
        <v>0.39788346960476506</v>
      </c>
      <c r="I23" s="59">
        <f>(B23/('Consumidores Inadimplentes'!B59*1000000))</f>
        <v>4.3571898818582221E-2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2749830</v>
      </c>
      <c r="C24" s="30">
        <v>7708202</v>
      </c>
      <c r="D24" s="30">
        <v>8714630923.9100571</v>
      </c>
      <c r="E24" s="34">
        <f t="shared" si="0"/>
        <v>2.8031558314513987</v>
      </c>
      <c r="F24" s="43">
        <f t="shared" si="2"/>
        <v>3169.1526108559647</v>
      </c>
      <c r="G24" s="43">
        <f t="shared" si="3"/>
        <v>1130.5659768529754</v>
      </c>
      <c r="H24" s="27">
        <v>0.39795896659152252</v>
      </c>
      <c r="I24" s="59">
        <f>(B24/('Consumidores Inadimplentes'!B60*1000000))</f>
        <v>4.3812711417367971E-2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2706767</v>
      </c>
      <c r="C25" s="30">
        <v>7615030</v>
      </c>
      <c r="D25" s="30">
        <v>8668546595.8200912</v>
      </c>
      <c r="E25" s="34">
        <f t="shared" si="0"/>
        <v>2.813330441814903</v>
      </c>
      <c r="F25" s="43">
        <f t="shared" si="2"/>
        <v>3202.5462833779529</v>
      </c>
      <c r="G25" s="43">
        <f t="shared" si="3"/>
        <v>1138.3470053066228</v>
      </c>
      <c r="H25" s="27">
        <v>0.39143027949978221</v>
      </c>
      <c r="I25" s="59">
        <f>(B25/('Consumidores Inadimplentes'!B61*1000000))</f>
        <v>4.3461404957300269E-2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2700494</v>
      </c>
      <c r="C26" s="30">
        <v>7674525</v>
      </c>
      <c r="D26" s="30">
        <v>8534312355.4701176</v>
      </c>
      <c r="E26" s="34">
        <f t="shared" si="0"/>
        <v>2.8418967048251171</v>
      </c>
      <c r="F26" s="43">
        <f t="shared" si="2"/>
        <v>3160.2782140860591</v>
      </c>
      <c r="G26" s="43">
        <f t="shared" si="3"/>
        <v>1112.0313446721611</v>
      </c>
      <c r="H26" s="27">
        <v>0.39022748557253312</v>
      </c>
      <c r="I26" s="59">
        <f>(B26/('Consumidores Inadimplentes'!B62*1000000))</f>
        <v>4.3592426165154047E-2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2686761</v>
      </c>
      <c r="C27" s="31">
        <v>7640150</v>
      </c>
      <c r="D27" s="31">
        <v>8336574684.4601231</v>
      </c>
      <c r="E27" s="35">
        <f t="shared" si="0"/>
        <v>2.8436284433189258</v>
      </c>
      <c r="F27" s="46">
        <f t="shared" si="2"/>
        <v>3102.8344852631562</v>
      </c>
      <c r="G27" s="46">
        <f t="shared" si="3"/>
        <v>1091.1532737524947</v>
      </c>
      <c r="H27" s="28">
        <v>0.38794911595468951</v>
      </c>
      <c r="I27" s="59">
        <f>(B27/('Consumidores Inadimplentes'!B63*1000000))</f>
        <v>4.3785932572498527E-2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2745182</v>
      </c>
      <c r="C28" s="29">
        <v>8000521</v>
      </c>
      <c r="D28" s="29">
        <v>8465477758.3001289</v>
      </c>
      <c r="E28" s="33">
        <f t="shared" si="0"/>
        <v>2.9143863685540703</v>
      </c>
      <c r="F28" s="45">
        <f t="shared" si="2"/>
        <v>3083.758293002114</v>
      </c>
      <c r="G28" s="45">
        <f t="shared" si="3"/>
        <v>1058.1158099953902</v>
      </c>
      <c r="H28" s="26">
        <v>0.39608460614269902</v>
      </c>
      <c r="I28" s="59">
        <f>(B28/('Consumidores Inadimplentes'!B64*1000000))</f>
        <v>4.4514528603180163E-2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2642357</v>
      </c>
      <c r="C29" s="30">
        <v>7575195</v>
      </c>
      <c r="D29" s="30">
        <v>8410829456.4701405</v>
      </c>
      <c r="E29" s="34">
        <f t="shared" si="0"/>
        <v>2.8668325286855638</v>
      </c>
      <c r="F29" s="43">
        <f t="shared" si="2"/>
        <v>3183.0783866336533</v>
      </c>
      <c r="G29" s="43">
        <f t="shared" si="3"/>
        <v>1110.3119400187243</v>
      </c>
      <c r="H29" s="27">
        <v>0.38096002219131125</v>
      </c>
      <c r="I29" s="59">
        <f>(B29/('Consumidores Inadimplentes'!B65*1000000))</f>
        <v>4.2926750037174062E-2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2671708</v>
      </c>
      <c r="C30" s="30">
        <v>7629926</v>
      </c>
      <c r="D30" s="30">
        <v>8527548174.3201294</v>
      </c>
      <c r="E30" s="34">
        <f t="shared" si="0"/>
        <v>2.8558233160210622</v>
      </c>
      <c r="F30" s="43">
        <f t="shared" si="2"/>
        <v>3191.796474135695</v>
      </c>
      <c r="G30" s="43">
        <f t="shared" si="3"/>
        <v>1117.6449384070211</v>
      </c>
      <c r="H30" s="27">
        <v>0.38490006847417552</v>
      </c>
      <c r="I30" s="59">
        <f>(B30/('Consumidores Inadimplentes'!B66*1000000))</f>
        <v>4.2708150617610248E-2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2672594</v>
      </c>
      <c r="C31" s="30">
        <v>7783931</v>
      </c>
      <c r="D31" s="30">
        <v>8661486937.4301472</v>
      </c>
      <c r="E31" s="34">
        <f t="shared" si="0"/>
        <v>2.9125003648141092</v>
      </c>
      <c r="F31" s="43">
        <f t="shared" si="2"/>
        <v>3240.8539933226471</v>
      </c>
      <c r="G31" s="43">
        <f t="shared" si="3"/>
        <v>1112.7394291432115</v>
      </c>
      <c r="H31" s="27">
        <v>0.38473621915416578</v>
      </c>
      <c r="I31" s="59">
        <f>(B31/('Consumidores Inadimplentes'!B67*1000000))</f>
        <v>4.2434539423690472E-2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2725960</v>
      </c>
      <c r="C32" s="30">
        <v>8127519</v>
      </c>
      <c r="D32" s="30">
        <v>8763285981.5601101</v>
      </c>
      <c r="E32" s="34">
        <f t="shared" si="0"/>
        <v>2.9815254075628403</v>
      </c>
      <c r="F32" s="43">
        <f t="shared" si="2"/>
        <v>3214.7522273107861</v>
      </c>
      <c r="G32" s="43">
        <f t="shared" si="3"/>
        <v>1078.2239920398968</v>
      </c>
      <c r="H32" s="27">
        <v>0.39212149327694529</v>
      </c>
      <c r="I32" s="59">
        <f>(B32/('Consumidores Inadimplentes'!B68*1000000))</f>
        <v>4.3574361754512417E-2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2705018</v>
      </c>
      <c r="C33" s="30">
        <v>8131412</v>
      </c>
      <c r="D33" s="30">
        <v>8704047595.9401436</v>
      </c>
      <c r="E33" s="34">
        <f t="shared" si="0"/>
        <v>3.0060472795375115</v>
      </c>
      <c r="F33" s="43">
        <f t="shared" si="2"/>
        <v>3217.7411004067785</v>
      </c>
      <c r="G33" s="43">
        <f t="shared" si="3"/>
        <v>1070.4226518026812</v>
      </c>
      <c r="H33" s="27">
        <v>0.38881446443427797</v>
      </c>
      <c r="I33" s="59">
        <f>(B33/('Consumidores Inadimplentes'!B69*1000000))</f>
        <v>4.3273757470712583E-2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2727339</v>
      </c>
      <c r="C34" s="30">
        <v>8355783</v>
      </c>
      <c r="D34" s="30">
        <v>8761723065.780159</v>
      </c>
      <c r="E34" s="34">
        <f>C34/B34</f>
        <v>3.0637126517825615</v>
      </c>
      <c r="F34" s="43">
        <f t="shared" si="2"/>
        <v>3212.5537257305232</v>
      </c>
      <c r="G34" s="43">
        <f t="shared" si="3"/>
        <v>1048.5819301171607</v>
      </c>
      <c r="H34" s="27">
        <v>0.39202273247996938</v>
      </c>
      <c r="I34" s="59">
        <f>(B34/('Consumidores Inadimplentes'!B70*1000000))</f>
        <v>4.3831163352406548E-2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2758671</v>
      </c>
      <c r="C35" s="30">
        <v>8452988</v>
      </c>
      <c r="D35" s="30">
        <v>8760402056.0201149</v>
      </c>
      <c r="E35" s="34">
        <f>C35/B35</f>
        <v>3.0641522675230211</v>
      </c>
      <c r="F35" s="43">
        <f t="shared" si="2"/>
        <v>3175.5878305242327</v>
      </c>
      <c r="G35" s="43">
        <f t="shared" si="3"/>
        <v>1036.3675017662531</v>
      </c>
      <c r="H35" s="27">
        <v>0.39624600115828518</v>
      </c>
      <c r="I35" s="59">
        <f>(B35/('Consumidores Inadimplentes'!B71*1000000))</f>
        <v>4.4316886337726756E-2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2755101</v>
      </c>
      <c r="C36" s="30">
        <v>8412255</v>
      </c>
      <c r="D36" s="30">
        <v>8869706139.2301064</v>
      </c>
      <c r="E36" s="34">
        <f>C36/B36</f>
        <v>3.0533381534833026</v>
      </c>
      <c r="F36" s="43">
        <f t="shared" si="2"/>
        <v>3219.3760371144676</v>
      </c>
      <c r="G36" s="43">
        <f t="shared" si="3"/>
        <v>1054.3791336841437</v>
      </c>
      <c r="H36" s="27">
        <v>0.39545347089920813</v>
      </c>
      <c r="I36" s="59">
        <f>(B36/('Consumidores Inadimplentes'!B72*1000000))</f>
        <v>4.4286915970626714E-2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2815153</v>
      </c>
      <c r="C37" s="30">
        <v>8662445</v>
      </c>
      <c r="D37" s="30">
        <v>9253086495.2800655</v>
      </c>
      <c r="E37" s="34">
        <f>C37/B37</f>
        <v>3.0770778710784104</v>
      </c>
      <c r="F37" s="43">
        <f t="shared" si="2"/>
        <v>3286.8858265536778</v>
      </c>
      <c r="G37" s="43">
        <f t="shared" si="3"/>
        <v>1068.1841553141251</v>
      </c>
      <c r="H37" s="27">
        <v>0.40378736264445553</v>
      </c>
      <c r="I37" s="59">
        <f>(B37/('Consumidores Inadimplentes'!B73*1000000))</f>
        <v>4.4399512511962176E-2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2851493</v>
      </c>
      <c r="C38" s="30">
        <v>8802618</v>
      </c>
      <c r="D38" s="30">
        <v>9429432825.4400139</v>
      </c>
      <c r="E38" s="34">
        <f t="shared" ref="E38:E45" si="4">C38/B38</f>
        <v>3.0870207291408396</v>
      </c>
      <c r="F38" s="43">
        <f t="shared" si="2"/>
        <v>3306.8406008501561</v>
      </c>
      <c r="G38" s="43">
        <f t="shared" si="3"/>
        <v>1071.207773123861</v>
      </c>
      <c r="H38" s="27">
        <v>0.40871060981808</v>
      </c>
      <c r="I38" s="59">
        <f>(B38/('Consumidores Inadimplentes'!B74*1000000))</f>
        <v>4.4367630952516168E-2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2865130</v>
      </c>
      <c r="C39" s="31">
        <v>8819650</v>
      </c>
      <c r="D39" s="31">
        <v>9346657059.3401012</v>
      </c>
      <c r="E39" s="35">
        <f t="shared" si="4"/>
        <v>3.078272190092596</v>
      </c>
      <c r="F39" s="46">
        <f t="shared" si="2"/>
        <v>3262.2104614241243</v>
      </c>
      <c r="G39" s="46">
        <f t="shared" si="3"/>
        <v>1059.7537384522177</v>
      </c>
      <c r="H39" s="28">
        <v>0.41037489519085363</v>
      </c>
      <c r="I39" s="59">
        <f>(B39/('Consumidores Inadimplentes'!B75*1000000))</f>
        <v>4.4788053009265749E-2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2938605</v>
      </c>
      <c r="C40" s="29">
        <v>9106869</v>
      </c>
      <c r="D40" s="29">
        <v>9711948611.0901184</v>
      </c>
      <c r="E40" s="33">
        <f t="shared" si="4"/>
        <v>3.0990449550041603</v>
      </c>
      <c r="F40" s="45">
        <f t="shared" si="2"/>
        <v>3304.9520473456346</v>
      </c>
      <c r="G40" s="45">
        <f t="shared" si="3"/>
        <v>1066.4421121123098</v>
      </c>
      <c r="H40" s="26">
        <v>0.42060123861458032</v>
      </c>
      <c r="I40" s="59">
        <f>(B40/('Consumidores Inadimplentes'!B76*1000000))</f>
        <v>4.5336639480465769E-2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2944331</v>
      </c>
      <c r="C41" s="30">
        <v>9196132</v>
      </c>
      <c r="D41" s="30">
        <v>9863149204.3500824</v>
      </c>
      <c r="E41" s="34">
        <f t="shared" si="4"/>
        <v>3.1233349783023714</v>
      </c>
      <c r="F41" s="43">
        <f t="shared" si="2"/>
        <v>3349.8778514881928</v>
      </c>
      <c r="G41" s="43">
        <f t="shared" si="3"/>
        <v>1072.5323651672336</v>
      </c>
      <c r="H41" s="27">
        <v>0.42112285850775644</v>
      </c>
      <c r="I41" s="59">
        <f>(B41/('Consumidores Inadimplentes'!B77*1000000))</f>
        <v>4.5179830958656415E-2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2959033</v>
      </c>
      <c r="C42" s="30">
        <v>9246811</v>
      </c>
      <c r="D42" s="30">
        <v>9904573560.1200905</v>
      </c>
      <c r="E42" s="34">
        <f t="shared" si="4"/>
        <v>3.1249435204000768</v>
      </c>
      <c r="F42" s="43">
        <f t="shared" si="2"/>
        <v>3347.2332211638363</v>
      </c>
      <c r="G42" s="43">
        <f t="shared" si="3"/>
        <v>1071.1339898825756</v>
      </c>
      <c r="H42" s="27">
        <v>0.42292647564533803</v>
      </c>
      <c r="I42" s="59">
        <f>(B42/('Consumidores Inadimplentes'!B78*1000000))</f>
        <v>4.5042679860691041E-2</v>
      </c>
    </row>
    <row r="43" spans="1:16" x14ac:dyDescent="0.35">
      <c r="A43" s="5">
        <v>44652</v>
      </c>
      <c r="B43" s="30">
        <v>2977504</v>
      </c>
      <c r="C43" s="30">
        <v>9344913</v>
      </c>
      <c r="D43" s="30">
        <v>10158796599.400043</v>
      </c>
      <c r="E43" s="34">
        <f t="shared" si="4"/>
        <v>3.1385056073812159</v>
      </c>
      <c r="F43" s="43">
        <f t="shared" si="2"/>
        <v>3411.8498579347142</v>
      </c>
      <c r="G43" s="43">
        <f t="shared" si="3"/>
        <v>1087.0937588611091</v>
      </c>
      <c r="H43" s="27">
        <v>0.42526561390418877</v>
      </c>
      <c r="I43" s="59">
        <f>(B43/('Consumidores Inadimplentes'!B79*1000000))</f>
        <v>4.5023193529007667E-2</v>
      </c>
    </row>
    <row r="44" spans="1:16" x14ac:dyDescent="0.35">
      <c r="A44" s="5">
        <v>44682</v>
      </c>
      <c r="B44" s="30">
        <v>2979588</v>
      </c>
      <c r="C44" s="30">
        <v>9372355</v>
      </c>
      <c r="D44" s="30">
        <v>10398459790.430054</v>
      </c>
      <c r="E44" s="34">
        <f t="shared" si="4"/>
        <v>3.1455204545057907</v>
      </c>
      <c r="F44" s="43">
        <f t="shared" si="2"/>
        <v>3489.898533095869</v>
      </c>
      <c r="G44" s="43">
        <f t="shared" si="3"/>
        <v>1109.4820661861459</v>
      </c>
      <c r="H44" s="27">
        <v>0.42526242533864062</v>
      </c>
      <c r="I44" s="59">
        <f>(B44/('Consumidores Inadimplentes'!B80*1000000))</f>
        <v>4.4752119929195359E-2</v>
      </c>
    </row>
    <row r="45" spans="1:16" x14ac:dyDescent="0.35">
      <c r="A45" s="5">
        <v>44713</v>
      </c>
      <c r="B45" s="30">
        <v>2995525</v>
      </c>
      <c r="C45" s="30">
        <v>9450218</v>
      </c>
      <c r="D45" s="30">
        <v>10600952542.4699</v>
      </c>
      <c r="E45" s="34">
        <f t="shared" si="4"/>
        <v>3.154778544662455</v>
      </c>
      <c r="F45" s="43">
        <f t="shared" si="2"/>
        <v>3538.9297510352608</v>
      </c>
      <c r="G45" s="43">
        <f t="shared" si="3"/>
        <v>1121.7680420144698</v>
      </c>
      <c r="H45" s="27">
        <v>0.42723477363948503</v>
      </c>
      <c r="I45" s="59">
        <f>(B45/('Consumidores Inadimplentes'!B81*1000000))</f>
        <v>4.4830689048150872E-2</v>
      </c>
    </row>
    <row r="46" spans="1:16" x14ac:dyDescent="0.35">
      <c r="A46" s="5">
        <v>44743</v>
      </c>
      <c r="B46" s="30">
        <v>3037328</v>
      </c>
      <c r="C46" s="30">
        <v>9585266</v>
      </c>
      <c r="D46" s="30">
        <v>10870970028.189899</v>
      </c>
      <c r="E46" s="34">
        <f t="shared" ref="E46" si="5">C46/B46</f>
        <v>3.1558218276063696</v>
      </c>
      <c r="F46" s="43">
        <f t="shared" ref="F46" si="6">D46/B46</f>
        <v>3579.1228435618082</v>
      </c>
      <c r="G46" s="43">
        <f t="shared" ref="G46" si="7">F46/E46</f>
        <v>1134.1333697145076</v>
      </c>
      <c r="H46" s="27">
        <v>0.43289072649234611</v>
      </c>
      <c r="I46" s="59">
        <f>(B46/('Consumidores Inadimplentes'!B82*1000000))</f>
        <v>4.4909436674544612E-2</v>
      </c>
    </row>
    <row r="47" spans="1:16" x14ac:dyDescent="0.35">
      <c r="A47" s="5">
        <v>44774</v>
      </c>
      <c r="B47" s="30">
        <v>3087534</v>
      </c>
      <c r="C47" s="30">
        <v>9765888</v>
      </c>
      <c r="D47" s="30">
        <v>10956726522.829901</v>
      </c>
      <c r="E47" s="34">
        <f t="shared" ref="E47" si="8">C47/B47</f>
        <v>3.1630058162922254</v>
      </c>
      <c r="F47" s="43">
        <f t="shared" ref="F47" si="9">D47/B47</f>
        <v>3548.6982565471021</v>
      </c>
      <c r="G47" s="43">
        <f t="shared" ref="G47" si="10">F47/E47</f>
        <v>1121.9385807854749</v>
      </c>
      <c r="H47" s="27">
        <v>0.43972469762940081</v>
      </c>
      <c r="I47" s="59">
        <f>(B47/('Consumidores Inadimplentes'!B83*1000000))</f>
        <v>4.5420781652224636E-2</v>
      </c>
    </row>
    <row r="48" spans="1:16" x14ac:dyDescent="0.35">
      <c r="A48" s="5">
        <v>44805</v>
      </c>
      <c r="B48" s="30">
        <v>3139178</v>
      </c>
      <c r="C48" s="30">
        <v>9981384</v>
      </c>
      <c r="D48" s="30">
        <v>11188203127.8799</v>
      </c>
      <c r="E48" s="34">
        <f t="shared" ref="E48" si="11">C48/B48</f>
        <v>3.1796170844724321</v>
      </c>
      <c r="F48" s="43">
        <f t="shared" ref="F48" si="12">D48/B48</f>
        <v>3564.0550258315711</v>
      </c>
      <c r="G48" s="43">
        <f t="shared" ref="G48" si="13">F48/E48</f>
        <v>1120.9069932466177</v>
      </c>
      <c r="H48" s="27">
        <v>0.44675308336788039</v>
      </c>
      <c r="I48" s="59">
        <f>(B48/('Consumidores Inadimplentes'!B84*1000000))</f>
        <v>4.5902435380193403E-2</v>
      </c>
    </row>
    <row r="49" spans="1:16" x14ac:dyDescent="0.35">
      <c r="A49" s="5">
        <v>44835</v>
      </c>
      <c r="B49" s="30">
        <v>3159481</v>
      </c>
      <c r="C49" s="30">
        <v>10033228</v>
      </c>
      <c r="D49" s="30">
        <v>11443322810.179821</v>
      </c>
      <c r="E49" s="34">
        <f t="shared" ref="E49" si="14">C49/B49</f>
        <v>3.1755937130180558</v>
      </c>
      <c r="F49" s="43">
        <f t="shared" ref="F49" si="15">D49/B49</f>
        <v>3621.8995493816296</v>
      </c>
      <c r="G49" s="43">
        <f t="shared" ref="G49" si="16">F49/E49</f>
        <v>1140.5424864440258</v>
      </c>
      <c r="H49" s="27">
        <v>0.44931390158124745</v>
      </c>
      <c r="I49" s="59">
        <f>(B49/('Consumidores Inadimplentes'!B85*1000000))</f>
        <v>4.575202326669818E-2</v>
      </c>
    </row>
    <row r="50" spans="1:16" x14ac:dyDescent="0.35">
      <c r="A50" s="5">
        <v>44866</v>
      </c>
      <c r="B50" s="30">
        <v>3194214</v>
      </c>
      <c r="C50" s="30">
        <v>10195485</v>
      </c>
      <c r="D50" s="30">
        <v>11863806408.489788</v>
      </c>
      <c r="E50" s="34">
        <f t="shared" ref="E50" si="17">C50/B50</f>
        <v>3.1918603449862784</v>
      </c>
      <c r="F50" s="43">
        <f t="shared" ref="F50" si="18">D50/B50</f>
        <v>3714.1551594507405</v>
      </c>
      <c r="G50" s="43">
        <f t="shared" ref="G50" si="19">F50/E50</f>
        <v>1163.6333542239322</v>
      </c>
      <c r="H50" s="27">
        <v>0.45392139642673823</v>
      </c>
      <c r="I50" s="59">
        <f>(B50/('Consumidores Inadimplentes'!B86*1000000))</f>
        <v>4.5739606059453125E-2</v>
      </c>
    </row>
    <row r="51" spans="1:16" ht="15" thickBot="1" x14ac:dyDescent="0.4">
      <c r="A51" s="12">
        <v>44896</v>
      </c>
      <c r="B51" s="31">
        <v>3156205</v>
      </c>
      <c r="C51" s="31">
        <v>10089900</v>
      </c>
      <c r="D51" s="31">
        <v>11850359529.109798</v>
      </c>
      <c r="E51" s="35">
        <f t="shared" ref="E51" si="20">C51/B51</f>
        <v>3.1968455787884502</v>
      </c>
      <c r="F51" s="46">
        <f t="shared" ref="F51" si="21">D51/B51</f>
        <v>3754.6228870145628</v>
      </c>
      <c r="G51" s="46">
        <f t="shared" ref="G51" si="22">F51/E51</f>
        <v>1174.4774010753126</v>
      </c>
      <c r="H51" s="28">
        <v>0.44819228074440526</v>
      </c>
      <c r="I51" s="59">
        <f>(B51/('Consumidores Inadimplentes'!B87*1000000))</f>
        <v>4.5459255280579175E-2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3213346</v>
      </c>
      <c r="C52" s="29">
        <v>10381479</v>
      </c>
      <c r="D52" s="29">
        <v>12375104218.889896</v>
      </c>
      <c r="E52" s="33">
        <f t="shared" ref="E52" si="23">C52/B52</f>
        <v>3.230737990866841</v>
      </c>
      <c r="F52" s="45">
        <f t="shared" ref="F52" si="24">D52/B52</f>
        <v>3851.1583311880813</v>
      </c>
      <c r="G52" s="45">
        <f t="shared" ref="G52" si="25">F52/E52</f>
        <v>1192.0367241401632</v>
      </c>
      <c r="H52" s="26">
        <v>0.45597304358536433</v>
      </c>
      <c r="I52" s="59">
        <f>(B52/('Consumidores Inadimplentes'!B88*1000000))</f>
        <v>4.5844050824093263E-2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3243188</v>
      </c>
      <c r="C53" s="30">
        <v>10497261</v>
      </c>
      <c r="D53" s="30">
        <v>12568513335.949835</v>
      </c>
      <c r="E53" s="34">
        <f t="shared" ref="E53" si="26">C53/B53</f>
        <v>3.2367106069706719</v>
      </c>
      <c r="F53" s="43">
        <f t="shared" ref="F53" si="27">D53/B53</f>
        <v>3875.35762217603</v>
      </c>
      <c r="G53" s="43">
        <f t="shared" ref="G53" si="28">F53/E53</f>
        <v>1197.3135978947114</v>
      </c>
      <c r="H53" s="27">
        <v>0.45987128887799894</v>
      </c>
      <c r="I53" s="59">
        <f>(B53/('Consumidores Inadimplentes'!B89*1000000))</f>
        <v>4.5985091882047233E-2</v>
      </c>
    </row>
    <row r="54" spans="1:16" x14ac:dyDescent="0.35">
      <c r="A54" s="5">
        <v>44986</v>
      </c>
      <c r="B54" s="30">
        <v>3283191</v>
      </c>
      <c r="C54" s="30">
        <v>10671015</v>
      </c>
      <c r="D54" s="30">
        <v>12941242530.309834</v>
      </c>
      <c r="E54" s="34">
        <f t="shared" ref="E54" si="29">C54/B54</f>
        <v>3.2501962267805924</v>
      </c>
      <c r="F54" s="43">
        <f t="shared" ref="F54" si="30">D54/B54</f>
        <v>3941.6660591204818</v>
      </c>
      <c r="G54" s="43">
        <f t="shared" ref="G54" si="31">F54/E54</f>
        <v>1212.7471032802252</v>
      </c>
      <c r="H54" s="27">
        <v>0.46520338038514558</v>
      </c>
      <c r="I54" s="59">
        <f>(B54/('Consumidores Inadimplentes'!B90*1000000))</f>
        <v>4.6433487008438454E-2</v>
      </c>
    </row>
    <row r="55" spans="1:16" x14ac:dyDescent="0.35">
      <c r="A55" s="5">
        <v>45017</v>
      </c>
      <c r="B55" s="30">
        <v>3327564</v>
      </c>
      <c r="C55" s="30">
        <v>10833154</v>
      </c>
      <c r="D55" s="30">
        <v>13251196720.049904</v>
      </c>
      <c r="E55" s="34">
        <f t="shared" ref="E55:E56" si="32">C55/B55</f>
        <v>3.2555809595247456</v>
      </c>
      <c r="F55" s="43">
        <f t="shared" ref="F55:F56" si="33">D55/B55</f>
        <v>3982.2514969058157</v>
      </c>
      <c r="G55" s="43">
        <f t="shared" ref="G55:G56" si="34">F55/E55</f>
        <v>1223.2076383341271</v>
      </c>
      <c r="H55" s="27">
        <v>0.47114616223257394</v>
      </c>
      <c r="I55" s="59">
        <f>(B55/('Consumidores Inadimplentes'!B91*1000000))</f>
        <v>4.657871989609793E-2</v>
      </c>
    </row>
    <row r="56" spans="1:16" x14ac:dyDescent="0.35">
      <c r="A56" s="5">
        <v>45047</v>
      </c>
      <c r="B56" s="30">
        <v>3357275</v>
      </c>
      <c r="C56" s="30">
        <v>10976598</v>
      </c>
      <c r="D56" s="30">
        <v>13509229435.959963</v>
      </c>
      <c r="E56" s="34">
        <f t="shared" si="32"/>
        <v>3.2694962432329793</v>
      </c>
      <c r="F56" s="43">
        <f t="shared" si="33"/>
        <v>4023.8674031647579</v>
      </c>
      <c r="G56" s="43">
        <f t="shared" si="34"/>
        <v>1230.7300892280068</v>
      </c>
      <c r="H56" s="27">
        <v>0.47500553561789877</v>
      </c>
      <c r="I56" s="59">
        <f>(B56/('Consumidores Inadimplentes'!B92*1000000))</f>
        <v>4.6691350836051623E-2</v>
      </c>
    </row>
    <row r="57" spans="1:16" x14ac:dyDescent="0.35">
      <c r="A57" s="5">
        <v>45078</v>
      </c>
      <c r="B57" s="30">
        <v>3351902</v>
      </c>
      <c r="C57" s="30">
        <v>10905466</v>
      </c>
      <c r="D57" s="30">
        <v>13528999271.609886</v>
      </c>
      <c r="E57" s="34">
        <f t="shared" ref="E57" si="35">C57/B57</f>
        <v>3.2535157650790505</v>
      </c>
      <c r="F57" s="43">
        <f t="shared" ref="F57" si="36">D57/B57</f>
        <v>4036.2156386463225</v>
      </c>
      <c r="G57" s="43">
        <f t="shared" ref="G57" si="37">F57/E57</f>
        <v>1240.5704874610481</v>
      </c>
      <c r="H57" s="27">
        <v>0.47389875405660425</v>
      </c>
      <c r="I57" s="59">
        <f>(B57/('Consumidores Inadimplentes'!B93*1000000))</f>
        <v>4.6910233999062946E-2</v>
      </c>
    </row>
    <row r="58" spans="1:16" x14ac:dyDescent="0.35">
      <c r="A58" s="5">
        <v>45108</v>
      </c>
      <c r="B58" s="30">
        <v>3321340</v>
      </c>
      <c r="C58" s="30">
        <v>10780699</v>
      </c>
      <c r="D58" s="30">
        <v>13706912094.78005</v>
      </c>
      <c r="E58" s="34">
        <f t="shared" ref="E58" si="38">C58/B58</f>
        <v>3.2458884064865385</v>
      </c>
      <c r="F58" s="43">
        <f t="shared" ref="F58" si="39">D58/B58</f>
        <v>4126.9222948508886</v>
      </c>
      <c r="G58" s="43">
        <f t="shared" ref="G58" si="40">F58/E58</f>
        <v>1271.4307388398518</v>
      </c>
      <c r="H58" s="27">
        <v>0.46923465222195393</v>
      </c>
      <c r="I58" s="59">
        <f>(B58/('Consumidores Inadimplentes'!B94*1000000))</f>
        <v>4.6504966273769099E-2</v>
      </c>
    </row>
    <row r="59" spans="1:16" x14ac:dyDescent="0.35">
      <c r="A59" s="5">
        <v>45139</v>
      </c>
      <c r="B59" s="30">
        <v>3284596</v>
      </c>
      <c r="C59" s="30">
        <v>10672124</v>
      </c>
      <c r="D59" s="30">
        <v>13623983401.950073</v>
      </c>
      <c r="E59" s="34">
        <f t="shared" ref="E59" si="41">C59/B59</f>
        <v>3.24914357808388</v>
      </c>
      <c r="F59" s="43">
        <f t="shared" ref="F59" si="42">D59/B59</f>
        <v>4147.8414398452878</v>
      </c>
      <c r="G59" s="43">
        <f t="shared" ref="G59" si="43">F59/E59</f>
        <v>1276.5953058594589</v>
      </c>
      <c r="H59" s="27">
        <v>0.46369630184596417</v>
      </c>
      <c r="I59" s="59">
        <f>(B59/('Consumidores Inadimplentes'!B95*1000000))</f>
        <v>4.5785317422858074E-2</v>
      </c>
    </row>
    <row r="60" spans="1:16" x14ac:dyDescent="0.35">
      <c r="A60" s="5">
        <v>45170</v>
      </c>
      <c r="B60" s="30">
        <v>3279079</v>
      </c>
      <c r="C60" s="30">
        <v>10750916</v>
      </c>
      <c r="D60" s="30">
        <v>14543102064.120033</v>
      </c>
      <c r="E60" s="34">
        <f t="shared" ref="E60" si="44">C60/B60</f>
        <v>3.278638910498954</v>
      </c>
      <c r="F60" s="43">
        <f t="shared" ref="F60" si="45">D60/B60</f>
        <v>4435.1179291868339</v>
      </c>
      <c r="G60" s="43">
        <f t="shared" ref="G60" si="46">F60/E60</f>
        <v>1352.7314383369785</v>
      </c>
      <c r="H60" s="27">
        <v>0.46257108561647364</v>
      </c>
      <c r="I60" s="59">
        <f>(B60/('Consumidores Inadimplentes'!B96*1000000))</f>
        <v>4.5655540047959298E-2</v>
      </c>
    </row>
    <row r="61" spans="1:16" x14ac:dyDescent="0.35">
      <c r="A61" s="5">
        <v>45200</v>
      </c>
      <c r="B61" s="30">
        <v>3255780</v>
      </c>
      <c r="C61" s="30">
        <v>10690126</v>
      </c>
      <c r="D61" s="30">
        <v>14859955918.480076</v>
      </c>
      <c r="E61" s="34">
        <f t="shared" ref="E61" si="47">C61/B61</f>
        <v>3.2834300843423083</v>
      </c>
      <c r="F61" s="43">
        <f t="shared" ref="F61" si="48">D61/B61</f>
        <v>4564.1769156638584</v>
      </c>
      <c r="G61" s="43">
        <f t="shared" ref="G61" si="49">F61/E61</f>
        <v>1390.0636829238567</v>
      </c>
      <c r="H61" s="27">
        <v>0.45894070849389473</v>
      </c>
      <c r="I61" s="59">
        <f>(B61/('Consumidores Inadimplentes'!B97*1000000))</f>
        <v>4.5249009645444774E-2</v>
      </c>
    </row>
    <row r="62" spans="1:16" x14ac:dyDescent="0.35">
      <c r="A62" s="5">
        <v>45231</v>
      </c>
      <c r="B62" s="30">
        <v>3237519</v>
      </c>
      <c r="C62" s="30">
        <v>10626277</v>
      </c>
      <c r="D62" s="30">
        <v>14760124897.35008</v>
      </c>
      <c r="E62" s="34">
        <f t="shared" ref="E62" si="50">C62/B62</f>
        <v>3.2822284595086546</v>
      </c>
      <c r="F62" s="43">
        <f t="shared" ref="F62" si="51">D62/B62</f>
        <v>4559.0851813842883</v>
      </c>
      <c r="G62" s="43">
        <f t="shared" ref="G62" si="52">F62/E62</f>
        <v>1389.0212816163253</v>
      </c>
      <c r="H62" s="27">
        <v>0.45602513778921155</v>
      </c>
      <c r="I62" s="59">
        <f>(B62/('Consumidores Inadimplentes'!B98*1000000))</f>
        <v>4.5085192758782616E-2</v>
      </c>
    </row>
    <row r="63" spans="1:16" ht="15" thickBot="1" x14ac:dyDescent="0.4">
      <c r="A63" s="12">
        <v>45261</v>
      </c>
      <c r="B63" s="31">
        <v>3177781</v>
      </c>
      <c r="C63" s="31">
        <v>10368934</v>
      </c>
      <c r="D63" s="31">
        <v>13951768841.380024</v>
      </c>
      <c r="E63" s="35">
        <f t="shared" ref="E63:E64" si="53">C63/B63</f>
        <v>3.262947950157673</v>
      </c>
      <c r="F63" s="46">
        <f t="shared" ref="F63:F64" si="54">D63/B63</f>
        <v>4390.4123164497569</v>
      </c>
      <c r="G63" s="46">
        <f t="shared" ref="G63:G64" si="55">F63/E63</f>
        <v>1345.5355045542797</v>
      </c>
      <c r="H63" s="28">
        <v>0.44727574394978453</v>
      </c>
      <c r="I63" s="59">
        <f>(B63/('Consumidores Inadimplentes'!B99*1000000))</f>
        <v>4.4692995693157586E-2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3295866</v>
      </c>
      <c r="C64" s="29">
        <v>10733069</v>
      </c>
      <c r="D64" s="29">
        <v>14917099666.580107</v>
      </c>
      <c r="E64" s="33">
        <f t="shared" si="53"/>
        <v>3.2565246888071298</v>
      </c>
      <c r="F64" s="45">
        <f t="shared" si="54"/>
        <v>4526.0030797915042</v>
      </c>
      <c r="G64" s="45">
        <f t="shared" si="55"/>
        <v>1389.8261221073028</v>
      </c>
      <c r="H64" s="26">
        <v>0.46354921831257007</v>
      </c>
      <c r="I64" s="59">
        <f>(B64/('Consumidores Inadimplentes'!B100*1000000))</f>
        <v>4.5731572285407251E-2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3301212</v>
      </c>
      <c r="C65" s="30">
        <v>10779713</v>
      </c>
      <c r="D65" s="30">
        <v>14965127813.390133</v>
      </c>
      <c r="E65" s="34">
        <f t="shared" ref="E65" si="56">C65/B65</f>
        <v>3.2653804118002721</v>
      </c>
      <c r="F65" s="43">
        <f t="shared" ref="F65" si="57">D65/B65</f>
        <v>4533.2222872660504</v>
      </c>
      <c r="G65" s="43">
        <f t="shared" ref="G65" si="58">F65/E65</f>
        <v>1388.2677408378249</v>
      </c>
      <c r="H65" s="27">
        <v>0.46395370261451552</v>
      </c>
      <c r="I65" s="59">
        <f>(B65/('Consumidores Inadimplentes'!B101*1000000))</f>
        <v>4.582517730643635E-2</v>
      </c>
    </row>
    <row r="66" spans="1:16" x14ac:dyDescent="0.35">
      <c r="A66" s="5">
        <v>45352</v>
      </c>
      <c r="B66" s="30">
        <v>3359161</v>
      </c>
      <c r="C66" s="30">
        <v>10912016</v>
      </c>
      <c r="D66" s="30">
        <v>15187211964.41017</v>
      </c>
      <c r="E66" s="34">
        <f t="shared" ref="E66" si="59">C66/B66</f>
        <v>3.2484349514655593</v>
      </c>
      <c r="F66" s="43">
        <f t="shared" ref="F66" si="60">D66/B66</f>
        <v>4521.1324983858085</v>
      </c>
      <c r="G66" s="43">
        <f t="shared" ref="G66" si="61">F66/E66</f>
        <v>1391.7879120054599</v>
      </c>
      <c r="H66" s="27">
        <v>0.47174463702331182</v>
      </c>
      <c r="I66" s="59">
        <f>(B66/('Consumidores Inadimplentes'!B102*1000000))</f>
        <v>4.6082299865994596E-2</v>
      </c>
    </row>
    <row r="67" spans="1:16" x14ac:dyDescent="0.35">
      <c r="A67" s="5">
        <v>45383</v>
      </c>
      <c r="B67" s="30">
        <v>3411663</v>
      </c>
      <c r="C67" s="30">
        <v>11155423</v>
      </c>
      <c r="D67" s="30">
        <v>15475812284.370087</v>
      </c>
      <c r="E67" s="34">
        <f t="shared" ref="E67" si="62">C67/B67</f>
        <v>3.2697904218558516</v>
      </c>
      <c r="F67" s="43">
        <f t="shared" ref="F67" si="63">D67/B67</f>
        <v>4536.149169589753</v>
      </c>
      <c r="G67" s="43">
        <f t="shared" ref="G67" si="64">F67/E67</f>
        <v>1387.2904939929292</v>
      </c>
      <c r="H67" s="27">
        <v>0.47875927354435155</v>
      </c>
      <c r="I67" s="59">
        <f>(B67/('Consumidores Inadimplentes'!B103*1000000))</f>
        <v>4.6467897535628813E-2</v>
      </c>
    </row>
    <row r="68" spans="1:16" x14ac:dyDescent="0.35">
      <c r="A68" s="5">
        <v>45413</v>
      </c>
      <c r="B68" s="30">
        <v>3399170</v>
      </c>
      <c r="C68" s="30">
        <v>11116948</v>
      </c>
      <c r="D68" s="30">
        <v>15523395580.860067</v>
      </c>
      <c r="E68" s="34">
        <f t="shared" ref="E68" si="65">C68/B68</f>
        <v>3.2704889723079456</v>
      </c>
      <c r="F68" s="43">
        <f t="shared" ref="F68" si="66">D68/B68</f>
        <v>4566.8194238181868</v>
      </c>
      <c r="G68" s="43">
        <f t="shared" ref="G68" si="67">F68/E68</f>
        <v>1396.3720601067907</v>
      </c>
      <c r="H68" s="27">
        <v>0.47664921283896106</v>
      </c>
      <c r="I68" s="59">
        <f>(B68/('Consumidores Inadimplentes'!B104*1000000))</f>
        <v>4.686225212138969E-2</v>
      </c>
    </row>
    <row r="69" spans="1:16" x14ac:dyDescent="0.35">
      <c r="A69" s="5">
        <v>45444</v>
      </c>
      <c r="B69" s="30">
        <v>3398137</v>
      </c>
      <c r="C69" s="30">
        <v>11046631</v>
      </c>
      <c r="D69" s="30">
        <v>15414904207.780001</v>
      </c>
      <c r="E69" s="34">
        <f t="shared" ref="E69" si="68">C69/B69</f>
        <v>3.2507903595411252</v>
      </c>
      <c r="F69" s="43">
        <f t="shared" ref="F69" si="69">D69/B69</f>
        <v>4536.2809703611128</v>
      </c>
      <c r="G69" s="43">
        <f t="shared" ref="G69" si="70">F69/E69</f>
        <v>1395.439406619086</v>
      </c>
      <c r="H69" s="27">
        <v>0.47614781958172142</v>
      </c>
      <c r="I69" s="59">
        <f>(B69/('Consumidores Inadimplentes'!B105*1000000))</f>
        <v>4.6870123352005043E-2</v>
      </c>
    </row>
    <row r="70" spans="1:16" x14ac:dyDescent="0.35">
      <c r="A70" s="5">
        <v>45474</v>
      </c>
      <c r="B70" s="30">
        <v>3354126</v>
      </c>
      <c r="C70" s="30">
        <v>10794601</v>
      </c>
      <c r="D70" s="30">
        <v>15120344369.99</v>
      </c>
      <c r="E70" s="34">
        <f t="shared" ref="E70" si="71">C70/B70</f>
        <v>3.2183051560972964</v>
      </c>
      <c r="F70" s="43">
        <f t="shared" ref="F70" si="72">D70/B70</f>
        <v>4507.9834120691949</v>
      </c>
      <c r="G70" s="43">
        <f t="shared" ref="G70" si="73">F70/E70</f>
        <v>1400.7321224740035</v>
      </c>
      <c r="H70" s="27">
        <v>0.46962952466988556</v>
      </c>
      <c r="I70" s="59">
        <f>(B70/('Consumidores Inadimplentes'!B106*1000000))</f>
        <v>4.615929842483802E-2</v>
      </c>
    </row>
    <row r="71" spans="1:16" x14ac:dyDescent="0.35">
      <c r="A71" s="5">
        <v>45505</v>
      </c>
      <c r="B71" s="30">
        <v>3335434</v>
      </c>
      <c r="C71" s="30">
        <v>10725863</v>
      </c>
      <c r="D71" s="30">
        <v>15168767607.580223</v>
      </c>
      <c r="E71" s="34">
        <f t="shared" ref="E71" si="74">C71/B71</f>
        <v>3.2157323454758813</v>
      </c>
      <c r="F71" s="43">
        <f t="shared" ref="F71" si="75">D71/B71</f>
        <v>4547.7642812240392</v>
      </c>
      <c r="G71" s="43">
        <f t="shared" ref="G71" si="76">F71/E71</f>
        <v>1414.2235088757168</v>
      </c>
      <c r="H71" s="27">
        <v>0.46668622716001085</v>
      </c>
      <c r="I71" s="59">
        <f>(B71/('Consumidores Inadimplentes'!B107*1000000))</f>
        <v>4.6029769312530305E-2</v>
      </c>
    </row>
    <row r="72" spans="1:16" x14ac:dyDescent="0.35">
      <c r="A72" s="5">
        <v>45536</v>
      </c>
      <c r="B72" s="30">
        <v>3336554</v>
      </c>
      <c r="C72" s="30">
        <v>10708635</v>
      </c>
      <c r="D72" s="30">
        <v>15374669200.470289</v>
      </c>
      <c r="E72" s="34">
        <f t="shared" ref="E72" si="77">C72/B72</f>
        <v>3.2094894912535508</v>
      </c>
      <c r="F72" s="43">
        <f t="shared" ref="F72" si="78">D72/B72</f>
        <v>4607.948560242181</v>
      </c>
      <c r="G72" s="43">
        <f t="shared" ref="G72" si="79">F72/E72</f>
        <v>1435.7263274423201</v>
      </c>
      <c r="H72" s="27">
        <v>0.46651695673955434</v>
      </c>
      <c r="I72" s="59">
        <f>(B72/('Consumidores Inadimplentes'!B108*1000000))</f>
        <v>4.593151894127917E-2</v>
      </c>
    </row>
    <row r="73" spans="1:16" x14ac:dyDescent="0.35">
      <c r="A73" s="5">
        <v>45566</v>
      </c>
      <c r="B73" s="30">
        <v>3361406</v>
      </c>
      <c r="C73" s="30">
        <v>10782278</v>
      </c>
      <c r="D73" s="30">
        <v>15677118121.15033</v>
      </c>
      <c r="E73" s="34">
        <f t="shared" ref="E73" si="80">C73/B73</f>
        <v>3.20766905277137</v>
      </c>
      <c r="F73" s="43">
        <f t="shared" ref="F73" si="81">D73/B73</f>
        <v>4663.857362410351</v>
      </c>
      <c r="G73" s="43">
        <f t="shared" ref="G73" si="82">F73/E73</f>
        <v>1453.9708697132767</v>
      </c>
      <c r="H73" s="27">
        <v>0.46966355276775307</v>
      </c>
      <c r="I73" s="59">
        <f>(B73/('Consumidores Inadimplentes'!B109*1000000))</f>
        <v>4.5981156432090782E-2</v>
      </c>
    </row>
    <row r="74" spans="1:16" x14ac:dyDescent="0.35">
      <c r="A74" s="5">
        <v>45597</v>
      </c>
      <c r="B74" s="30">
        <v>3392059</v>
      </c>
      <c r="C74" s="30">
        <v>10800891</v>
      </c>
      <c r="D74" s="30">
        <v>15824346999.2103</v>
      </c>
      <c r="E74" s="34">
        <f t="shared" ref="E74" si="83">C74/B74</f>
        <v>3.1841695560130292</v>
      </c>
      <c r="F74" s="43">
        <f t="shared" ref="F74" si="84">D74/B74</f>
        <v>4665.1154945153667</v>
      </c>
      <c r="G74" s="43">
        <f t="shared" ref="G74" si="85">F74/E74</f>
        <v>1465.0964442850409</v>
      </c>
      <c r="H74" s="27">
        <v>0.47361552247875327</v>
      </c>
      <c r="I74" s="59">
        <f>(B74/('Consumidores Inadimplentes'!B110*1000000))</f>
        <v>4.5969839268548016E-2</v>
      </c>
    </row>
    <row r="75" spans="1:16" ht="15" thickBot="1" x14ac:dyDescent="0.4">
      <c r="A75" s="12">
        <v>45627</v>
      </c>
      <c r="B75" s="31">
        <v>3222614</v>
      </c>
      <c r="C75" s="31">
        <v>9224713</v>
      </c>
      <c r="D75" s="31">
        <v>15426633972.670315</v>
      </c>
      <c r="E75" s="35">
        <f t="shared" ref="E75" si="86">C75/B75</f>
        <v>2.8624939257385464</v>
      </c>
      <c r="F75" s="46">
        <f t="shared" ref="F75" si="87">D75/B75</f>
        <v>4786.9940280375849</v>
      </c>
      <c r="G75" s="46">
        <f t="shared" ref="G75" si="88">F75/E75</f>
        <v>1672.3158728808489</v>
      </c>
      <c r="H75" s="28">
        <v>0.44964257993204182</v>
      </c>
      <c r="I75" s="59">
        <f>(B75/('Consumidores Inadimplentes'!B111*1000000))</f>
        <v>4.3837780945685079E-2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3308562</v>
      </c>
      <c r="C76" s="29">
        <v>9548336</v>
      </c>
      <c r="D76" s="29">
        <v>15997688284.990353</v>
      </c>
      <c r="E76" s="33">
        <f t="shared" ref="E76:E77" si="89">C76/B76</f>
        <v>2.8859474297292902</v>
      </c>
      <c r="F76" s="45">
        <f t="shared" ref="F76:F77" si="90">D76/B76</f>
        <v>4835.2390812051735</v>
      </c>
      <c r="G76" s="45">
        <f t="shared" ref="G76:G77" si="91">F76/E76</f>
        <v>1675.4425362691836</v>
      </c>
      <c r="H76" s="26">
        <v>0.46131232776055431</v>
      </c>
      <c r="I76" s="59">
        <f>(B76/('Consumidores Inadimplentes'!B112*1000000))</f>
        <v>4.4348964706660117E-2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3385475</v>
      </c>
      <c r="C77" s="30">
        <v>10007315</v>
      </c>
      <c r="D77" s="30">
        <v>16965905099.000366</v>
      </c>
      <c r="E77" s="34">
        <f t="shared" si="89"/>
        <v>2.9559559589127078</v>
      </c>
      <c r="F77" s="43">
        <f t="shared" si="90"/>
        <v>5011.3810023705291</v>
      </c>
      <c r="G77" s="43">
        <f t="shared" si="91"/>
        <v>1695.3503611108843</v>
      </c>
      <c r="H77" s="27">
        <v>0.47170665718091082</v>
      </c>
      <c r="I77" s="59">
        <f>(B77/('Consumidores Inadimplentes'!B113*1000000))</f>
        <v>4.5137628251374837E-2</v>
      </c>
    </row>
    <row r="78" spans="1:16" x14ac:dyDescent="0.35">
      <c r="A78" s="5">
        <v>45717</v>
      </c>
      <c r="B78" s="30">
        <v>3457632</v>
      </c>
      <c r="C78" s="30">
        <v>10088248</v>
      </c>
      <c r="D78" s="30">
        <v>16784713881.470303</v>
      </c>
      <c r="E78" s="34">
        <f t="shared" ref="E78" si="92">C78/B78</f>
        <v>2.9176754495562283</v>
      </c>
      <c r="F78" s="43">
        <f t="shared" ref="F78" si="93">D78/B78</f>
        <v>4854.3956908862201</v>
      </c>
      <c r="G78" s="43">
        <f t="shared" ref="G78" si="94">F78/E78</f>
        <v>1663.7887848782368</v>
      </c>
      <c r="H78" s="27">
        <v>0.4814240753251281</v>
      </c>
      <c r="I78" s="59">
        <f>(B78/('Consumidores Inadimplentes'!B114*1000000))</f>
        <v>4.5633541007400455E-2</v>
      </c>
    </row>
    <row r="79" spans="1:16" x14ac:dyDescent="0.35">
      <c r="A79" s="5">
        <v>45748</v>
      </c>
      <c r="B79" s="30">
        <v>3454070</v>
      </c>
      <c r="C79" s="30">
        <v>10270849</v>
      </c>
      <c r="D79" s="30">
        <v>17422935535</v>
      </c>
      <c r="E79" s="34">
        <f t="shared" ref="E79" si="95">C79/B79</f>
        <v>2.9735497543477694</v>
      </c>
      <c r="F79" s="43">
        <f t="shared" ref="F79" si="96">D79/B79</f>
        <v>5044.175576928088</v>
      </c>
      <c r="G79" s="43">
        <f t="shared" ref="G79" si="97">F79/E79</f>
        <v>1696.3481339273901</v>
      </c>
      <c r="H79" s="27">
        <v>0.48059227135910382</v>
      </c>
      <c r="I79" s="59">
        <f>(B79/('Consumidores Inadimplentes'!B115*1000000))</f>
        <v>4.506962692173732E-2</v>
      </c>
    </row>
    <row r="80" spans="1:16" x14ac:dyDescent="0.35">
      <c r="A80" s="5">
        <v>45778</v>
      </c>
      <c r="B80" s="30">
        <v>3537463</v>
      </c>
      <c r="C80" s="30">
        <v>10559713</v>
      </c>
      <c r="D80" s="30">
        <v>17739925616</v>
      </c>
      <c r="E80" s="34">
        <f t="shared" ref="E80" si="98">C80/B80</f>
        <v>2.9851091022012102</v>
      </c>
      <c r="F80" s="43">
        <f t="shared" ref="F80" si="99">D80/B80</f>
        <v>5014.8724144959251</v>
      </c>
      <c r="G80" s="43">
        <f t="shared" ref="G80" si="100">F80/E80</f>
        <v>1679.9628565662722</v>
      </c>
      <c r="H80" s="27">
        <v>0.49185172187444254</v>
      </c>
      <c r="I80" s="59">
        <f>(B80/('Consumidores Inadimplentes'!B116*1000000))</f>
        <v>4.5897993416050491E-2</v>
      </c>
    </row>
    <row r="81" spans="1:16" x14ac:dyDescent="0.35">
      <c r="A81" s="5">
        <v>45809</v>
      </c>
      <c r="B81" s="30">
        <v>3548133</v>
      </c>
      <c r="C81" s="30">
        <v>10647913</v>
      </c>
      <c r="D81" s="30">
        <v>18151583954</v>
      </c>
      <c r="E81" s="34">
        <f t="shared" ref="E81" si="101">C81/B81</f>
        <v>3.0009903800111215</v>
      </c>
      <c r="F81" s="43">
        <f t="shared" ref="F81" si="102">D81/B81</f>
        <v>5115.8127257349142</v>
      </c>
      <c r="G81" s="43">
        <f t="shared" ref="G81" si="103">F81/E81</f>
        <v>1704.7081389564319</v>
      </c>
      <c r="H81" s="27">
        <v>0.49299077594367446</v>
      </c>
      <c r="I81" s="59">
        <f>(B81/('Consumidores Inadimplentes'!B117*1000000))</f>
        <v>4.5562135093626617E-2</v>
      </c>
    </row>
    <row r="82" spans="1:16" x14ac:dyDescent="0.35">
      <c r="A82" s="5">
        <v>45839</v>
      </c>
      <c r="B82" s="30">
        <v>3581804</v>
      </c>
      <c r="C82" s="30">
        <v>10767929</v>
      </c>
      <c r="D82" s="30">
        <v>18244836660</v>
      </c>
      <c r="E82" s="34">
        <f t="shared" ref="E82" si="104">C82/B82</f>
        <v>3.0062864969719167</v>
      </c>
      <c r="F82" s="43">
        <f t="shared" ref="F82" si="105">D82/B82</f>
        <v>5093.7562915223725</v>
      </c>
      <c r="G82" s="43">
        <f t="shared" ref="G82" si="106">F82/E82</f>
        <v>1694.3682169523963</v>
      </c>
      <c r="H82" s="27">
        <v>0.49732164725497308</v>
      </c>
      <c r="I82" s="59">
        <f>(B82/('Consumidores Inadimplentes'!B118*1000000))</f>
        <v>4.5825866125238507E-2</v>
      </c>
    </row>
    <row r="83" spans="1:16" x14ac:dyDescent="0.35">
      <c r="A83" s="5">
        <v>45870</v>
      </c>
      <c r="B83" s="30">
        <v>3588749</v>
      </c>
      <c r="C83" s="30">
        <v>10840881</v>
      </c>
      <c r="D83" s="30">
        <v>18546581982</v>
      </c>
      <c r="E83" s="34">
        <f t="shared" ref="E83" si="107">C83/B83</f>
        <v>3.0207966620123057</v>
      </c>
      <c r="F83" s="43">
        <f t="shared" ref="F83" si="108">D83/B83</f>
        <v>5167.9797004471475</v>
      </c>
      <c r="G83" s="43">
        <f t="shared" ref="G83" si="109">F83/E83</f>
        <v>1710.8002552560074</v>
      </c>
      <c r="H83" s="27">
        <v>0.49794481070252455</v>
      </c>
      <c r="I83" s="59">
        <f>(B83/('Consumidores Inadimplentes'!B119*1000000))</f>
        <v>4.5514288649739602E-2</v>
      </c>
    </row>
    <row r="84" spans="1:16" x14ac:dyDescent="0.35">
      <c r="A84" s="5">
        <v>45901</v>
      </c>
      <c r="B84" s="30">
        <v>3580541</v>
      </c>
      <c r="C84" s="30">
        <v>10720127</v>
      </c>
      <c r="D84" s="30">
        <v>18413224304</v>
      </c>
      <c r="E84" s="34">
        <f>IFERROR(C84/B84,"")</f>
        <v>2.9939964379684523</v>
      </c>
      <c r="F84" s="43">
        <f>IFERROR(D84/B84,"")</f>
        <v>5142.5816109911884</v>
      </c>
      <c r="G84" s="43">
        <f>IFERROR(F84/E84,"")</f>
        <v>1717.6311720933904</v>
      </c>
      <c r="H84" s="27">
        <v>0.49646584976634273</v>
      </c>
      <c r="I84" s="59">
        <f>(B84/('Consumidores Inadimplentes'!B120*1000000))</f>
        <v>4.5227723305553053E-2</v>
      </c>
    </row>
    <row r="85" spans="1:16" x14ac:dyDescent="0.35">
      <c r="A85" s="5">
        <v>45931</v>
      </c>
      <c r="B85" s="30">
        <v>3634349</v>
      </c>
      <c r="C85" s="30">
        <v>11023661</v>
      </c>
      <c r="D85" s="30">
        <v>18790446988</v>
      </c>
      <c r="E85" s="34">
        <f t="shared" ref="E85:E87" si="110">IFERROR(C85/B85,"")</f>
        <v>3.0331872365587342</v>
      </c>
      <c r="F85" s="43">
        <f t="shared" ref="F85:F87" si="111">IFERROR(D85/B85,"")</f>
        <v>5170.2373624547336</v>
      </c>
      <c r="G85" s="43">
        <f t="shared" ref="G85:G87" si="112">IFERROR(F85/E85,"")</f>
        <v>1704.5559535983555</v>
      </c>
      <c r="H85" s="27">
        <v>0.50358168213939314</v>
      </c>
      <c r="I85" s="59">
        <f>(B85/('Consumidores Inadimplentes'!B121*1000000))</f>
        <v>4.518281568877186E-2</v>
      </c>
    </row>
    <row r="86" spans="1:16" x14ac:dyDescent="0.35">
      <c r="A86" s="5">
        <v>45962</v>
      </c>
      <c r="B86" s="30">
        <v>3606295</v>
      </c>
      <c r="C86" s="30">
        <v>10801486</v>
      </c>
      <c r="D86" s="30">
        <v>18352742538</v>
      </c>
      <c r="E86" s="34">
        <f t="shared" si="110"/>
        <v>2.9951753808271371</v>
      </c>
      <c r="F86" s="43">
        <f t="shared" si="111"/>
        <v>5089.0852073942924</v>
      </c>
      <c r="G86" s="43">
        <f t="shared" si="112"/>
        <v>1699.0942299976132</v>
      </c>
      <c r="H86" s="27">
        <v>0.49935239043670238</v>
      </c>
      <c r="I86" s="59">
        <f>(B86/('Consumidores Inadimplentes'!B122*1000000))</f>
        <v>4.4737637946203758E-2</v>
      </c>
    </row>
    <row r="87" spans="1:16" ht="15" thickBot="1" x14ac:dyDescent="0.4">
      <c r="A87" s="12">
        <v>45992</v>
      </c>
      <c r="B87" s="31">
        <v>3631169</v>
      </c>
      <c r="C87" s="31">
        <v>10974290</v>
      </c>
      <c r="D87" s="31">
        <v>18682842764</v>
      </c>
      <c r="E87" s="35">
        <f t="shared" si="110"/>
        <v>3.0222471055464508</v>
      </c>
      <c r="F87" s="46">
        <f t="shared" si="111"/>
        <v>5145.131709375135</v>
      </c>
      <c r="G87" s="46">
        <f t="shared" si="112"/>
        <v>1702.4192694014828</v>
      </c>
      <c r="H87" s="28">
        <v>0.50245236818261574</v>
      </c>
      <c r="I87" s="59">
        <f>(B87/('Consumidores Inadimplentes'!B123*1000000))</f>
        <v>4.4692402088932243E-2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3618709</v>
      </c>
      <c r="C88" s="29">
        <v>10874905</v>
      </c>
      <c r="D88" s="29">
        <v>18237836545</v>
      </c>
      <c r="E88" s="33">
        <f t="shared" ref="E88:E89" si="113">IFERROR(C88/B88,"")</f>
        <v>3.0051891434210378</v>
      </c>
      <c r="F88" s="45">
        <f t="shared" ref="F88:F89" si="114">IFERROR(D88/B88,"")</f>
        <v>5039.8737629911666</v>
      </c>
      <c r="G88" s="45">
        <f t="shared" ref="G88:G89" si="115">IFERROR(F88/E88,"")</f>
        <v>1677.0570910734393</v>
      </c>
      <c r="H88" s="26">
        <v>0.50038544808010899</v>
      </c>
      <c r="I88" s="59">
        <f>(B88/('Consumidores Inadimplentes'!B124*1000000))</f>
        <v>4.4499983786143449E-2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3638426</v>
      </c>
      <c r="C89" s="30">
        <v>11069946</v>
      </c>
      <c r="D89" s="30">
        <v>18711938129</v>
      </c>
      <c r="E89" s="34">
        <f t="shared" si="113"/>
        <v>3.0425095906856425</v>
      </c>
      <c r="F89" s="43">
        <f t="shared" si="114"/>
        <v>5142.8662089046202</v>
      </c>
      <c r="G89" s="43">
        <f t="shared" si="115"/>
        <v>1690.3368931519633</v>
      </c>
      <c r="H89" s="27">
        <v>0.50276745361241992</v>
      </c>
      <c r="I89" s="59">
        <f>(B89/('Consumidores Inadimplentes'!B125*1000000))</f>
        <v>4.4516587620434596E-2</v>
      </c>
    </row>
    <row r="90" spans="1:16" x14ac:dyDescent="0.35">
      <c r="A90" s="5">
        <v>46082</v>
      </c>
      <c r="B90" s="30">
        <v>3679641</v>
      </c>
      <c r="C90" s="30">
        <v>11365343</v>
      </c>
      <c r="D90" s="30">
        <v>19338816501</v>
      </c>
      <c r="E90" s="34">
        <f t="shared" ref="E90" si="116">IFERROR(C90/B90,"")</f>
        <v>3.0887097409774484</v>
      </c>
      <c r="F90" s="43">
        <f t="shared" ref="F90" si="117">IFERROR(D90/B90,"")</f>
        <v>5255.625888775563</v>
      </c>
      <c r="G90" s="43">
        <f t="shared" ref="G90" si="118">IFERROR(F90/E90,"")</f>
        <v>1701.5603049551607</v>
      </c>
      <c r="H90" s="27">
        <v>0.50811453853382227</v>
      </c>
      <c r="I90" s="59">
        <f>(B90/('Consumidores Inadimplentes'!B126*1000000))</f>
        <v>4.4422677086941642E-2</v>
      </c>
    </row>
    <row r="91" spans="1:16" x14ac:dyDescent="0.35">
      <c r="A91" s="5">
        <v>46113</v>
      </c>
      <c r="B91" s="30">
        <v>3649883</v>
      </c>
      <c r="C91" s="30">
        <v>11402046</v>
      </c>
      <c r="D91" s="30">
        <v>19438124543</v>
      </c>
      <c r="E91" s="34">
        <f t="shared" ref="E91" si="119">IFERROR(C91/B91,"")</f>
        <v>3.1239483567007489</v>
      </c>
      <c r="F91" s="43">
        <f t="shared" ref="F91" si="120">IFERROR(D91/B91,"")</f>
        <v>5325.6842871401632</v>
      </c>
      <c r="G91" s="43">
        <f t="shared" ref="G91" si="121">IFERROR(F91/E91,"")</f>
        <v>1704.7926786999458</v>
      </c>
      <c r="H91" s="27">
        <v>0.503660278669676</v>
      </c>
      <c r="I91" s="59">
        <f>(B91/('Consumidores Inadimplentes'!B127*1000000))</f>
        <v>4.3769257291760302E-2</v>
      </c>
    </row>
    <row r="92" spans="1:16" x14ac:dyDescent="0.35">
      <c r="A92" s="5">
        <v>46143</v>
      </c>
      <c r="B92" s="30">
        <v>3652032</v>
      </c>
      <c r="C92" s="30">
        <v>11387878</v>
      </c>
      <c r="D92" s="30">
        <v>19544729011</v>
      </c>
      <c r="E92" s="34">
        <f t="shared" ref="E92" si="122">IFERROR(C92/B92,"")</f>
        <v>3.1182306179135342</v>
      </c>
      <c r="F92" s="43">
        <f t="shared" ref="F92" si="123">IFERROR(D92/B92,"")</f>
        <v>5351.7408968486588</v>
      </c>
      <c r="G92" s="43">
        <f t="shared" ref="G92" si="124">IFERROR(F92/E92,"")</f>
        <v>1716.2748855405723</v>
      </c>
      <c r="H92" s="27">
        <v>0.50361178325411726</v>
      </c>
      <c r="I92" s="59">
        <f>(B92/('Consumidores Inadimplentes'!B128*1000000))</f>
        <v>4.3735419508935058E-2</v>
      </c>
    </row>
    <row r="93" spans="1:16" x14ac:dyDescent="0.35">
      <c r="A93" s="5">
        <v>46174</v>
      </c>
      <c r="B93" s="30">
        <v>3642966</v>
      </c>
      <c r="C93" s="30">
        <v>11376848</v>
      </c>
      <c r="D93" s="30">
        <v>19634323612</v>
      </c>
      <c r="E93" s="34">
        <f t="shared" ref="E93" si="125">IFERROR(C93/B93,"")</f>
        <v>3.1229629922431337</v>
      </c>
      <c r="F93" s="43">
        <f t="shared" ref="F93" si="126">IFERROR(D93/B93,"")</f>
        <v>5389.6532693415202</v>
      </c>
      <c r="G93" s="43">
        <f t="shared" ref="G93" si="127">IFERROR(F93/E93,"")</f>
        <v>1725.8140050741647</v>
      </c>
      <c r="H93" s="27">
        <v>0.50201766683217008</v>
      </c>
      <c r="I93" s="59">
        <f>(B93/('Consumidores Inadimplentes'!B129*1000000))</f>
        <v>4.3504546398891591E-2</v>
      </c>
    </row>
    <row r="94" spans="1:16" x14ac:dyDescent="0.35">
      <c r="A94" s="5">
        <v>46204</v>
      </c>
      <c r="B94" s="30">
        <v>3669019</v>
      </c>
      <c r="C94" s="30">
        <v>11557785</v>
      </c>
      <c r="D94" s="30">
        <v>19966313879</v>
      </c>
      <c r="E94" s="34">
        <f t="shared" ref="E94" si="128">IFERROR(C94/B94,"")</f>
        <v>3.1501022480395986</v>
      </c>
      <c r="F94" s="43">
        <f t="shared" ref="F94" si="129">IFERROR(D94/B94,"")</f>
        <v>5441.8671255177478</v>
      </c>
      <c r="G94" s="43">
        <f t="shared" ref="G94" si="130">IFERROR(F94/E94,"")</f>
        <v>1727.5207904455742</v>
      </c>
      <c r="H94" s="27">
        <v>0.50526177354364454</v>
      </c>
      <c r="I94" s="59">
        <f>(B94/('Consumidores Inadimplentes'!B130*1000000))</f>
        <v>4.3714228000842299E-2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D332-5276-4FDD-ADC3-A7B420D5FBF4}">
  <sheetPr codeName="Planilha23"/>
  <dimension ref="A1:P99"/>
  <sheetViews>
    <sheetView zoomScale="90" zoomScaleNormal="90" workbookViewId="0">
      <pane xSplit="1" ySplit="3" topLeftCell="B84" activePane="bottomRight" state="frozen"/>
      <selection activeCell="H93" sqref="H93"/>
      <selection pane="topRight" activeCell="H93" sqref="H93"/>
      <selection pane="bottomLeft" activeCell="H93" sqref="H93"/>
      <selection pane="bottomRight" activeCell="I1" sqref="I1:I104857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36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808877</v>
      </c>
      <c r="C4" s="29">
        <v>4305345</v>
      </c>
      <c r="D4" s="29">
        <v>2136525344.2199938</v>
      </c>
      <c r="E4" s="33">
        <f t="shared" ref="E4:E33" si="0">C4/B4</f>
        <v>5.322620126422188</v>
      </c>
      <c r="F4" s="45">
        <f>D4/B4</f>
        <v>2641.3476266725274</v>
      </c>
      <c r="G4" s="45">
        <f t="shared" ref="G4" si="1">F4/E4</f>
        <v>496.24950944000864</v>
      </c>
      <c r="H4" s="26">
        <v>0.3404164638135056</v>
      </c>
      <c r="I4" s="58">
        <f>(B4/('Consumidores Inadimplentes'!B40*1000000))</f>
        <v>1.3009391716202754E-2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810891</v>
      </c>
      <c r="C5" s="30">
        <v>4293866</v>
      </c>
      <c r="D5" s="30">
        <v>2111142645.5999918</v>
      </c>
      <c r="E5" s="34">
        <f t="shared" si="0"/>
        <v>5.2952443669987703</v>
      </c>
      <c r="F5" s="43">
        <f t="shared" ref="F5:F45" si="2">D5/B5</f>
        <v>2603.4851115624565</v>
      </c>
      <c r="G5" s="43">
        <f t="shared" ref="G5:G45" si="3">F5/E5</f>
        <v>491.66477146701641</v>
      </c>
      <c r="H5" s="27">
        <v>0.34085208739225026</v>
      </c>
      <c r="I5" s="59">
        <f>(B5/('Consumidores Inadimplentes'!B41*1000000))</f>
        <v>1.3042514678782169E-2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819568</v>
      </c>
      <c r="C6" s="30">
        <v>4309227</v>
      </c>
      <c r="D6" s="30">
        <v>2162373012.9399924</v>
      </c>
      <c r="E6" s="34">
        <f t="shared" si="0"/>
        <v>5.2579249067801577</v>
      </c>
      <c r="F6" s="43">
        <f t="shared" si="2"/>
        <v>2638.4302619672712</v>
      </c>
      <c r="G6" s="43">
        <f t="shared" si="3"/>
        <v>501.80067398166597</v>
      </c>
      <c r="H6" s="27">
        <v>0.34404874001208735</v>
      </c>
      <c r="I6" s="59">
        <f>(B6/('Consumidores Inadimplentes'!B42*1000000))</f>
        <v>1.3017264066099279E-2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816944</v>
      </c>
      <c r="C7" s="30">
        <v>4255901</v>
      </c>
      <c r="D7" s="30">
        <v>2156984738.4799967</v>
      </c>
      <c r="E7" s="34">
        <f t="shared" si="0"/>
        <v>5.2095382302826145</v>
      </c>
      <c r="F7" s="43">
        <f t="shared" si="2"/>
        <v>2640.3091747781937</v>
      </c>
      <c r="G7" s="43">
        <f t="shared" si="3"/>
        <v>506.8221132211479</v>
      </c>
      <c r="H7" s="27">
        <v>0.34228165253364534</v>
      </c>
      <c r="I7" s="59">
        <f>(B7/('Consumidores Inadimplentes'!B43*1000000))</f>
        <v>1.2925223925473208E-2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831228</v>
      </c>
      <c r="C8" s="30">
        <v>4239080</v>
      </c>
      <c r="D8" s="30">
        <v>2190588415.9799995</v>
      </c>
      <c r="E8" s="34">
        <f t="shared" si="0"/>
        <v>5.099780084405241</v>
      </c>
      <c r="F8" s="43">
        <f t="shared" si="2"/>
        <v>2635.3640829952787</v>
      </c>
      <c r="G8" s="43">
        <f t="shared" si="3"/>
        <v>516.76033855930996</v>
      </c>
      <c r="H8" s="27">
        <v>0.34577416655594478</v>
      </c>
      <c r="I8" s="59">
        <f>(B8/('Consumidores Inadimplentes'!B44*1000000))</f>
        <v>1.3116102520474324E-2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819305</v>
      </c>
      <c r="C9" s="30">
        <v>4150187</v>
      </c>
      <c r="D9" s="30">
        <v>2178498058.1799922</v>
      </c>
      <c r="E9" s="34">
        <f t="shared" si="0"/>
        <v>5.0654969760955932</v>
      </c>
      <c r="F9" s="43">
        <f t="shared" si="2"/>
        <v>2658.9585785269128</v>
      </c>
      <c r="G9" s="43">
        <f t="shared" si="3"/>
        <v>524.91563830256132</v>
      </c>
      <c r="H9" s="27">
        <v>0.34173441035323798</v>
      </c>
      <c r="I9" s="59">
        <f>(B9/('Consumidores Inadimplentes'!B45*1000000))</f>
        <v>1.2912490115732747E-2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816215</v>
      </c>
      <c r="C10" s="30">
        <v>4082538</v>
      </c>
      <c r="D10" s="30">
        <v>2169875901.3399978</v>
      </c>
      <c r="E10" s="34">
        <f t="shared" si="0"/>
        <v>5.0017924198893677</v>
      </c>
      <c r="F10" s="43">
        <f t="shared" si="2"/>
        <v>2658.4611914017723</v>
      </c>
      <c r="G10" s="43">
        <f t="shared" si="3"/>
        <v>531.5017034354604</v>
      </c>
      <c r="H10" s="27">
        <v>0.33975286967198226</v>
      </c>
      <c r="I10" s="59">
        <f>(B10/('Consumidores Inadimplentes'!B46*1000000))</f>
        <v>1.2861198920296824E-2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817944</v>
      </c>
      <c r="C11" s="30">
        <v>4009098</v>
      </c>
      <c r="D11" s="30">
        <v>2213709938.5899944</v>
      </c>
      <c r="E11" s="34">
        <f t="shared" si="0"/>
        <v>4.9014333499603886</v>
      </c>
      <c r="F11" s="43">
        <f t="shared" si="2"/>
        <v>2706.4321501105142</v>
      </c>
      <c r="G11" s="43">
        <f t="shared" si="3"/>
        <v>552.17157041059966</v>
      </c>
      <c r="H11" s="27">
        <v>0.3396319018404908</v>
      </c>
      <c r="I11" s="59">
        <f>(B11/('Consumidores Inadimplentes'!B47*1000000))</f>
        <v>1.2895642092359331E-2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812916</v>
      </c>
      <c r="C12" s="30">
        <v>3939522</v>
      </c>
      <c r="D12" s="30">
        <v>2181425076.7099981</v>
      </c>
      <c r="E12" s="34">
        <f t="shared" si="0"/>
        <v>4.8461612269902421</v>
      </c>
      <c r="F12" s="43">
        <f t="shared" si="2"/>
        <v>2683.456933693024</v>
      </c>
      <c r="G12" s="43">
        <f t="shared" si="3"/>
        <v>553.72836519506643</v>
      </c>
      <c r="H12" s="27">
        <v>0.33720936020667719</v>
      </c>
      <c r="I12" s="59">
        <f>(B12/('Consumidores Inadimplentes'!B48*1000000))</f>
        <v>1.2861249999980224E-2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815206</v>
      </c>
      <c r="C13" s="30">
        <v>3896691</v>
      </c>
      <c r="D13" s="30">
        <v>2201915082.8299975</v>
      </c>
      <c r="E13" s="34">
        <f t="shared" si="0"/>
        <v>4.780007752641664</v>
      </c>
      <c r="F13" s="43">
        <f t="shared" si="2"/>
        <v>2701.0535776601223</v>
      </c>
      <c r="G13" s="43">
        <f t="shared" si="3"/>
        <v>565.07305373456541</v>
      </c>
      <c r="H13" s="27">
        <v>0.33782394413182332</v>
      </c>
      <c r="I13" s="59">
        <f>(B13/('Consumidores Inadimplentes'!B49*1000000))</f>
        <v>1.2767235680465004E-2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782587</v>
      </c>
      <c r="C14" s="30">
        <v>3680960</v>
      </c>
      <c r="D14" s="30">
        <v>2167677373.4000025</v>
      </c>
      <c r="E14" s="34">
        <f t="shared" si="0"/>
        <v>4.7035792825589997</v>
      </c>
      <c r="F14" s="43">
        <f t="shared" si="2"/>
        <v>2769.8867645386422</v>
      </c>
      <c r="G14" s="43">
        <f t="shared" si="3"/>
        <v>588.88914125662939</v>
      </c>
      <c r="H14" s="27">
        <v>0.32398497373632995</v>
      </c>
      <c r="I14" s="59">
        <f>(B14/('Consumidores Inadimplentes'!B50*1000000))</f>
        <v>1.225838242302341E-2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781123</v>
      </c>
      <c r="C15" s="31">
        <v>3611949</v>
      </c>
      <c r="D15" s="31">
        <v>2156378022.7300029</v>
      </c>
      <c r="E15" s="35">
        <f t="shared" si="0"/>
        <v>4.6240464049835941</v>
      </c>
      <c r="F15" s="43">
        <f t="shared" si="2"/>
        <v>2760.6126342842331</v>
      </c>
      <c r="G15" s="43">
        <f t="shared" si="3"/>
        <v>597.01231183773723</v>
      </c>
      <c r="H15" s="27">
        <v>0.32305817191929204</v>
      </c>
      <c r="I15" s="59">
        <f>(B15/('Consumidores Inadimplentes'!B51*1000000))</f>
        <v>1.2338584483003812E-2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792078</v>
      </c>
      <c r="C16" s="29">
        <v>3596324</v>
      </c>
      <c r="D16" s="29">
        <v>2186893979.0200028</v>
      </c>
      <c r="E16" s="33">
        <f t="shared" si="0"/>
        <v>4.5403659740581102</v>
      </c>
      <c r="F16" s="45">
        <f t="shared" si="2"/>
        <v>2760.9578589734883</v>
      </c>
      <c r="G16" s="45">
        <f t="shared" si="3"/>
        <v>608.0914786932442</v>
      </c>
      <c r="H16" s="26">
        <v>0.3272641182794544</v>
      </c>
      <c r="I16" s="59">
        <f>(B16/('Consumidores Inadimplentes'!B52*1000000))</f>
        <v>1.2418449238943181E-2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793542</v>
      </c>
      <c r="C17" s="30">
        <v>3561189</v>
      </c>
      <c r="D17" s="30">
        <v>2164510965.6300006</v>
      </c>
      <c r="E17" s="34">
        <f t="shared" si="0"/>
        <v>4.4877133157413223</v>
      </c>
      <c r="F17" s="43">
        <f t="shared" si="2"/>
        <v>2727.6577240146084</v>
      </c>
      <c r="G17" s="43">
        <f t="shared" si="3"/>
        <v>607.80569793684083</v>
      </c>
      <c r="H17" s="27">
        <v>0.32754379918314447</v>
      </c>
      <c r="I17" s="59">
        <f>(B17/('Consumidores Inadimplentes'!B53*1000000))</f>
        <v>1.242050067698711E-2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791090</v>
      </c>
      <c r="C18" s="30">
        <v>3511379</v>
      </c>
      <c r="D18" s="30">
        <v>2198137758.5400014</v>
      </c>
      <c r="E18" s="34">
        <f t="shared" si="0"/>
        <v>4.4386593181559624</v>
      </c>
      <c r="F18" s="43">
        <f t="shared" si="2"/>
        <v>2778.6190680453569</v>
      </c>
      <c r="G18" s="43">
        <f t="shared" si="3"/>
        <v>626.00413072470997</v>
      </c>
      <c r="H18" s="27">
        <v>0.32620788335374479</v>
      </c>
      <c r="I18" s="59">
        <f>(B18/('Consumidores Inadimplentes'!B54*1000000))</f>
        <v>1.2205797186644675E-2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792729</v>
      </c>
      <c r="C19" s="30">
        <v>3494481</v>
      </c>
      <c r="D19" s="30">
        <v>2192973099.6300015</v>
      </c>
      <c r="E19" s="34">
        <f t="shared" si="0"/>
        <v>4.4081659684457106</v>
      </c>
      <c r="F19" s="43">
        <f t="shared" si="2"/>
        <v>2766.359120998477</v>
      </c>
      <c r="G19" s="43">
        <f t="shared" si="3"/>
        <v>627.55330466240957</v>
      </c>
      <c r="H19" s="27">
        <v>0.32655960802746181</v>
      </c>
      <c r="I19" s="59">
        <f>(B19/('Consumidores Inadimplentes'!B55*1000000))</f>
        <v>1.2027699809548409E-2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787633</v>
      </c>
      <c r="C20" s="30">
        <v>3204249</v>
      </c>
      <c r="D20" s="30">
        <v>2119022325.5600038</v>
      </c>
      <c r="E20" s="34">
        <f t="shared" si="0"/>
        <v>4.068200545177767</v>
      </c>
      <c r="F20" s="43">
        <f t="shared" si="2"/>
        <v>2690.3676275118028</v>
      </c>
      <c r="G20" s="43">
        <f t="shared" si="3"/>
        <v>661.31637259151944</v>
      </c>
      <c r="H20" s="27">
        <v>0.32413854407971926</v>
      </c>
      <c r="I20" s="59">
        <f>(B20/('Consumidores Inadimplentes'!B56*1000000))</f>
        <v>1.2074345232978879E-2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774890</v>
      </c>
      <c r="C21" s="30">
        <v>3160685</v>
      </c>
      <c r="D21" s="30">
        <v>2074570282.6000056</v>
      </c>
      <c r="E21" s="34">
        <f t="shared" si="0"/>
        <v>4.0788821639200403</v>
      </c>
      <c r="F21" s="43">
        <f t="shared" si="2"/>
        <v>2677.2448768212334</v>
      </c>
      <c r="G21" s="43">
        <f t="shared" si="3"/>
        <v>656.36730094900486</v>
      </c>
      <c r="H21" s="27">
        <v>0.31826213243719897</v>
      </c>
      <c r="I21" s="59">
        <f>(B21/('Consumidores Inadimplentes'!B57*1000000))</f>
        <v>1.2107525526560331E-2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767425</v>
      </c>
      <c r="C22" s="30">
        <v>3071109</v>
      </c>
      <c r="D22" s="30">
        <v>2115057443.9900117</v>
      </c>
      <c r="E22" s="34">
        <f t="shared" si="0"/>
        <v>4.0018360100335535</v>
      </c>
      <c r="F22" s="43">
        <f t="shared" si="2"/>
        <v>2756.0444916311194</v>
      </c>
      <c r="G22" s="43">
        <f t="shared" si="3"/>
        <v>688.69501017059702</v>
      </c>
      <c r="H22" s="27">
        <v>0.31492255020684329</v>
      </c>
      <c r="I22" s="59">
        <f>(B22/('Consumidores Inadimplentes'!B58*1000000))</f>
        <v>1.208483796396357E-2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758546</v>
      </c>
      <c r="C23" s="30">
        <v>2981773</v>
      </c>
      <c r="D23" s="30">
        <v>2119012288.5700092</v>
      </c>
      <c r="E23" s="34">
        <f t="shared" si="0"/>
        <v>3.9309059701059659</v>
      </c>
      <c r="F23" s="43">
        <f t="shared" si="2"/>
        <v>2793.5185058915467</v>
      </c>
      <c r="G23" s="43">
        <f t="shared" si="3"/>
        <v>710.65513322778406</v>
      </c>
      <c r="H23" s="27">
        <v>0.31100875527780808</v>
      </c>
      <c r="I23" s="59">
        <f>(B23/('Consumidores Inadimplentes'!B59*1000000))</f>
        <v>1.2030782152781794E-2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747773</v>
      </c>
      <c r="C24" s="30">
        <v>2921366</v>
      </c>
      <c r="D24" s="30">
        <v>2108927233.240006</v>
      </c>
      <c r="E24" s="34">
        <f t="shared" si="0"/>
        <v>3.9067551248841559</v>
      </c>
      <c r="F24" s="43">
        <f t="shared" si="2"/>
        <v>2820.2773211121635</v>
      </c>
      <c r="G24" s="43">
        <f t="shared" si="3"/>
        <v>721.89764419795597</v>
      </c>
      <c r="H24" s="27">
        <v>0.30632561893077109</v>
      </c>
      <c r="I24" s="59">
        <f>(B24/('Consumidores Inadimplentes'!B60*1000000))</f>
        <v>1.191417747813483E-2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731442</v>
      </c>
      <c r="C25" s="30">
        <v>2809961</v>
      </c>
      <c r="D25" s="30">
        <v>2076363182.0000029</v>
      </c>
      <c r="E25" s="34">
        <f t="shared" si="0"/>
        <v>3.8416730239718255</v>
      </c>
      <c r="F25" s="43">
        <f t="shared" si="2"/>
        <v>2838.725670661519</v>
      </c>
      <c r="G25" s="43">
        <f t="shared" si="3"/>
        <v>738.9295374562148</v>
      </c>
      <c r="H25" s="27">
        <v>0.29937549780495132</v>
      </c>
      <c r="I25" s="59">
        <f>(B25/('Consumidores Inadimplentes'!B61*1000000))</f>
        <v>1.1744452686462346E-2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728103</v>
      </c>
      <c r="C26" s="30">
        <v>2764654</v>
      </c>
      <c r="D26" s="30">
        <v>2030723694.3200021</v>
      </c>
      <c r="E26" s="34">
        <f t="shared" si="0"/>
        <v>3.7970644263242974</v>
      </c>
      <c r="F26" s="43">
        <f t="shared" si="2"/>
        <v>2789.0610179054365</v>
      </c>
      <c r="G26" s="43">
        <f t="shared" si="3"/>
        <v>734.53086509921388</v>
      </c>
      <c r="H26" s="27">
        <v>0.29775013709699516</v>
      </c>
      <c r="I26" s="59">
        <f>(B26/('Consumidores Inadimplentes'!B62*1000000))</f>
        <v>1.1753322269231909E-2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720295</v>
      </c>
      <c r="C27" s="31">
        <v>2475830</v>
      </c>
      <c r="D27" s="31">
        <v>1976289841.0500033</v>
      </c>
      <c r="E27" s="35">
        <f t="shared" si="0"/>
        <v>3.4372444623383474</v>
      </c>
      <c r="F27" s="46">
        <f t="shared" si="2"/>
        <v>2743.7228372403019</v>
      </c>
      <c r="G27" s="46">
        <f t="shared" si="3"/>
        <v>798.233255534509</v>
      </c>
      <c r="H27" s="28">
        <v>0.29430138992283472</v>
      </c>
      <c r="I27" s="59">
        <f>(B27/('Consumidores Inadimplentes'!B63*1000000))</f>
        <v>1.1738590928745737E-2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731599</v>
      </c>
      <c r="C28" s="29">
        <v>2466754</v>
      </c>
      <c r="D28" s="29">
        <v>2025386759.4300008</v>
      </c>
      <c r="E28" s="33">
        <f t="shared" si="0"/>
        <v>3.3717295950377189</v>
      </c>
      <c r="F28" s="45">
        <f t="shared" si="2"/>
        <v>2768.4383923843538</v>
      </c>
      <c r="G28" s="45">
        <f t="shared" si="3"/>
        <v>821.07366986331056</v>
      </c>
      <c r="H28" s="26">
        <v>0.2986605976485957</v>
      </c>
      <c r="I28" s="59">
        <f>(B28/('Consumidores Inadimplentes'!B64*1000000))</f>
        <v>1.1863251548188063E-2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733212</v>
      </c>
      <c r="C29" s="30">
        <v>2441285</v>
      </c>
      <c r="D29" s="30">
        <v>2036711867.4500005</v>
      </c>
      <c r="E29" s="34">
        <f t="shared" si="0"/>
        <v>3.3295758934660098</v>
      </c>
      <c r="F29" s="43">
        <f t="shared" si="2"/>
        <v>2777.7939633421174</v>
      </c>
      <c r="G29" s="43">
        <f t="shared" si="3"/>
        <v>834.27861452063178</v>
      </c>
      <c r="H29" s="27">
        <v>0.29905927574347563</v>
      </c>
      <c r="I29" s="59">
        <f>(B29/('Consumidores Inadimplentes'!B65*1000000))</f>
        <v>1.1911489722341254E-2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743688</v>
      </c>
      <c r="C30" s="30">
        <v>2440181</v>
      </c>
      <c r="D30" s="30">
        <v>2081661358.6700029</v>
      </c>
      <c r="E30" s="34">
        <f t="shared" si="0"/>
        <v>3.2811891545917105</v>
      </c>
      <c r="F30" s="43">
        <f t="shared" si="2"/>
        <v>2799.1057522375013</v>
      </c>
      <c r="G30" s="43">
        <f t="shared" si="3"/>
        <v>853.07661959092502</v>
      </c>
      <c r="H30" s="27">
        <v>0.30306888173643298</v>
      </c>
      <c r="I30" s="59">
        <f>(B30/('Consumidores Inadimplentes'!B66*1000000))</f>
        <v>1.1888102710516766E-2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755657</v>
      </c>
      <c r="C31" s="30">
        <v>2442287</v>
      </c>
      <c r="D31" s="30">
        <v>2129204881.8000054</v>
      </c>
      <c r="E31" s="34">
        <f t="shared" si="0"/>
        <v>3.232004732305795</v>
      </c>
      <c r="F31" s="43">
        <f t="shared" si="2"/>
        <v>2817.6869688231636</v>
      </c>
      <c r="G31" s="43">
        <f t="shared" si="3"/>
        <v>871.8078103842854</v>
      </c>
      <c r="H31" s="27">
        <v>0.30767918436149982</v>
      </c>
      <c r="I31" s="59">
        <f>(B31/('Consumidores Inadimplentes'!B67*1000000))</f>
        <v>1.1998065084815603E-2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749869</v>
      </c>
      <c r="C32" s="30">
        <v>2370792</v>
      </c>
      <c r="D32" s="30">
        <v>2130835510.2799997</v>
      </c>
      <c r="E32" s="34">
        <f t="shared" si="0"/>
        <v>3.1616082275704156</v>
      </c>
      <c r="F32" s="43">
        <f t="shared" si="2"/>
        <v>2841.6103483141719</v>
      </c>
      <c r="G32" s="43">
        <f t="shared" si="3"/>
        <v>898.78635927571872</v>
      </c>
      <c r="H32" s="27">
        <v>0.30505743404319718</v>
      </c>
      <c r="I32" s="59">
        <f>(B32/('Consumidores Inadimplentes'!B68*1000000))</f>
        <v>1.1986626023307191E-2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743382</v>
      </c>
      <c r="C33" s="30">
        <v>2306551</v>
      </c>
      <c r="D33" s="30">
        <v>2097419962.8099966</v>
      </c>
      <c r="E33" s="34">
        <f t="shared" si="0"/>
        <v>3.1027802664040829</v>
      </c>
      <c r="F33" s="43">
        <f t="shared" si="2"/>
        <v>2821.4564824141512</v>
      </c>
      <c r="G33" s="43">
        <f t="shared" si="3"/>
        <v>909.33170903656435</v>
      </c>
      <c r="H33" s="27">
        <v>0.30215586970482794</v>
      </c>
      <c r="I33" s="59">
        <f>(B33/('Consumidores Inadimplentes'!B69*1000000))</f>
        <v>1.1892317306610625E-2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741416</v>
      </c>
      <c r="C34" s="30">
        <v>2260640</v>
      </c>
      <c r="D34" s="30">
        <v>2093785411.7500007</v>
      </c>
      <c r="E34" s="34">
        <f>C34/B34</f>
        <v>3.0490844546111764</v>
      </c>
      <c r="F34" s="43">
        <f t="shared" si="2"/>
        <v>2824.03591472264</v>
      </c>
      <c r="G34" s="43">
        <f t="shared" si="3"/>
        <v>926.19143771232962</v>
      </c>
      <c r="H34" s="27">
        <v>0.30135676717094939</v>
      </c>
      <c r="I34" s="59">
        <f>(B34/('Consumidores Inadimplentes'!B70*1000000))</f>
        <v>1.1915323253943809E-2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744292</v>
      </c>
      <c r="C35" s="30">
        <v>2239607</v>
      </c>
      <c r="D35" s="30">
        <v>2117775295.3700004</v>
      </c>
      <c r="E35" s="34">
        <f>C35/B35</f>
        <v>3.0090434936825869</v>
      </c>
      <c r="F35" s="43">
        <f t="shared" si="2"/>
        <v>2845.3554456718603</v>
      </c>
      <c r="G35" s="43">
        <f t="shared" si="3"/>
        <v>945.60130209005433</v>
      </c>
      <c r="H35" s="27">
        <v>0.30228443878379874</v>
      </c>
      <c r="I35" s="59">
        <f>(B35/('Consumidores Inadimplentes'!B71*1000000))</f>
        <v>1.1956737126710406E-2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750763</v>
      </c>
      <c r="C36" s="30">
        <v>2218523</v>
      </c>
      <c r="D36" s="30">
        <v>2150450142.7299991</v>
      </c>
      <c r="E36" s="34">
        <f>C36/B36</f>
        <v>2.9550244218215336</v>
      </c>
      <c r="F36" s="43">
        <f t="shared" si="2"/>
        <v>2864.3528553351712</v>
      </c>
      <c r="G36" s="43">
        <f t="shared" si="3"/>
        <v>969.31613633484938</v>
      </c>
      <c r="H36" s="27">
        <v>0.30466940644569063</v>
      </c>
      <c r="I36" s="59">
        <f>(B36/('Consumidores Inadimplentes'!B72*1000000))</f>
        <v>1.2068152091286536E-2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763352</v>
      </c>
      <c r="C37" s="30">
        <v>2225169</v>
      </c>
      <c r="D37" s="30">
        <v>2204632480.5800033</v>
      </c>
      <c r="E37" s="34">
        <f>C37/B37</f>
        <v>2.9149972751758035</v>
      </c>
      <c r="F37" s="43">
        <f t="shared" si="2"/>
        <v>2888.0941958362632</v>
      </c>
      <c r="G37" s="43">
        <f t="shared" si="3"/>
        <v>990.77080463551454</v>
      </c>
      <c r="H37" s="27">
        <v>0.30953110833215741</v>
      </c>
      <c r="I37" s="59">
        <f>(B37/('Consumidores Inadimplentes'!B73*1000000))</f>
        <v>1.2039294729285176E-2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773608</v>
      </c>
      <c r="C38" s="30">
        <v>2234611</v>
      </c>
      <c r="D38" s="30">
        <v>2256914539.3000011</v>
      </c>
      <c r="E38" s="34">
        <f t="shared" ref="E38:E45" si="4">C38/B38</f>
        <v>2.8885572538029596</v>
      </c>
      <c r="F38" s="43">
        <f t="shared" si="2"/>
        <v>2917.3877975667278</v>
      </c>
      <c r="G38" s="43">
        <f t="shared" si="3"/>
        <v>1009.9809493911921</v>
      </c>
      <c r="H38" s="27">
        <v>0.31343955431754877</v>
      </c>
      <c r="I38" s="59">
        <f>(B38/('Consumidores Inadimplentes'!B74*1000000))</f>
        <v>1.2036906366564508E-2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771324</v>
      </c>
      <c r="C39" s="31">
        <v>2189725</v>
      </c>
      <c r="D39" s="31">
        <v>2231175929.7700033</v>
      </c>
      <c r="E39" s="35">
        <f t="shared" si="4"/>
        <v>2.8389172384108363</v>
      </c>
      <c r="F39" s="46">
        <f t="shared" si="2"/>
        <v>2892.6572099014206</v>
      </c>
      <c r="G39" s="46">
        <f t="shared" si="3"/>
        <v>1018.9297422142066</v>
      </c>
      <c r="H39" s="28">
        <v>0.31226491288796587</v>
      </c>
      <c r="I39" s="59">
        <f>(B39/('Consumidores Inadimplentes'!B75*1000000))</f>
        <v>1.2057428528310722E-2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790208</v>
      </c>
      <c r="C40" s="29">
        <v>2236141</v>
      </c>
      <c r="D40" s="29">
        <v>2366542749.6200056</v>
      </c>
      <c r="E40" s="33">
        <f t="shared" si="4"/>
        <v>2.8298131631165466</v>
      </c>
      <c r="F40" s="45">
        <f t="shared" si="2"/>
        <v>2994.835220119267</v>
      </c>
      <c r="G40" s="45">
        <f t="shared" si="3"/>
        <v>1058.3155309168812</v>
      </c>
      <c r="H40" s="26">
        <v>0.31965476663860648</v>
      </c>
      <c r="I40" s="59">
        <f>(B40/('Consumidores Inadimplentes'!B76*1000000))</f>
        <v>1.2191286413308319E-2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791762</v>
      </c>
      <c r="C41" s="30">
        <v>2239559</v>
      </c>
      <c r="D41" s="30">
        <v>2381289869.6800041</v>
      </c>
      <c r="E41" s="34">
        <f t="shared" si="4"/>
        <v>2.8285760114781966</v>
      </c>
      <c r="F41" s="43">
        <f t="shared" si="2"/>
        <v>3007.5829222417901</v>
      </c>
      <c r="G41" s="43">
        <f t="shared" si="3"/>
        <v>1063.2851689462098</v>
      </c>
      <c r="H41" s="27">
        <v>0.32002797044510195</v>
      </c>
      <c r="I41" s="59">
        <f>(B41/('Consumidores Inadimplentes'!B77*1000000))</f>
        <v>1.2149338277349837E-2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797965</v>
      </c>
      <c r="C42" s="30">
        <v>2260214</v>
      </c>
      <c r="D42" s="30">
        <v>2426412700.4900017</v>
      </c>
      <c r="E42" s="34">
        <f t="shared" si="4"/>
        <v>2.8324726021818001</v>
      </c>
      <c r="F42" s="43">
        <f t="shared" si="2"/>
        <v>3040.7507854229216</v>
      </c>
      <c r="G42" s="43">
        <f t="shared" si="3"/>
        <v>1073.5322852128168</v>
      </c>
      <c r="H42" s="27">
        <v>0.32227793450362779</v>
      </c>
      <c r="I42" s="59">
        <f>(B42/('Consumidores Inadimplentes'!B78*1000000))</f>
        <v>1.2146698612363E-2</v>
      </c>
    </row>
    <row r="43" spans="1:16" x14ac:dyDescent="0.35">
      <c r="A43" s="5">
        <v>44652</v>
      </c>
      <c r="B43" s="30">
        <v>802391</v>
      </c>
      <c r="C43" s="30">
        <v>2256994</v>
      </c>
      <c r="D43" s="30">
        <v>2469106430.2200012</v>
      </c>
      <c r="E43" s="34">
        <f t="shared" si="4"/>
        <v>2.8128356374884564</v>
      </c>
      <c r="F43" s="43">
        <f t="shared" si="2"/>
        <v>3077.1860978251266</v>
      </c>
      <c r="G43" s="43">
        <f t="shared" si="3"/>
        <v>1093.9800594153112</v>
      </c>
      <c r="H43" s="27">
        <v>0.3238070679029908</v>
      </c>
      <c r="I43" s="59">
        <f>(B43/('Consumidores Inadimplentes'!B79*1000000))</f>
        <v>1.2133050124847521E-2</v>
      </c>
    </row>
    <row r="44" spans="1:16" x14ac:dyDescent="0.35">
      <c r="A44" s="5">
        <v>44682</v>
      </c>
      <c r="B44" s="30">
        <v>811602</v>
      </c>
      <c r="C44" s="30">
        <v>2278057</v>
      </c>
      <c r="D44" s="30">
        <v>2533221763.7000074</v>
      </c>
      <c r="E44" s="34">
        <f t="shared" si="4"/>
        <v>2.8068646947641827</v>
      </c>
      <c r="F44" s="43">
        <f t="shared" si="2"/>
        <v>3121.2611153003659</v>
      </c>
      <c r="G44" s="43">
        <f t="shared" si="3"/>
        <v>1112.0098240298673</v>
      </c>
      <c r="H44" s="27">
        <v>0.32726296175476388</v>
      </c>
      <c r="I44" s="59">
        <f>(B44/('Consumidores Inadimplentes'!B80*1000000))</f>
        <v>1.2189910161664905E-2</v>
      </c>
    </row>
    <row r="45" spans="1:16" x14ac:dyDescent="0.35">
      <c r="A45" s="5">
        <v>44713</v>
      </c>
      <c r="B45" s="30">
        <v>817473</v>
      </c>
      <c r="C45" s="30">
        <v>2285822</v>
      </c>
      <c r="D45" s="30">
        <v>2571815463.5299902</v>
      </c>
      <c r="E45" s="34">
        <f t="shared" si="4"/>
        <v>2.7962048899474357</v>
      </c>
      <c r="F45" s="43">
        <f t="shared" si="2"/>
        <v>3146.0555437671828</v>
      </c>
      <c r="G45" s="43">
        <f t="shared" si="3"/>
        <v>1125.1162441913632</v>
      </c>
      <c r="H45" s="27">
        <v>0.32936736411586215</v>
      </c>
      <c r="I45" s="59">
        <f>(B45/('Consumidores Inadimplentes'!B81*1000000))</f>
        <v>1.2234208650656908E-2</v>
      </c>
    </row>
    <row r="46" spans="1:16" x14ac:dyDescent="0.35">
      <c r="A46" s="5">
        <v>44743</v>
      </c>
      <c r="B46" s="30">
        <v>832371</v>
      </c>
      <c r="C46" s="30">
        <v>2320975</v>
      </c>
      <c r="D46" s="30">
        <v>2662197362.47998</v>
      </c>
      <c r="E46" s="34">
        <f t="shared" ref="E46" si="5">C46/B46</f>
        <v>2.7883900328098887</v>
      </c>
      <c r="F46" s="43">
        <f t="shared" ref="F46" si="6">D46/B46</f>
        <v>3198.3302667680396</v>
      </c>
      <c r="G46" s="43">
        <f t="shared" ref="G46" si="7">F46/E46</f>
        <v>1147.0168194314804</v>
      </c>
      <c r="H46" s="27">
        <v>0.33510243847451415</v>
      </c>
      <c r="I46" s="59">
        <f>(B46/('Consumidores Inadimplentes'!B82*1000000))</f>
        <v>1.2307301916101051E-2</v>
      </c>
    </row>
    <row r="47" spans="1:16" x14ac:dyDescent="0.35">
      <c r="A47" s="5">
        <v>44774</v>
      </c>
      <c r="B47" s="30">
        <v>835500</v>
      </c>
      <c r="C47" s="30">
        <v>2330917</v>
      </c>
      <c r="D47" s="30">
        <v>2683850291.8699899</v>
      </c>
      <c r="E47" s="34">
        <f t="shared" ref="E47" si="8">C47/B47</f>
        <v>2.7898467983243567</v>
      </c>
      <c r="F47" s="43">
        <f t="shared" ref="F47" si="9">D47/B47</f>
        <v>3212.2684522680906</v>
      </c>
      <c r="G47" s="43">
        <f t="shared" ref="G47" si="10">F47/E47</f>
        <v>1151.4139250217788</v>
      </c>
      <c r="H47" s="27">
        <v>0.33608841357821329</v>
      </c>
      <c r="I47" s="59">
        <f>(B47/('Consumidores Inadimplentes'!B83*1000000))</f>
        <v>1.229105916580471E-2</v>
      </c>
    </row>
    <row r="48" spans="1:16" x14ac:dyDescent="0.35">
      <c r="A48" s="5">
        <v>44805</v>
      </c>
      <c r="B48" s="30">
        <v>830944</v>
      </c>
      <c r="C48" s="30">
        <v>2366547</v>
      </c>
      <c r="D48" s="30">
        <v>2748840342.99999</v>
      </c>
      <c r="E48" s="34">
        <f t="shared" ref="E48" si="11">C48/B48</f>
        <v>2.8480222493934608</v>
      </c>
      <c r="F48" s="43">
        <f t="shared" ref="F48" si="12">D48/B48</f>
        <v>3308.0933769303224</v>
      </c>
      <c r="G48" s="43">
        <f t="shared" ref="G48" si="13">F48/E48</f>
        <v>1161.5405664877942</v>
      </c>
      <c r="H48" s="27">
        <v>0.33398379486627089</v>
      </c>
      <c r="I48" s="59">
        <f>(B48/('Consumidores Inadimplentes'!B84*1000000))</f>
        <v>1.2150427043181184E-2</v>
      </c>
    </row>
    <row r="49" spans="1:16" x14ac:dyDescent="0.35">
      <c r="A49" s="5">
        <v>44835</v>
      </c>
      <c r="B49" s="30">
        <v>851113</v>
      </c>
      <c r="C49" s="30">
        <v>2482400</v>
      </c>
      <c r="D49" s="30">
        <v>2806402324.489985</v>
      </c>
      <c r="E49" s="34">
        <f t="shared" ref="E49" si="14">C49/B49</f>
        <v>2.9166514904601386</v>
      </c>
      <c r="F49" s="43">
        <f t="shared" ref="F49" si="15">D49/B49</f>
        <v>3297.332227906265</v>
      </c>
      <c r="G49" s="43">
        <f t="shared" ref="G49" si="16">F49/E49</f>
        <v>1130.5197891113378</v>
      </c>
      <c r="H49" s="27">
        <v>0.34181203797746429</v>
      </c>
      <c r="I49" s="59">
        <f>(B49/('Consumidores Inadimplentes'!B85*1000000))</f>
        <v>1.2324853917016524E-2</v>
      </c>
    </row>
    <row r="50" spans="1:16" x14ac:dyDescent="0.35">
      <c r="A50" s="5">
        <v>44866</v>
      </c>
      <c r="B50" s="30">
        <v>860067</v>
      </c>
      <c r="C50" s="30">
        <v>2519420</v>
      </c>
      <c r="D50" s="30">
        <v>2915619675.639977</v>
      </c>
      <c r="E50" s="34">
        <f t="shared" ref="E50" si="17">C50/B50</f>
        <v>2.9293299242965953</v>
      </c>
      <c r="F50" s="43">
        <f t="shared" ref="F50" si="18">D50/B50</f>
        <v>3389.9913328147422</v>
      </c>
      <c r="G50" s="43">
        <f t="shared" ref="G50" si="19">F50/E50</f>
        <v>1157.2582878757719</v>
      </c>
      <c r="H50" s="27">
        <v>0.34512706508348617</v>
      </c>
      <c r="I50" s="59">
        <f>(B50/('Consumidores Inadimplentes'!B86*1000000))</f>
        <v>1.2315745208284627E-2</v>
      </c>
    </row>
    <row r="51" spans="1:16" ht="15" thickBot="1" x14ac:dyDescent="0.4">
      <c r="A51" s="12">
        <v>44896</v>
      </c>
      <c r="B51" s="31">
        <v>852351</v>
      </c>
      <c r="C51" s="31">
        <v>2483083</v>
      </c>
      <c r="D51" s="31">
        <v>2902372605.1599813</v>
      </c>
      <c r="E51" s="35">
        <f t="shared" ref="E51" si="20">C51/B51</f>
        <v>2.9132165035296493</v>
      </c>
      <c r="F51" s="46">
        <f t="shared" ref="F51" si="21">D51/B51</f>
        <v>3405.1377955325697</v>
      </c>
      <c r="G51" s="46">
        <f t="shared" ref="G51" si="22">F51/E51</f>
        <v>1168.8584735830341</v>
      </c>
      <c r="H51" s="28">
        <v>0.34175254073780931</v>
      </c>
      <c r="I51" s="59">
        <f>(B51/('Consumidores Inadimplentes'!B87*1000000))</f>
        <v>1.2276528836896507E-2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866840</v>
      </c>
      <c r="C52" s="29">
        <v>2540502</v>
      </c>
      <c r="D52" s="29">
        <v>3037170716.8699822</v>
      </c>
      <c r="E52" s="33">
        <f t="shared" ref="E52" si="23">C52/B52</f>
        <v>2.9307623090766461</v>
      </c>
      <c r="F52" s="45">
        <f t="shared" ref="F52" si="24">D52/B52</f>
        <v>3503.7270048336281</v>
      </c>
      <c r="G52" s="45">
        <f t="shared" ref="G52" si="25">F52/E52</f>
        <v>1195.5002266756658</v>
      </c>
      <c r="H52" s="26">
        <v>0.34727914458212644</v>
      </c>
      <c r="I52" s="59">
        <f>(B52/('Consumidores Inadimplentes'!B88*1000000))</f>
        <v>1.2367002189106621E-2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870324</v>
      </c>
      <c r="C53" s="30">
        <v>2556351</v>
      </c>
      <c r="D53" s="30">
        <v>3068717546.809988</v>
      </c>
      <c r="E53" s="34">
        <f t="shared" ref="E53" si="26">C53/B53</f>
        <v>2.9372406138403631</v>
      </c>
      <c r="F53" s="43">
        <f t="shared" ref="F53" si="27">D53/B53</f>
        <v>3525.9484362260355</v>
      </c>
      <c r="G53" s="43">
        <f t="shared" ref="G53" si="28">F53/E53</f>
        <v>1200.4288717824695</v>
      </c>
      <c r="H53" s="27">
        <v>0.34839131155323877</v>
      </c>
      <c r="I53" s="59">
        <f>(B53/('Consumidores Inadimplentes'!B89*1000000))</f>
        <v>1.2340305004566765E-2</v>
      </c>
    </row>
    <row r="54" spans="1:16" x14ac:dyDescent="0.35">
      <c r="A54" s="5">
        <v>44986</v>
      </c>
      <c r="B54" s="30">
        <v>891227</v>
      </c>
      <c r="C54" s="30">
        <v>2619306</v>
      </c>
      <c r="D54" s="30">
        <v>3148284884.6599865</v>
      </c>
      <c r="E54" s="34">
        <f t="shared" ref="E54" si="29">C54/B54</f>
        <v>2.9389886078406513</v>
      </c>
      <c r="F54" s="43">
        <f t="shared" ref="F54" si="30">D54/B54</f>
        <v>3532.5286202729344</v>
      </c>
      <c r="G54" s="43">
        <f t="shared" ref="G54" si="31">F54/E54</f>
        <v>1201.9538322975575</v>
      </c>
      <c r="H54" s="27">
        <v>0.35646855636208302</v>
      </c>
      <c r="I54" s="59">
        <f>(B54/('Consumidores Inadimplentes'!B90*1000000))</f>
        <v>1.2604437976977146E-2</v>
      </c>
    </row>
    <row r="55" spans="1:16" x14ac:dyDescent="0.35">
      <c r="A55" s="5">
        <v>45017</v>
      </c>
      <c r="B55" s="30">
        <v>889883</v>
      </c>
      <c r="C55" s="30">
        <v>2616102</v>
      </c>
      <c r="D55" s="30">
        <v>3187167202.9999909</v>
      </c>
      <c r="E55" s="34">
        <f t="shared" ref="E55" si="32">C55/B55</f>
        <v>2.9398269210671515</v>
      </c>
      <c r="F55" s="43">
        <f t="shared" ref="F55" si="33">D55/B55</f>
        <v>3581.5575789176678</v>
      </c>
      <c r="G55" s="43">
        <f t="shared" ref="G55" si="34">F55/E55</f>
        <v>1218.2885846958532</v>
      </c>
      <c r="H55" s="27">
        <v>0.35564137364358928</v>
      </c>
      <c r="I55" s="59">
        <f>(B55/('Consumidores Inadimplentes'!B91*1000000))</f>
        <v>1.2456442910579424E-2</v>
      </c>
    </row>
    <row r="56" spans="1:16" x14ac:dyDescent="0.35">
      <c r="A56" s="5">
        <v>45047</v>
      </c>
      <c r="B56" s="30">
        <v>892570</v>
      </c>
      <c r="C56" s="30">
        <v>2635143</v>
      </c>
      <c r="D56" s="30">
        <v>3253405709.289989</v>
      </c>
      <c r="E56" s="34">
        <f t="shared" ref="E56" si="35">C56/B56</f>
        <v>2.9523096227746843</v>
      </c>
      <c r="F56" s="43">
        <f t="shared" ref="F56" si="36">D56/B56</f>
        <v>3644.9866221024558</v>
      </c>
      <c r="G56" s="43">
        <f t="shared" ref="G56" si="37">F56/E56</f>
        <v>1234.6220714739159</v>
      </c>
      <c r="H56" s="27">
        <v>0.35642507134930551</v>
      </c>
      <c r="I56" s="59">
        <f>(B56/('Consumidores Inadimplentes'!B92*1000000))</f>
        <v>1.2413430242007164E-2</v>
      </c>
    </row>
    <row r="57" spans="1:16" x14ac:dyDescent="0.35">
      <c r="A57" s="5">
        <v>45078</v>
      </c>
      <c r="B57" s="30">
        <v>880833</v>
      </c>
      <c r="C57" s="30">
        <v>2585308</v>
      </c>
      <c r="D57" s="30">
        <v>3259065735.6199732</v>
      </c>
      <c r="E57" s="34">
        <f t="shared" ref="E57" si="38">C57/B57</f>
        <v>2.9350716878227767</v>
      </c>
      <c r="F57" s="43">
        <f t="shared" ref="F57" si="39">D57/B57</f>
        <v>3699.981421699656</v>
      </c>
      <c r="G57" s="43">
        <f t="shared" ref="G57" si="40">F57/E57</f>
        <v>1260.6102389425064</v>
      </c>
      <c r="H57" s="27">
        <v>0.35145203944669923</v>
      </c>
      <c r="I57" s="59">
        <f>(B57/('Consumidores Inadimplentes'!B93*1000000))</f>
        <v>1.232735388567345E-2</v>
      </c>
    </row>
    <row r="58" spans="1:16" x14ac:dyDescent="0.35">
      <c r="A58" s="5">
        <v>45108</v>
      </c>
      <c r="B58" s="30">
        <v>862493</v>
      </c>
      <c r="C58" s="30">
        <v>2528445</v>
      </c>
      <c r="D58" s="30">
        <v>3289036109.3499918</v>
      </c>
      <c r="E58" s="34">
        <f t="shared" ref="E58" si="41">C58/B58</f>
        <v>2.9315542271067709</v>
      </c>
      <c r="F58" s="43">
        <f t="shared" ref="F58" si="42">D58/B58</f>
        <v>3813.4061486296027</v>
      </c>
      <c r="G58" s="43">
        <f t="shared" ref="G58" si="43">F58/E58</f>
        <v>1300.8137844999562</v>
      </c>
      <c r="H58" s="27">
        <v>0.34385436563039085</v>
      </c>
      <c r="I58" s="59">
        <f>(B58/('Consumidores Inadimplentes'!B94*1000000))</f>
        <v>1.2076513659053855E-2</v>
      </c>
    </row>
    <row r="59" spans="1:16" x14ac:dyDescent="0.35">
      <c r="A59" s="5">
        <v>45139</v>
      </c>
      <c r="B59" s="30">
        <v>828760</v>
      </c>
      <c r="C59" s="30">
        <v>2407157</v>
      </c>
      <c r="D59" s="30">
        <v>3180399806.3499985</v>
      </c>
      <c r="E59" s="34">
        <f t="shared" ref="E59" si="44">C59/B59</f>
        <v>2.904528452145374</v>
      </c>
      <c r="F59" s="43">
        <f t="shared" ref="F59" si="45">D59/B59</f>
        <v>3837.5401881726898</v>
      </c>
      <c r="G59" s="43">
        <f t="shared" ref="G59" si="46">F59/E59</f>
        <v>1321.2265782206969</v>
      </c>
      <c r="H59" s="27">
        <v>0.33013341810141017</v>
      </c>
      <c r="I59" s="59">
        <f>(B59/('Consumidores Inadimplentes'!B95*1000000))</f>
        <v>1.1552422175320147E-2</v>
      </c>
    </row>
    <row r="60" spans="1:16" x14ac:dyDescent="0.35">
      <c r="A60" s="5">
        <v>45170</v>
      </c>
      <c r="B60" s="30">
        <v>831596</v>
      </c>
      <c r="C60" s="30">
        <v>2423753</v>
      </c>
      <c r="D60" s="30">
        <v>3315294962.1499972</v>
      </c>
      <c r="E60" s="34">
        <f t="shared" ref="E60" si="47">C60/B60</f>
        <v>2.9145799162093131</v>
      </c>
      <c r="F60" s="43">
        <f t="shared" ref="F60" si="48">D60/B60</f>
        <v>3986.6653545110812</v>
      </c>
      <c r="G60" s="43">
        <f t="shared" ref="G60" si="49">F60/E60</f>
        <v>1367.8353207401897</v>
      </c>
      <c r="H60" s="27">
        <v>0.33098993771420815</v>
      </c>
      <c r="I60" s="59">
        <f>(B60/('Consumidores Inadimplentes'!B96*1000000))</f>
        <v>1.1578545220082457E-2</v>
      </c>
    </row>
    <row r="61" spans="1:16" x14ac:dyDescent="0.35">
      <c r="A61" s="5">
        <v>45200</v>
      </c>
      <c r="B61" s="30">
        <v>834550</v>
      </c>
      <c r="C61" s="30">
        <v>2438660</v>
      </c>
      <c r="D61" s="30">
        <v>3477665539.8499918</v>
      </c>
      <c r="E61" s="34">
        <f t="shared" ref="E61:E62" si="50">C61/B61</f>
        <v>2.9221256964831346</v>
      </c>
      <c r="F61" s="43">
        <f t="shared" ref="F61:F62" si="51">D61/B61</f>
        <v>4167.114660415783</v>
      </c>
      <c r="G61" s="43">
        <f t="shared" ref="G61:G62" si="52">F61/E61</f>
        <v>1426.0559240935561</v>
      </c>
      <c r="H61" s="27">
        <v>0.33189170916972388</v>
      </c>
      <c r="I61" s="59">
        <f>(B61/('Consumidores Inadimplentes'!B97*1000000))</f>
        <v>1.1598621835506679E-2</v>
      </c>
    </row>
    <row r="62" spans="1:16" x14ac:dyDescent="0.35">
      <c r="A62" s="5">
        <v>45231</v>
      </c>
      <c r="B62" s="30">
        <v>830669</v>
      </c>
      <c r="C62" s="30">
        <v>2418718</v>
      </c>
      <c r="D62" s="30">
        <v>3487955732.8899918</v>
      </c>
      <c r="E62" s="34">
        <f t="shared" si="50"/>
        <v>2.9117711146076233</v>
      </c>
      <c r="F62" s="43">
        <f t="shared" si="51"/>
        <v>4198.9718322099316</v>
      </c>
      <c r="G62" s="43">
        <f t="shared" si="52"/>
        <v>1442.0679603368362</v>
      </c>
      <c r="H62" s="27">
        <v>0.33007589605022647</v>
      </c>
      <c r="I62" s="59">
        <f>(B62/('Consumidores Inadimplentes'!B98*1000000))</f>
        <v>1.1567769018110841E-2</v>
      </c>
    </row>
    <row r="63" spans="1:16" ht="15" thickBot="1" x14ac:dyDescent="0.4">
      <c r="A63" s="12">
        <v>45261</v>
      </c>
      <c r="B63" s="31">
        <v>817562</v>
      </c>
      <c r="C63" s="31">
        <v>2374649</v>
      </c>
      <c r="D63" s="31">
        <v>3332484136.6700015</v>
      </c>
      <c r="E63" s="35">
        <f t="shared" ref="E63:E64" si="53">C63/B63</f>
        <v>2.9045491351114654</v>
      </c>
      <c r="F63" s="46">
        <f t="shared" ref="F63:F64" si="54">D63/B63</f>
        <v>4076.1240574659801</v>
      </c>
      <c r="G63" s="46">
        <f t="shared" ref="G63:G64" si="55">F63/E63</f>
        <v>1403.3586170714079</v>
      </c>
      <c r="H63" s="28">
        <v>0.32459977996384609</v>
      </c>
      <c r="I63" s="59">
        <f>(B63/('Consumidores Inadimplentes'!B99*1000000))</f>
        <v>1.1498367868927816E-2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869672</v>
      </c>
      <c r="C64" s="29">
        <v>2521547</v>
      </c>
      <c r="D64" s="29">
        <v>3666282663.9099827</v>
      </c>
      <c r="E64" s="33">
        <f t="shared" si="53"/>
        <v>2.8994230008554949</v>
      </c>
      <c r="F64" s="45">
        <f t="shared" si="54"/>
        <v>4215.7073746308752</v>
      </c>
      <c r="G64" s="45">
        <f t="shared" si="55"/>
        <v>1453.9814898988527</v>
      </c>
      <c r="H64" s="26">
        <v>0.34500443517738327</v>
      </c>
      <c r="I64" s="59">
        <f>(B64/('Consumidores Inadimplentes'!B100*1000000))</f>
        <v>1.2067076735703057E-2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871586</v>
      </c>
      <c r="C65" s="30">
        <v>2527125</v>
      </c>
      <c r="D65" s="30">
        <v>3648438258.0199733</v>
      </c>
      <c r="E65" s="34">
        <f t="shared" ref="E65" si="56">C65/B65</f>
        <v>2.8994557048874121</v>
      </c>
      <c r="F65" s="43">
        <f t="shared" ref="F65" si="57">D65/B65</f>
        <v>4185.976206616413</v>
      </c>
      <c r="G65" s="43">
        <f t="shared" ref="G65" si="58">F65/E65</f>
        <v>1443.7110384409054</v>
      </c>
      <c r="H65" s="27">
        <v>0.34547852279001773</v>
      </c>
      <c r="I65" s="59">
        <f>(B65/('Consumidores Inadimplentes'!B101*1000000))</f>
        <v>1.2098763420164362E-2</v>
      </c>
    </row>
    <row r="66" spans="1:16" x14ac:dyDescent="0.35">
      <c r="A66" s="5">
        <v>45352</v>
      </c>
      <c r="B66" s="30">
        <v>877479</v>
      </c>
      <c r="C66" s="30">
        <v>2534904</v>
      </c>
      <c r="D66" s="30">
        <v>3703885787.2899699</v>
      </c>
      <c r="E66" s="34">
        <f t="shared" ref="E66" si="59">C66/B66</f>
        <v>2.8888486220183047</v>
      </c>
      <c r="F66" s="43">
        <f t="shared" ref="F66" si="60">D66/B66</f>
        <v>4221.0534808126122</v>
      </c>
      <c r="G66" s="43">
        <f t="shared" ref="G66" si="61">F66/E66</f>
        <v>1461.1542635500082</v>
      </c>
      <c r="H66" s="27">
        <v>0.3475275840531914</v>
      </c>
      <c r="I66" s="59">
        <f>(B66/('Consumidores Inadimplentes'!B102*1000000))</f>
        <v>1.2037604152975423E-2</v>
      </c>
    </row>
    <row r="67" spans="1:16" x14ac:dyDescent="0.35">
      <c r="A67" s="5">
        <v>45383</v>
      </c>
      <c r="B67" s="30">
        <v>885124</v>
      </c>
      <c r="C67" s="30">
        <v>2601780</v>
      </c>
      <c r="D67" s="30">
        <v>3794892408.9299774</v>
      </c>
      <c r="E67" s="34">
        <f t="shared" ref="E67" si="62">C67/B67</f>
        <v>2.9394525512809504</v>
      </c>
      <c r="F67" s="43">
        <f t="shared" ref="F67" si="63">D67/B67</f>
        <v>4287.4132990744547</v>
      </c>
      <c r="G67" s="43">
        <f t="shared" ref="G67" si="64">F67/E67</f>
        <v>1458.5754402485904</v>
      </c>
      <c r="H67" s="27">
        <v>0.35026630360153904</v>
      </c>
      <c r="I67" s="59">
        <f>(B67/('Consumidores Inadimplentes'!B103*1000000))</f>
        <v>1.2055660637737643E-2</v>
      </c>
    </row>
    <row r="68" spans="1:16" x14ac:dyDescent="0.35">
      <c r="A68" s="5">
        <v>45413</v>
      </c>
      <c r="B68" s="30">
        <v>879161</v>
      </c>
      <c r="C68" s="30">
        <v>2586905</v>
      </c>
      <c r="D68" s="30">
        <v>3776149492.3099861</v>
      </c>
      <c r="E68" s="34">
        <f t="shared" ref="E68" si="65">C68/B68</f>
        <v>2.9424701505185058</v>
      </c>
      <c r="F68" s="43">
        <f t="shared" ref="F68" si="66">D68/B68</f>
        <v>4295.1740264979753</v>
      </c>
      <c r="G68" s="43">
        <f t="shared" ref="G68" si="67">F68/E68</f>
        <v>1459.7171107211075</v>
      </c>
      <c r="H68" s="27">
        <v>0.3476196369522781</v>
      </c>
      <c r="I68" s="59">
        <f>(B68/('Consumidores Inadimplentes'!B104*1000000))</f>
        <v>1.2120448355714212E-2</v>
      </c>
    </row>
    <row r="69" spans="1:16" x14ac:dyDescent="0.35">
      <c r="A69" s="5">
        <v>45444</v>
      </c>
      <c r="B69" s="30">
        <v>883314</v>
      </c>
      <c r="C69" s="30">
        <v>2602062</v>
      </c>
      <c r="D69" s="30">
        <v>3874432140.5300002</v>
      </c>
      <c r="E69" s="34">
        <f t="shared" ref="E69" si="68">C69/B69</f>
        <v>2.9457950400423858</v>
      </c>
      <c r="F69" s="43">
        <f t="shared" ref="F69" si="69">D69/B69</f>
        <v>4386.2455938997909</v>
      </c>
      <c r="G69" s="43">
        <f t="shared" ref="G69" si="70">F69/E69</f>
        <v>1488.985327993722</v>
      </c>
      <c r="H69" s="27">
        <v>0.34897375765256938</v>
      </c>
      <c r="I69" s="59">
        <f>(B69/('Consumidores Inadimplentes'!B105*1000000))</f>
        <v>1.2183451149424812E-2</v>
      </c>
    </row>
    <row r="70" spans="1:16" x14ac:dyDescent="0.35">
      <c r="A70" s="5">
        <v>45474</v>
      </c>
      <c r="B70" s="30">
        <v>888697</v>
      </c>
      <c r="C70" s="30">
        <v>2579863</v>
      </c>
      <c r="D70" s="30">
        <v>3851389074.8699999</v>
      </c>
      <c r="E70" s="34">
        <f t="shared" ref="E70" si="71">C70/B70</f>
        <v>2.9029725542001379</v>
      </c>
      <c r="F70" s="43">
        <f t="shared" ref="F70" si="72">D70/B70</f>
        <v>4333.7482571337587</v>
      </c>
      <c r="G70" s="43">
        <f t="shared" ref="G70" si="73">F70/E70</f>
        <v>1492.8657354557199</v>
      </c>
      <c r="H70" s="27">
        <v>0.35081091003112586</v>
      </c>
      <c r="I70" s="59">
        <f>(B70/('Consumidores Inadimplentes'!B106*1000000))</f>
        <v>1.2230199471414693E-2</v>
      </c>
    </row>
    <row r="71" spans="1:16" x14ac:dyDescent="0.35">
      <c r="A71" s="5">
        <v>45505</v>
      </c>
      <c r="B71" s="30">
        <v>888137</v>
      </c>
      <c r="C71" s="30">
        <v>2577602</v>
      </c>
      <c r="D71" s="30">
        <v>3810056369.0199804</v>
      </c>
      <c r="E71" s="34">
        <f t="shared" ref="E71" si="74">C71/B71</f>
        <v>2.9022571968063486</v>
      </c>
      <c r="F71" s="43">
        <f t="shared" ref="F71" si="75">D71/B71</f>
        <v>4289.9421699805107</v>
      </c>
      <c r="G71" s="43">
        <f t="shared" ref="G71" si="76">F71/E71</f>
        <v>1478.1399025217938</v>
      </c>
      <c r="H71" s="27">
        <v>0.35031784073410244</v>
      </c>
      <c r="I71" s="59">
        <f>(B71/('Consumidores Inadimplentes'!B107*1000000))</f>
        <v>1.225649832313358E-2</v>
      </c>
    </row>
    <row r="72" spans="1:16" x14ac:dyDescent="0.35">
      <c r="A72" s="5">
        <v>45536</v>
      </c>
      <c r="B72" s="30">
        <v>891912</v>
      </c>
      <c r="C72" s="30">
        <v>2598465</v>
      </c>
      <c r="D72" s="30">
        <v>3859712849.6199794</v>
      </c>
      <c r="E72" s="34">
        <f t="shared" ref="E72" si="77">C72/B72</f>
        <v>2.9133647714124264</v>
      </c>
      <c r="F72" s="43">
        <f t="shared" ref="F72" si="78">D72/B72</f>
        <v>4327.4592668558998</v>
      </c>
      <c r="G72" s="43">
        <f t="shared" ref="G72" si="79">F72/E72</f>
        <v>1485.3818887766352</v>
      </c>
      <c r="H72" s="27">
        <v>0.35153383590815235</v>
      </c>
      <c r="I72" s="59">
        <f>(B72/('Consumidores Inadimplentes'!B108*1000000))</f>
        <v>1.2278198681020655E-2</v>
      </c>
    </row>
    <row r="73" spans="1:16" x14ac:dyDescent="0.35">
      <c r="A73" s="5">
        <v>45566</v>
      </c>
      <c r="B73" s="30">
        <v>899588</v>
      </c>
      <c r="C73" s="30">
        <v>2689233</v>
      </c>
      <c r="D73" s="30">
        <v>3933726995.3099828</v>
      </c>
      <c r="E73" s="34">
        <f t="shared" ref="E73" si="80">C73/B73</f>
        <v>2.9894051499130714</v>
      </c>
      <c r="F73" s="43">
        <f t="shared" ref="F73" si="81">D73/B73</f>
        <v>4372.8095476039953</v>
      </c>
      <c r="G73" s="43">
        <f t="shared" ref="G73" si="82">F73/E73</f>
        <v>1462.7691223891654</v>
      </c>
      <c r="H73" s="27">
        <v>0.35428399494008284</v>
      </c>
      <c r="I73" s="59">
        <f>(B73/('Consumidores Inadimplentes'!B109*1000000))</f>
        <v>1.2305593716567318E-2</v>
      </c>
    </row>
    <row r="74" spans="1:16" x14ac:dyDescent="0.35">
      <c r="A74" s="5">
        <v>45597</v>
      </c>
      <c r="B74" s="30">
        <v>912900</v>
      </c>
      <c r="C74" s="30">
        <v>2707764</v>
      </c>
      <c r="D74" s="30">
        <v>4006626668.9599733</v>
      </c>
      <c r="E74" s="34">
        <f t="shared" ref="E74" si="83">C74/B74</f>
        <v>2.9661123890897141</v>
      </c>
      <c r="F74" s="43">
        <f t="shared" ref="F74" si="84">D74/B74</f>
        <v>4388.8998455033116</v>
      </c>
      <c r="G74" s="43">
        <f t="shared" ref="G74" si="85">F74/E74</f>
        <v>1479.6808986898316</v>
      </c>
      <c r="H74" s="27">
        <v>0.35924764594214298</v>
      </c>
      <c r="I74" s="59">
        <f>(B74/('Consumidores Inadimplentes'!B110*1000000))</f>
        <v>1.237179726775315E-2</v>
      </c>
    </row>
    <row r="75" spans="1:16" ht="15" thickBot="1" x14ac:dyDescent="0.4">
      <c r="A75" s="12">
        <v>45627</v>
      </c>
      <c r="B75" s="31">
        <v>908883</v>
      </c>
      <c r="C75" s="31">
        <v>2683156</v>
      </c>
      <c r="D75" s="31">
        <v>3955445854.5899801</v>
      </c>
      <c r="E75" s="35">
        <f t="shared" ref="E75" si="86">C75/B75</f>
        <v>2.952146755963089</v>
      </c>
      <c r="F75" s="46">
        <f t="shared" ref="F75" si="87">D75/B75</f>
        <v>4351.9857391875303</v>
      </c>
      <c r="G75" s="46">
        <f t="shared" ref="G75" si="88">F75/E75</f>
        <v>1474.176624314792</v>
      </c>
      <c r="H75" s="28">
        <v>0.35738923636260683</v>
      </c>
      <c r="I75" s="59">
        <f>(B75/('Consumidores Inadimplentes'!B111*1000000))</f>
        <v>1.2363694149922111E-2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930231</v>
      </c>
      <c r="C76" s="29">
        <v>2764861</v>
      </c>
      <c r="D76" s="29">
        <v>4140657478.249979</v>
      </c>
      <c r="E76" s="33">
        <f t="shared" ref="E76:E77" si="89">C76/B76</f>
        <v>2.972230553486177</v>
      </c>
      <c r="F76" s="45">
        <f t="shared" ref="F76:F77" si="90">D76/B76</f>
        <v>4451.2142449025878</v>
      </c>
      <c r="G76" s="45">
        <f t="shared" ref="G76:G77" si="91">F76/E76</f>
        <v>1497.6005948400225</v>
      </c>
      <c r="H76" s="26">
        <v>0.36549980688328482</v>
      </c>
      <c r="I76" s="59">
        <f>(B76/('Consumidores Inadimplentes'!B112*1000000))</f>
        <v>1.2469097386732105E-2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932866</v>
      </c>
      <c r="C77" s="30">
        <v>2808809</v>
      </c>
      <c r="D77" s="30">
        <v>4322386979.8299751</v>
      </c>
      <c r="E77" s="34">
        <f t="shared" si="89"/>
        <v>3.0109458378802527</v>
      </c>
      <c r="F77" s="43">
        <f t="shared" si="90"/>
        <v>4633.4489410375927</v>
      </c>
      <c r="G77" s="43">
        <f t="shared" si="91"/>
        <v>1538.868246231757</v>
      </c>
      <c r="H77" s="27">
        <v>0.36625063308036293</v>
      </c>
      <c r="I77" s="59">
        <f>(B77/('Consumidores Inadimplentes'!B113*1000000))</f>
        <v>1.2437651648984865E-2</v>
      </c>
    </row>
    <row r="78" spans="1:16" x14ac:dyDescent="0.35">
      <c r="A78" s="5">
        <v>45717</v>
      </c>
      <c r="B78" s="30">
        <v>943417</v>
      </c>
      <c r="C78" s="30">
        <v>2806870</v>
      </c>
      <c r="D78" s="30">
        <v>4255748999.3499842</v>
      </c>
      <c r="E78" s="34">
        <f t="shared" ref="E78" si="92">C78/B78</f>
        <v>2.9752166857285802</v>
      </c>
      <c r="F78" s="43">
        <f t="shared" ref="F78" si="93">D78/B78</f>
        <v>4510.9946072097327</v>
      </c>
      <c r="G78" s="43">
        <f t="shared" ref="G78" si="94">F78/E78</f>
        <v>1516.1902757698022</v>
      </c>
      <c r="H78" s="27">
        <v>0.37010562374659089</v>
      </c>
      <c r="I78" s="59">
        <f>(B78/('Consumidores Inadimplentes'!B114*1000000))</f>
        <v>1.2451139495637106E-2</v>
      </c>
    </row>
    <row r="79" spans="1:16" x14ac:dyDescent="0.35">
      <c r="A79" s="5">
        <v>45748</v>
      </c>
      <c r="B79" s="30">
        <v>942147</v>
      </c>
      <c r="C79" s="30">
        <v>2859116</v>
      </c>
      <c r="D79" s="30">
        <v>4494578735</v>
      </c>
      <c r="E79" s="34">
        <f t="shared" ref="E79" si="95">C79/B79</f>
        <v>3.0346814244486264</v>
      </c>
      <c r="F79" s="43">
        <f t="shared" ref="F79" si="96">D79/B79</f>
        <v>4770.570553215156</v>
      </c>
      <c r="G79" s="43">
        <f t="shared" ref="G79" si="97">F79/E79</f>
        <v>1572.0169223634157</v>
      </c>
      <c r="H79" s="27">
        <v>0.36932052490211786</v>
      </c>
      <c r="I79" s="59">
        <f>(B79/('Consumidores Inadimplentes'!B115*1000000))</f>
        <v>1.2293385425146002E-2</v>
      </c>
    </row>
    <row r="80" spans="1:16" x14ac:dyDescent="0.35">
      <c r="A80" s="5">
        <v>45778</v>
      </c>
      <c r="B80" s="30">
        <v>960425</v>
      </c>
      <c r="C80" s="30">
        <v>2904477</v>
      </c>
      <c r="D80" s="30">
        <v>4601575420</v>
      </c>
      <c r="E80" s="34">
        <f t="shared" ref="E80" si="98">C80/B80</f>
        <v>3.0241580550277223</v>
      </c>
      <c r="F80" s="43">
        <f t="shared" ref="F80" si="99">D80/B80</f>
        <v>4791.1866309186034</v>
      </c>
      <c r="G80" s="43">
        <f t="shared" ref="G80" si="100">F80/E80</f>
        <v>1584.3043067650387</v>
      </c>
      <c r="H80" s="27">
        <v>0.37619334675279248</v>
      </c>
      <c r="I80" s="59">
        <f>(B80/('Consumidores Inadimplentes'!B116*1000000))</f>
        <v>1.2461354458438234E-2</v>
      </c>
    </row>
    <row r="81" spans="1:16" x14ac:dyDescent="0.35">
      <c r="A81" s="5">
        <v>45809</v>
      </c>
      <c r="B81" s="30">
        <v>978247</v>
      </c>
      <c r="C81" s="30">
        <v>2978864</v>
      </c>
      <c r="D81" s="30">
        <v>4728794081</v>
      </c>
      <c r="E81" s="34">
        <f t="shared" ref="E81" si="101">C81/B81</f>
        <v>3.045104150587735</v>
      </c>
      <c r="F81" s="43">
        <f t="shared" ref="F81" si="102">D81/B81</f>
        <v>4833.9469285364539</v>
      </c>
      <c r="G81" s="43">
        <f t="shared" ref="G81" si="103">F81/E81</f>
        <v>1587.4487996095158</v>
      </c>
      <c r="H81" s="27">
        <v>0.38287673699174007</v>
      </c>
      <c r="I81" s="59">
        <f>(B81/('Consumidores Inadimplentes'!B117*1000000))</f>
        <v>1.2561823913854119E-2</v>
      </c>
    </row>
    <row r="82" spans="1:16" x14ac:dyDescent="0.35">
      <c r="A82" s="5">
        <v>45839</v>
      </c>
      <c r="B82" s="30">
        <v>983180</v>
      </c>
      <c r="C82" s="30">
        <v>2991837</v>
      </c>
      <c r="D82" s="30">
        <v>4753527462</v>
      </c>
      <c r="E82" s="34">
        <f t="shared" ref="E82:E83" si="104">C82/B82</f>
        <v>3.0430206066030636</v>
      </c>
      <c r="F82" s="43">
        <f t="shared" ref="F82:F83" si="105">D82/B82</f>
        <v>4834.8496328241017</v>
      </c>
      <c r="G82" s="43">
        <f t="shared" ref="G82:G83" si="106">F82/E82</f>
        <v>1588.832366870254</v>
      </c>
      <c r="H82" s="27">
        <v>0.38450888862468791</v>
      </c>
      <c r="I82" s="59">
        <f>(B82/('Consumidores Inadimplentes'!B118*1000000))</f>
        <v>1.2578877866296424E-2</v>
      </c>
    </row>
    <row r="83" spans="1:16" x14ac:dyDescent="0.35">
      <c r="A83" s="5">
        <v>45870</v>
      </c>
      <c r="B83" s="30">
        <v>1010980</v>
      </c>
      <c r="C83" s="30">
        <v>3062669</v>
      </c>
      <c r="D83" s="30">
        <v>4844789710</v>
      </c>
      <c r="E83" s="34">
        <f t="shared" si="104"/>
        <v>3.0294061207936855</v>
      </c>
      <c r="F83" s="43">
        <f t="shared" si="105"/>
        <v>4792.1716651170154</v>
      </c>
      <c r="G83" s="43">
        <f t="shared" si="106"/>
        <v>1581.8848559867226</v>
      </c>
      <c r="H83" s="27">
        <v>0.39509725798641793</v>
      </c>
      <c r="I83" s="59">
        <f>(B83/('Consumidores Inadimplentes'!B119*1000000))</f>
        <v>1.2821748062936067E-2</v>
      </c>
    </row>
    <row r="84" spans="1:16" x14ac:dyDescent="0.35">
      <c r="A84" s="5">
        <v>45901</v>
      </c>
      <c r="B84" s="30">
        <v>1017578</v>
      </c>
      <c r="C84" s="30">
        <v>3064152</v>
      </c>
      <c r="D84" s="30">
        <v>4907739069</v>
      </c>
      <c r="E84" s="34">
        <f>IFERROR(C84/B84,"")</f>
        <v>3.0112207614551414</v>
      </c>
      <c r="F84" s="43">
        <f>IFERROR(D84/B84,"")</f>
        <v>4822.9610594961759</v>
      </c>
      <c r="G84" s="43">
        <f>IFERROR(F84/E84,"")</f>
        <v>1601.6630601223437</v>
      </c>
      <c r="H84" s="27">
        <v>0.3973903511255536</v>
      </c>
      <c r="I84" s="59">
        <f>(B84/('Consumidores Inadimplentes'!B120*1000000))</f>
        <v>1.2853570515131111E-2</v>
      </c>
    </row>
    <row r="85" spans="1:16" x14ac:dyDescent="0.35">
      <c r="A85" s="5">
        <v>45931</v>
      </c>
      <c r="B85" s="30">
        <v>1029128</v>
      </c>
      <c r="C85" s="30">
        <v>3132777</v>
      </c>
      <c r="D85" s="30">
        <v>5005301311</v>
      </c>
      <c r="E85" s="34">
        <f t="shared" ref="E85:E87" si="107">IFERROR(C85/B85,"")</f>
        <v>3.0441082158876251</v>
      </c>
      <c r="F85" s="43">
        <f t="shared" ref="F85:F87" si="108">IFERROR(D85/B85,"")</f>
        <v>4863.6333974005174</v>
      </c>
      <c r="G85" s="43">
        <f t="shared" ref="G85:G87" si="109">IFERROR(F85/E85,"")</f>
        <v>1597.7202689498806</v>
      </c>
      <c r="H85" s="27">
        <v>0.4016123373701605</v>
      </c>
      <c r="I85" s="59">
        <f>(B85/('Consumidores Inadimplentes'!B121*1000000))</f>
        <v>1.2794286058976288E-2</v>
      </c>
    </row>
    <row r="86" spans="1:16" x14ac:dyDescent="0.35">
      <c r="A86" s="5">
        <v>45962</v>
      </c>
      <c r="B86" s="30">
        <v>1024950</v>
      </c>
      <c r="C86" s="30">
        <v>3110287</v>
      </c>
      <c r="D86" s="30">
        <v>4993120461</v>
      </c>
      <c r="E86" s="34">
        <f t="shared" si="107"/>
        <v>3.034574369481438</v>
      </c>
      <c r="F86" s="43">
        <f t="shared" si="108"/>
        <v>4871.5746729108741</v>
      </c>
      <c r="G86" s="43">
        <f t="shared" si="109"/>
        <v>1605.3568243059244</v>
      </c>
      <c r="H86" s="27">
        <v>0.39969473531508398</v>
      </c>
      <c r="I86" s="59">
        <f>(B86/('Consumidores Inadimplentes'!B122*1000000))</f>
        <v>1.2714944843103945E-2</v>
      </c>
    </row>
    <row r="87" spans="1:16" ht="15" thickBot="1" x14ac:dyDescent="0.4">
      <c r="A87" s="12">
        <v>45992</v>
      </c>
      <c r="B87" s="31">
        <v>1028618</v>
      </c>
      <c r="C87" s="31">
        <v>3105969</v>
      </c>
      <c r="D87" s="31">
        <v>5055323734</v>
      </c>
      <c r="E87" s="35">
        <f t="shared" si="107"/>
        <v>3.0195553645765485</v>
      </c>
      <c r="F87" s="46">
        <f t="shared" si="108"/>
        <v>4914.6755491348586</v>
      </c>
      <c r="G87" s="46">
        <f t="shared" si="109"/>
        <v>1627.6156439423573</v>
      </c>
      <c r="H87" s="28">
        <v>0.40083719965988279</v>
      </c>
      <c r="I87" s="59">
        <f>(B87/('Consumidores Inadimplentes'!B123*1000000))</f>
        <v>1.2660222989321979E-2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1035547</v>
      </c>
      <c r="C88" s="29">
        <v>3123438</v>
      </c>
      <c r="D88" s="29">
        <v>5139431918</v>
      </c>
      <c r="E88" s="33">
        <f t="shared" ref="E88:E89" si="110">IFERROR(C88/B88,"")</f>
        <v>3.0162204129798069</v>
      </c>
      <c r="F88" s="45">
        <f t="shared" ref="F88:F89" si="111">IFERROR(D88/B88,"")</f>
        <v>4963.0117396892656</v>
      </c>
      <c r="G88" s="45">
        <f t="shared" ref="G88:G89" si="112">IFERROR(F88/E88,"")</f>
        <v>1645.4406708249051</v>
      </c>
      <c r="H88" s="26">
        <v>0.40324756290649055</v>
      </c>
      <c r="I88" s="59">
        <f>(B88/('Consumidores Inadimplentes'!B124*1000000))</f>
        <v>1.2734327272458075E-2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1047583</v>
      </c>
      <c r="C89" s="30">
        <v>3198261</v>
      </c>
      <c r="D89" s="30">
        <v>5325726018</v>
      </c>
      <c r="E89" s="34">
        <f t="shared" si="110"/>
        <v>3.0529905506294011</v>
      </c>
      <c r="F89" s="43">
        <f t="shared" si="111"/>
        <v>5083.8224923466687</v>
      </c>
      <c r="G89" s="43">
        <f t="shared" si="112"/>
        <v>1665.1943096576547</v>
      </c>
      <c r="H89" s="27">
        <v>0.40764157466759904</v>
      </c>
      <c r="I89" s="59">
        <f>(B89/('Consumidores Inadimplentes'!B125*1000000))</f>
        <v>1.2817306277268724E-2</v>
      </c>
    </row>
    <row r="90" spans="1:16" x14ac:dyDescent="0.35">
      <c r="A90" s="5">
        <v>46082</v>
      </c>
      <c r="B90" s="30">
        <v>1059506</v>
      </c>
      <c r="C90" s="30">
        <v>3272230</v>
      </c>
      <c r="D90" s="30">
        <v>5544589531</v>
      </c>
      <c r="E90" s="34">
        <f t="shared" ref="E90" si="113">IFERROR(C90/B90,"")</f>
        <v>3.088448767633218</v>
      </c>
      <c r="F90" s="43">
        <f t="shared" ref="F90" si="114">IFERROR(D90/B90,"")</f>
        <v>5233.1837016496365</v>
      </c>
      <c r="G90" s="43">
        <f t="shared" ref="G90" si="115">IFERROR(F90/E90,"")</f>
        <v>1694.4375948512175</v>
      </c>
      <c r="H90" s="27">
        <v>0.41198518183822508</v>
      </c>
      <c r="I90" s="59">
        <f>(B90/('Consumidores Inadimplentes'!B126*1000000))</f>
        <v>1.2790946972728371E-2</v>
      </c>
    </row>
    <row r="91" spans="1:16" x14ac:dyDescent="0.35">
      <c r="A91" s="5">
        <v>46113</v>
      </c>
      <c r="B91" s="30">
        <v>1066350</v>
      </c>
      <c r="C91" s="30">
        <v>3305958</v>
      </c>
      <c r="D91" s="30">
        <v>5649927913</v>
      </c>
      <c r="E91" s="34">
        <f t="shared" ref="E91" si="116">IFERROR(C91/B91,"")</f>
        <v>3.1002560135040089</v>
      </c>
      <c r="F91" s="43">
        <f t="shared" ref="F91" si="117">IFERROR(D91/B91,"")</f>
        <v>5298.380375111361</v>
      </c>
      <c r="G91" s="43">
        <f t="shared" ref="G91" si="118">IFERROR(F91/E91,"")</f>
        <v>1709.013820804741</v>
      </c>
      <c r="H91" s="27">
        <v>0.41434870103906773</v>
      </c>
      <c r="I91" s="59">
        <f>(B91/('Consumidores Inadimplentes'!B127*1000000))</f>
        <v>1.278762840153194E-2</v>
      </c>
    </row>
    <row r="92" spans="1:16" x14ac:dyDescent="0.35">
      <c r="A92" s="5">
        <v>46143</v>
      </c>
      <c r="B92" s="30">
        <v>1056490</v>
      </c>
      <c r="C92" s="30">
        <v>3261160</v>
      </c>
      <c r="D92" s="30">
        <v>5617216320</v>
      </c>
      <c r="E92" s="34">
        <f t="shared" ref="E92" si="119">IFERROR(C92/B92,"")</f>
        <v>3.0867873808554744</v>
      </c>
      <c r="F92" s="43">
        <f t="shared" ref="F92" si="120">IFERROR(D92/B92,"")</f>
        <v>5316.8665297352554</v>
      </c>
      <c r="G92" s="43">
        <f t="shared" ref="G92" si="121">IFERROR(F92/E92,"")</f>
        <v>1722.4595910657556</v>
      </c>
      <c r="H92" s="27">
        <v>0.41022269886767365</v>
      </c>
      <c r="I92" s="59">
        <f>(B92/('Consumidores Inadimplentes'!B128*1000000))</f>
        <v>1.2652143616757686E-2</v>
      </c>
    </row>
    <row r="93" spans="1:16" x14ac:dyDescent="0.35">
      <c r="A93" s="5">
        <v>46174</v>
      </c>
      <c r="B93" s="30">
        <v>1052101</v>
      </c>
      <c r="C93" s="30">
        <v>3248083</v>
      </c>
      <c r="D93" s="30">
        <v>5669932130</v>
      </c>
      <c r="E93" s="34">
        <f t="shared" ref="E93" si="122">IFERROR(C93/B93,"")</f>
        <v>3.087234970787025</v>
      </c>
      <c r="F93" s="43">
        <f t="shared" ref="F93" si="123">IFERROR(D93/B93,"")</f>
        <v>5389.1519255280627</v>
      </c>
      <c r="G93" s="43">
        <f t="shared" ref="G93" si="124">IFERROR(F93/E93,"")</f>
        <v>1745.6241512301258</v>
      </c>
      <c r="H93" s="27">
        <v>0.40822525973360813</v>
      </c>
      <c r="I93" s="59">
        <f>(B93/('Consumidores Inadimplentes'!B129*1000000))</f>
        <v>1.2564261310926384E-2</v>
      </c>
    </row>
    <row r="94" spans="1:16" x14ac:dyDescent="0.35">
      <c r="A94" s="5">
        <v>46204</v>
      </c>
      <c r="B94" s="30">
        <v>1050723</v>
      </c>
      <c r="C94" s="30">
        <v>3249404</v>
      </c>
      <c r="D94" s="30">
        <v>5659818874</v>
      </c>
      <c r="E94" s="34">
        <f t="shared" ref="E94" si="125">IFERROR(C94/B94,"")</f>
        <v>3.0925410407881051</v>
      </c>
      <c r="F94" s="43">
        <f t="shared" ref="F94" si="126">IFERROR(D94/B94,"")</f>
        <v>5386.5946343612923</v>
      </c>
      <c r="G94" s="43">
        <f t="shared" ref="G94" si="127">IFERROR(F94/E94,"")</f>
        <v>1741.8021501789251</v>
      </c>
      <c r="H94" s="27">
        <v>0.4073978290168539</v>
      </c>
      <c r="I94" s="59">
        <f>(B94/('Consumidores Inadimplentes'!B130*1000000))</f>
        <v>1.2518753592643981E-2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900E-86C6-45F3-8F12-20F24C85E95B}">
  <sheetPr codeName="Planilha24"/>
  <dimension ref="A1:P99"/>
  <sheetViews>
    <sheetView zoomScale="90" zoomScaleNormal="90" workbookViewId="0">
      <pane xSplit="1" ySplit="3" topLeftCell="B84" activePane="bottomRight" state="frozen"/>
      <selection activeCell="H93" sqref="H93"/>
      <selection pane="topRight" activeCell="H93" sqref="H93"/>
      <selection pane="bottomLeft" activeCell="H93" sqref="H93"/>
      <selection pane="bottomRight" activeCell="I1" sqref="I1:I104857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37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3095912</v>
      </c>
      <c r="C4" s="29">
        <v>11513306</v>
      </c>
      <c r="D4" s="29">
        <v>14279713757.480282</v>
      </c>
      <c r="E4" s="33">
        <f t="shared" ref="E4:E33" si="0">C4/B4</f>
        <v>3.7188737922783335</v>
      </c>
      <c r="F4" s="45">
        <f>D4/B4</f>
        <v>4612.4417481763958</v>
      </c>
      <c r="G4" s="45">
        <f t="shared" ref="G4" si="1">F4/E4</f>
        <v>1240.279182841165</v>
      </c>
      <c r="H4" s="26">
        <v>0.36048315023774663</v>
      </c>
      <c r="I4" s="58">
        <f>(B4/('Consumidores Inadimplentes'!B40*1000000))</f>
        <v>4.9792405924377503E-2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3095019</v>
      </c>
      <c r="C5" s="30">
        <v>11461565</v>
      </c>
      <c r="D5" s="30">
        <v>14229502489.050293</v>
      </c>
      <c r="E5" s="34">
        <f t="shared" si="0"/>
        <v>3.7032292855068096</v>
      </c>
      <c r="F5" s="43">
        <f t="shared" ref="F5:F45" si="2">D5/B5</f>
        <v>4597.5493168378907</v>
      </c>
      <c r="G5" s="43">
        <f t="shared" ref="G5:G45" si="3">F5/E5</f>
        <v>1241.4973425575208</v>
      </c>
      <c r="H5" s="27">
        <v>0.3599329981137035</v>
      </c>
      <c r="I5" s="59">
        <f>(B5/('Consumidores Inadimplentes'!B41*1000000))</f>
        <v>4.9780834586411381E-2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3126561</v>
      </c>
      <c r="C6" s="30">
        <v>11546212</v>
      </c>
      <c r="D6" s="30">
        <v>14500498671.010284</v>
      </c>
      <c r="E6" s="34">
        <f t="shared" si="0"/>
        <v>3.6929431410421865</v>
      </c>
      <c r="F6" s="43">
        <f t="shared" si="2"/>
        <v>4637.8428794481488</v>
      </c>
      <c r="G6" s="43">
        <f t="shared" si="3"/>
        <v>1255.8663110473187</v>
      </c>
      <c r="H6" s="27">
        <v>0.36301726374454996</v>
      </c>
      <c r="I6" s="59">
        <f>(B6/('Consumidores Inadimplentes'!B42*1000000))</f>
        <v>4.9659418322539957E-2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3098886</v>
      </c>
      <c r="C7" s="30">
        <v>11233615</v>
      </c>
      <c r="D7" s="30">
        <v>14392368977.92017</v>
      </c>
      <c r="E7" s="34">
        <f t="shared" si="0"/>
        <v>3.6250494532551376</v>
      </c>
      <c r="F7" s="43">
        <f t="shared" si="2"/>
        <v>4644.3686466427516</v>
      </c>
      <c r="G7" s="43">
        <f t="shared" si="3"/>
        <v>1281.1876655840679</v>
      </c>
      <c r="H7" s="27">
        <v>0.35889315866769694</v>
      </c>
      <c r="I7" s="59">
        <f>(B7/('Consumidores Inadimplentes'!B43*1000000))</f>
        <v>4.9028814055203256E-2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3087023</v>
      </c>
      <c r="C8" s="30">
        <v>11009768</v>
      </c>
      <c r="D8" s="30">
        <v>14552835380.690186</v>
      </c>
      <c r="E8" s="34">
        <f t="shared" si="0"/>
        <v>3.566467758743618</v>
      </c>
      <c r="F8" s="43">
        <f t="shared" si="2"/>
        <v>4714.1972640599652</v>
      </c>
      <c r="G8" s="43">
        <f t="shared" si="3"/>
        <v>1321.8112662038097</v>
      </c>
      <c r="H8" s="27">
        <v>0.3537121289372705</v>
      </c>
      <c r="I8" s="59">
        <f>(B8/('Consumidores Inadimplentes'!B44*1000000))</f>
        <v>4.8710714931477536E-2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3096862</v>
      </c>
      <c r="C9" s="30">
        <v>11000605</v>
      </c>
      <c r="D9" s="30">
        <v>14625200202.400105</v>
      </c>
      <c r="E9" s="34">
        <f t="shared" si="0"/>
        <v>3.5521779788702239</v>
      </c>
      <c r="F9" s="43">
        <f t="shared" si="2"/>
        <v>4722.5869936729841</v>
      </c>
      <c r="G9" s="43">
        <f t="shared" si="3"/>
        <v>1329.4905327843428</v>
      </c>
      <c r="H9" s="27">
        <v>0.35972254846099283</v>
      </c>
      <c r="I9" s="59">
        <f>(B9/('Consumidores Inadimplentes'!B45*1000000))</f>
        <v>4.8807464820534899E-2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3097390</v>
      </c>
      <c r="C10" s="30">
        <v>10959365</v>
      </c>
      <c r="D10" s="30">
        <v>14647706722.230143</v>
      </c>
      <c r="E10" s="34">
        <f t="shared" si="0"/>
        <v>3.5382580172338645</v>
      </c>
      <c r="F10" s="43">
        <f t="shared" si="2"/>
        <v>4729.0482381069687</v>
      </c>
      <c r="G10" s="43">
        <f t="shared" si="3"/>
        <v>1336.5470282475439</v>
      </c>
      <c r="H10" s="27">
        <v>0.3591503592538578</v>
      </c>
      <c r="I10" s="59">
        <f>(B10/('Consumidores Inadimplentes'!B46*1000000))</f>
        <v>4.8805950544572423E-2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3115332</v>
      </c>
      <c r="C11" s="30">
        <v>11038399</v>
      </c>
      <c r="D11" s="30">
        <v>14949473120.710167</v>
      </c>
      <c r="E11" s="34">
        <f t="shared" si="0"/>
        <v>3.5432496440186791</v>
      </c>
      <c r="F11" s="43">
        <f t="shared" si="2"/>
        <v>4798.6773546800687</v>
      </c>
      <c r="G11" s="43">
        <f t="shared" si="3"/>
        <v>1354.3153423526517</v>
      </c>
      <c r="H11" s="27">
        <v>0.36150123877855539</v>
      </c>
      <c r="I11" s="59">
        <f>(B11/('Consumidores Inadimplentes'!B47*1000000))</f>
        <v>4.9116084317354217E-2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3107518</v>
      </c>
      <c r="C12" s="30">
        <v>10892394</v>
      </c>
      <c r="D12" s="30">
        <v>14743022637.470104</v>
      </c>
      <c r="E12" s="34">
        <f t="shared" si="0"/>
        <v>3.5051748694617375</v>
      </c>
      <c r="F12" s="43">
        <f t="shared" si="2"/>
        <v>4744.30804181025</v>
      </c>
      <c r="G12" s="43">
        <f t="shared" si="3"/>
        <v>1353.5153647095492</v>
      </c>
      <c r="H12" s="27">
        <v>0.36022010683086969</v>
      </c>
      <c r="I12" s="59">
        <f>(B12/('Consumidores Inadimplentes'!B48*1000000))</f>
        <v>4.9164447344422477E-2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3133791</v>
      </c>
      <c r="C13" s="30">
        <v>10933178</v>
      </c>
      <c r="D13" s="30">
        <v>14858774148.560085</v>
      </c>
      <c r="E13" s="34">
        <f t="shared" si="0"/>
        <v>3.4888025397992402</v>
      </c>
      <c r="F13" s="43">
        <f t="shared" si="2"/>
        <v>4741.4694051262786</v>
      </c>
      <c r="G13" s="43">
        <f t="shared" si="3"/>
        <v>1359.0535294092977</v>
      </c>
      <c r="H13" s="27">
        <v>0.36288844188076758</v>
      </c>
      <c r="I13" s="59">
        <f>(B13/('Consumidores Inadimplentes'!B49*1000000))</f>
        <v>4.9079433014869993E-2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3131949</v>
      </c>
      <c r="C14" s="30">
        <v>10786164</v>
      </c>
      <c r="D14" s="30">
        <v>14709923557.030182</v>
      </c>
      <c r="E14" s="34">
        <f t="shared" si="0"/>
        <v>3.4439143166124353</v>
      </c>
      <c r="F14" s="43">
        <f t="shared" si="2"/>
        <v>4696.7315103247793</v>
      </c>
      <c r="G14" s="43">
        <f t="shared" si="3"/>
        <v>1363.7771089916844</v>
      </c>
      <c r="H14" s="27">
        <v>0.36229856502214142</v>
      </c>
      <c r="I14" s="59">
        <f>(B14/('Consumidores Inadimplentes'!B50*1000000))</f>
        <v>4.9058607632641159E-2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3101860</v>
      </c>
      <c r="C15" s="31">
        <v>10672360</v>
      </c>
      <c r="D15" s="31">
        <v>14744727673.560217</v>
      </c>
      <c r="E15" s="35">
        <f t="shared" si="0"/>
        <v>3.4406323947566944</v>
      </c>
      <c r="F15" s="43">
        <f t="shared" si="2"/>
        <v>4753.5116586693848</v>
      </c>
      <c r="G15" s="43">
        <f t="shared" si="3"/>
        <v>1381.5808006439268</v>
      </c>
      <c r="H15" s="27">
        <v>0.3584453631578266</v>
      </c>
      <c r="I15" s="59">
        <f>(B15/('Consumidores Inadimplentes'!B51*1000000))</f>
        <v>4.8996843857433726E-2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3153785</v>
      </c>
      <c r="C16" s="29">
        <v>10945485</v>
      </c>
      <c r="D16" s="29">
        <v>15353253905.350206</v>
      </c>
      <c r="E16" s="33">
        <f t="shared" si="0"/>
        <v>3.4705869296733924</v>
      </c>
      <c r="F16" s="45">
        <f t="shared" si="2"/>
        <v>4868.1992923900034</v>
      </c>
      <c r="G16" s="45">
        <f t="shared" si="3"/>
        <v>1402.7020187182393</v>
      </c>
      <c r="H16" s="26">
        <v>0.36406729447352271</v>
      </c>
      <c r="I16" s="59">
        <f>(B16/('Consumidores Inadimplentes'!B52*1000000))</f>
        <v>4.9446038058171569E-2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3188496</v>
      </c>
      <c r="C17" s="30">
        <v>11006293</v>
      </c>
      <c r="D17" s="30">
        <v>15352190525.340231</v>
      </c>
      <c r="E17" s="34">
        <f t="shared" si="0"/>
        <v>3.4518760569246441</v>
      </c>
      <c r="F17" s="43">
        <f t="shared" si="2"/>
        <v>4814.868993199374</v>
      </c>
      <c r="G17" s="43">
        <f t="shared" si="3"/>
        <v>1394.8556998564577</v>
      </c>
      <c r="H17" s="27">
        <v>0.36769208894227362</v>
      </c>
      <c r="I17" s="59">
        <f>(B17/('Consumidores Inadimplentes'!B53*1000000))</f>
        <v>4.9906264226179199E-2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3235517</v>
      </c>
      <c r="C18" s="30">
        <v>11133891</v>
      </c>
      <c r="D18" s="30">
        <v>15672630364.080235</v>
      </c>
      <c r="E18" s="34">
        <f t="shared" si="0"/>
        <v>3.4411474271345197</v>
      </c>
      <c r="F18" s="43">
        <f t="shared" si="2"/>
        <v>4843.9338640718734</v>
      </c>
      <c r="G18" s="43">
        <f t="shared" si="3"/>
        <v>1407.6507812120881</v>
      </c>
      <c r="H18" s="27">
        <v>0.37272707374784869</v>
      </c>
      <c r="I18" s="59">
        <f>(B18/('Consumidores Inadimplentes'!B54*1000000))</f>
        <v>4.9921076357861957E-2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3280183</v>
      </c>
      <c r="C19" s="30">
        <v>11263052</v>
      </c>
      <c r="D19" s="30">
        <v>15752974207.2502</v>
      </c>
      <c r="E19" s="34">
        <f t="shared" si="0"/>
        <v>3.4336657436490587</v>
      </c>
      <c r="F19" s="43">
        <f t="shared" si="2"/>
        <v>4802.4680962160346</v>
      </c>
      <c r="G19" s="43">
        <f t="shared" si="3"/>
        <v>1398.6417009572717</v>
      </c>
      <c r="H19" s="27">
        <v>0.37748016814882662</v>
      </c>
      <c r="I19" s="59">
        <f>(B19/('Consumidores Inadimplentes'!B55*1000000))</f>
        <v>4.9768655422450708E-2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3233429</v>
      </c>
      <c r="C20" s="30">
        <v>11097310</v>
      </c>
      <c r="D20" s="30">
        <v>15400489532.030193</v>
      </c>
      <c r="E20" s="34">
        <f t="shared" si="0"/>
        <v>3.4320561855540976</v>
      </c>
      <c r="F20" s="43">
        <f t="shared" si="2"/>
        <v>4762.897076765933</v>
      </c>
      <c r="G20" s="43">
        <f t="shared" si="3"/>
        <v>1387.7678042724042</v>
      </c>
      <c r="H20" s="27">
        <v>0.371713408244781</v>
      </c>
      <c r="I20" s="59">
        <f>(B20/('Consumidores Inadimplentes'!B56*1000000))</f>
        <v>4.9568184715883749E-2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3170447</v>
      </c>
      <c r="C21" s="30">
        <v>10874536</v>
      </c>
      <c r="D21" s="30">
        <v>15090161803.510242</v>
      </c>
      <c r="E21" s="34">
        <f t="shared" si="0"/>
        <v>3.4299693387083905</v>
      </c>
      <c r="F21" s="43">
        <f t="shared" si="2"/>
        <v>4759.6322548556218</v>
      </c>
      <c r="G21" s="43">
        <f t="shared" si="3"/>
        <v>1387.6602922193867</v>
      </c>
      <c r="H21" s="27">
        <v>0.3637164700981747</v>
      </c>
      <c r="I21" s="59">
        <f>(B21/('Consumidores Inadimplentes'!B57*1000000))</f>
        <v>4.9537699522650469E-2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3155304</v>
      </c>
      <c r="C22" s="30">
        <v>10763448</v>
      </c>
      <c r="D22" s="30">
        <v>15239896641.420181</v>
      </c>
      <c r="E22" s="34">
        <f t="shared" si="0"/>
        <v>3.4112237679792501</v>
      </c>
      <c r="F22" s="43">
        <f t="shared" si="2"/>
        <v>4829.9297441451545</v>
      </c>
      <c r="G22" s="43">
        <f t="shared" si="3"/>
        <v>1415.8935539448123</v>
      </c>
      <c r="H22" s="27">
        <v>0.361678392858371</v>
      </c>
      <c r="I22" s="59">
        <f>(B22/('Consumidores Inadimplentes'!B58*1000000))</f>
        <v>4.9687379961619843E-2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3131925</v>
      </c>
      <c r="C23" s="30">
        <v>10688640</v>
      </c>
      <c r="D23" s="30">
        <v>15045505074.900229</v>
      </c>
      <c r="E23" s="34">
        <f t="shared" si="0"/>
        <v>3.4128020306999689</v>
      </c>
      <c r="F23" s="43">
        <f t="shared" si="2"/>
        <v>4803.916145789005</v>
      </c>
      <c r="G23" s="43">
        <f t="shared" si="3"/>
        <v>1407.616410965308</v>
      </c>
      <c r="H23" s="27">
        <v>0.35870014126160565</v>
      </c>
      <c r="I23" s="59">
        <f>(B23/('Consumidores Inadimplentes'!B59*1000000))</f>
        <v>4.9673332129958003E-2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3117592</v>
      </c>
      <c r="C24" s="30">
        <v>10597200</v>
      </c>
      <c r="D24" s="30">
        <v>14974142469.160175</v>
      </c>
      <c r="E24" s="34">
        <f t="shared" si="0"/>
        <v>3.3991619172746144</v>
      </c>
      <c r="F24" s="43">
        <f t="shared" si="2"/>
        <v>4803.1116544949355</v>
      </c>
      <c r="G24" s="43">
        <f t="shared" si="3"/>
        <v>1413.0282026535476</v>
      </c>
      <c r="H24" s="27">
        <v>0.35676177210444443</v>
      </c>
      <c r="I24" s="59">
        <f>(B24/('Consumidores Inadimplentes'!B60*1000000))</f>
        <v>4.9672219232859867E-2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3102109</v>
      </c>
      <c r="C25" s="30">
        <v>10523367</v>
      </c>
      <c r="D25" s="30">
        <v>14927565297.930199</v>
      </c>
      <c r="E25" s="34">
        <f t="shared" si="0"/>
        <v>3.3923266397151099</v>
      </c>
      <c r="F25" s="43">
        <f t="shared" si="2"/>
        <v>4812.0698846914147</v>
      </c>
      <c r="G25" s="43">
        <f t="shared" si="3"/>
        <v>1418.5160793052451</v>
      </c>
      <c r="H25" s="27">
        <v>0.35469488850257241</v>
      </c>
      <c r="I25" s="59">
        <f>(B25/('Consumidores Inadimplentes'!B61*1000000))</f>
        <v>4.9809243082498712E-2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3084591</v>
      </c>
      <c r="C26" s="30">
        <v>10411128</v>
      </c>
      <c r="D26" s="30">
        <v>14613345349.180168</v>
      </c>
      <c r="E26" s="34">
        <f t="shared" si="0"/>
        <v>3.3752053351643703</v>
      </c>
      <c r="F26" s="43">
        <f t="shared" si="2"/>
        <v>4737.5309560263149</v>
      </c>
      <c r="G26" s="43">
        <f t="shared" si="3"/>
        <v>1403.6274790954608</v>
      </c>
      <c r="H26" s="27">
        <v>0.35239870821036778</v>
      </c>
      <c r="I26" s="59">
        <f>(B26/('Consumidores Inadimplentes'!B62*1000000))</f>
        <v>4.9792669569789338E-2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3041602</v>
      </c>
      <c r="C27" s="31">
        <v>10243820</v>
      </c>
      <c r="D27" s="31">
        <v>14335770608.810171</v>
      </c>
      <c r="E27" s="35">
        <f t="shared" si="0"/>
        <v>3.3679028354137062</v>
      </c>
      <c r="F27" s="46">
        <f t="shared" si="2"/>
        <v>4713.2302677372554</v>
      </c>
      <c r="G27" s="46">
        <f t="shared" si="3"/>
        <v>1399.4555360022114</v>
      </c>
      <c r="H27" s="28">
        <v>0.3471985900203301</v>
      </c>
      <c r="I27" s="59">
        <f>(B27/('Consumidores Inadimplentes'!B63*1000000))</f>
        <v>4.9568748423985856E-2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3101232</v>
      </c>
      <c r="C28" s="29">
        <v>10385884</v>
      </c>
      <c r="D28" s="29">
        <v>14579635589.580132</v>
      </c>
      <c r="E28" s="33">
        <f t="shared" si="0"/>
        <v>3.3489542220640054</v>
      </c>
      <c r="F28" s="45">
        <f t="shared" si="2"/>
        <v>4701.2398909788535</v>
      </c>
      <c r="G28" s="45">
        <f t="shared" si="3"/>
        <v>1403.7934170630188</v>
      </c>
      <c r="H28" s="26">
        <v>0.35371108813282576</v>
      </c>
      <c r="I28" s="59">
        <f>(B28/('Consumidores Inadimplentes'!B64*1000000))</f>
        <v>5.028806125389778E-2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3129114</v>
      </c>
      <c r="C29" s="30">
        <v>10404203</v>
      </c>
      <c r="D29" s="30">
        <v>14619310030.579975</v>
      </c>
      <c r="E29" s="34">
        <f t="shared" si="0"/>
        <v>3.3249677065137289</v>
      </c>
      <c r="F29" s="43">
        <f t="shared" si="2"/>
        <v>4672.0285776037481</v>
      </c>
      <c r="G29" s="43">
        <f t="shared" si="3"/>
        <v>1405.1350238533385</v>
      </c>
      <c r="H29" s="27">
        <v>0.35659451313459889</v>
      </c>
      <c r="I29" s="59">
        <f>(B29/('Consumidores Inadimplentes'!B65*1000000))</f>
        <v>5.0834423401463873E-2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3258518</v>
      </c>
      <c r="C30" s="30">
        <v>10859220</v>
      </c>
      <c r="D30" s="30">
        <v>14907329292.370026</v>
      </c>
      <c r="E30" s="34">
        <f t="shared" si="0"/>
        <v>3.332564067468708</v>
      </c>
      <c r="F30" s="43">
        <f t="shared" si="2"/>
        <v>4574.8801425586798</v>
      </c>
      <c r="G30" s="43">
        <f t="shared" si="3"/>
        <v>1372.7808528025057</v>
      </c>
      <c r="H30" s="27">
        <v>0.37103275545837011</v>
      </c>
      <c r="I30" s="59">
        <f>(B30/('Consumidores Inadimplentes'!B66*1000000))</f>
        <v>5.2088505755192603E-2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3305887</v>
      </c>
      <c r="C31" s="30">
        <v>11084974</v>
      </c>
      <c r="D31" s="30">
        <v>15205976239.750072</v>
      </c>
      <c r="E31" s="34">
        <f t="shared" si="0"/>
        <v>3.3531013008006627</v>
      </c>
      <c r="F31" s="43">
        <f t="shared" si="2"/>
        <v>4599.6660623155212</v>
      </c>
      <c r="G31" s="43">
        <f t="shared" si="3"/>
        <v>1371.7647185956478</v>
      </c>
      <c r="H31" s="27">
        <v>0.37611356059742435</v>
      </c>
      <c r="I31" s="59">
        <f>(B31/('Consumidores Inadimplentes'!B67*1000000))</f>
        <v>5.248975049400164E-2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3266858</v>
      </c>
      <c r="C32" s="30">
        <v>10919637</v>
      </c>
      <c r="D32" s="30">
        <v>15368586233.430073</v>
      </c>
      <c r="E32" s="34">
        <f t="shared" si="0"/>
        <v>3.3425502424653901</v>
      </c>
      <c r="F32" s="43">
        <f t="shared" si="2"/>
        <v>4704.3937120713763</v>
      </c>
      <c r="G32" s="43">
        <f t="shared" si="3"/>
        <v>1407.4264770367433</v>
      </c>
      <c r="H32" s="27">
        <v>0.37136426313330478</v>
      </c>
      <c r="I32" s="59">
        <f>(B32/('Consumidores Inadimplentes'!B68*1000000))</f>
        <v>5.2220594686871014E-2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3256815</v>
      </c>
      <c r="C33" s="30">
        <v>10798724</v>
      </c>
      <c r="D33" s="30">
        <v>15204263199.320168</v>
      </c>
      <c r="E33" s="34">
        <f t="shared" si="0"/>
        <v>3.315731473847916</v>
      </c>
      <c r="F33" s="43">
        <f t="shared" si="2"/>
        <v>4668.4454595425796</v>
      </c>
      <c r="G33" s="43">
        <f t="shared" si="3"/>
        <v>1407.9684969557668</v>
      </c>
      <c r="H33" s="27">
        <v>0.36991488634778652</v>
      </c>
      <c r="I33" s="59">
        <f>(B33/('Consumidores Inadimplentes'!B69*1000000))</f>
        <v>5.2101177307130229E-2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3236343</v>
      </c>
      <c r="C34" s="30">
        <v>10698275</v>
      </c>
      <c r="D34" s="30">
        <v>15113558827.870111</v>
      </c>
      <c r="E34" s="34">
        <f>C34/B34</f>
        <v>3.3056678479382438</v>
      </c>
      <c r="F34" s="43">
        <f t="shared" si="2"/>
        <v>4669.9496400320086</v>
      </c>
      <c r="G34" s="43">
        <f t="shared" si="3"/>
        <v>1412.7098834036433</v>
      </c>
      <c r="H34" s="27">
        <v>0.36758972338965401</v>
      </c>
      <c r="I34" s="59">
        <f>(B34/('Consumidores Inadimplentes'!B70*1000000))</f>
        <v>5.2011384979064747E-2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3287282</v>
      </c>
      <c r="C35" s="30">
        <v>10879714</v>
      </c>
      <c r="D35" s="30">
        <v>15153057984.770105</v>
      </c>
      <c r="E35" s="34">
        <f>C35/B35</f>
        <v>3.3096381752462976</v>
      </c>
      <c r="F35" s="43">
        <f t="shared" si="2"/>
        <v>4609.6008753645428</v>
      </c>
      <c r="G35" s="43">
        <f t="shared" si="3"/>
        <v>1392.7809117748964</v>
      </c>
      <c r="H35" s="27">
        <v>0.37310700192643803</v>
      </c>
      <c r="I35" s="59">
        <f>(B35/('Consumidores Inadimplentes'!B71*1000000))</f>
        <v>5.2808799147870511E-2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3299983</v>
      </c>
      <c r="C36" s="30">
        <v>10985309</v>
      </c>
      <c r="D36" s="30">
        <v>15208528148.290051</v>
      </c>
      <c r="E36" s="34">
        <f>C36/B36</f>
        <v>3.3288986640234208</v>
      </c>
      <c r="F36" s="43">
        <f t="shared" si="2"/>
        <v>4608.6686350475293</v>
      </c>
      <c r="G36" s="43">
        <f t="shared" si="3"/>
        <v>1384.442453852691</v>
      </c>
      <c r="H36" s="27">
        <v>0.37427928183375109</v>
      </c>
      <c r="I36" s="59">
        <f>(B36/('Consumidores Inadimplentes'!B72*1000000))</f>
        <v>5.304563056871478E-2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3347164</v>
      </c>
      <c r="C37" s="30">
        <v>11207319</v>
      </c>
      <c r="D37" s="30">
        <v>15673435099.780033</v>
      </c>
      <c r="E37" s="34">
        <f>C37/B37</f>
        <v>3.3483029215180373</v>
      </c>
      <c r="F37" s="43">
        <f t="shared" si="2"/>
        <v>4682.6014798737178</v>
      </c>
      <c r="G37" s="43">
        <f t="shared" si="3"/>
        <v>1398.4999534482808</v>
      </c>
      <c r="H37" s="27">
        <v>0.37935752428471886</v>
      </c>
      <c r="I37" s="59">
        <f>(B37/('Consumidores Inadimplentes'!B73*1000000))</f>
        <v>5.2790185790111362E-2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3406059</v>
      </c>
      <c r="C38" s="30">
        <v>11446116</v>
      </c>
      <c r="D38" s="30">
        <v>15926606352.160147</v>
      </c>
      <c r="E38" s="34">
        <f t="shared" ref="E38:E45" si="4">C38/B38</f>
        <v>3.3605160685707443</v>
      </c>
      <c r="F38" s="43">
        <f t="shared" si="2"/>
        <v>4675.9631445492123</v>
      </c>
      <c r="G38" s="43">
        <f t="shared" si="3"/>
        <v>1391.4419836528079</v>
      </c>
      <c r="H38" s="27">
        <v>0.38575497033158496</v>
      </c>
      <c r="I38" s="59">
        <f>(B38/('Consumidores Inadimplentes'!B74*1000000))</f>
        <v>5.2996366715435131E-2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3452365</v>
      </c>
      <c r="C39" s="31">
        <v>11644683</v>
      </c>
      <c r="D39" s="31">
        <v>15713315142.600109</v>
      </c>
      <c r="E39" s="35">
        <f t="shared" si="4"/>
        <v>3.3729582474622468</v>
      </c>
      <c r="F39" s="46">
        <f t="shared" si="2"/>
        <v>4551.4640377248952</v>
      </c>
      <c r="G39" s="46">
        <f t="shared" si="3"/>
        <v>1349.3982740964359</v>
      </c>
      <c r="H39" s="28">
        <v>0.39071825367858221</v>
      </c>
      <c r="I39" s="59">
        <f>(B39/('Consumidores Inadimplentes'!B75*1000000))</f>
        <v>5.3967780389487997E-2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3420612</v>
      </c>
      <c r="C40" s="29">
        <v>11665908</v>
      </c>
      <c r="D40" s="29">
        <v>16091057811.160126</v>
      </c>
      <c r="E40" s="33">
        <f t="shared" si="4"/>
        <v>3.4104739151941232</v>
      </c>
      <c r="F40" s="45">
        <f t="shared" si="2"/>
        <v>4704.1458695578822</v>
      </c>
      <c r="G40" s="45">
        <f t="shared" si="3"/>
        <v>1379.3232220895386</v>
      </c>
      <c r="H40" s="26">
        <v>0.38684627749128253</v>
      </c>
      <c r="I40" s="59">
        <f>(B40/('Consumidores Inadimplentes'!B76*1000000))</f>
        <v>5.2773017485015838E-2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3412750</v>
      </c>
      <c r="C41" s="30">
        <v>11691162</v>
      </c>
      <c r="D41" s="30">
        <v>16164013524.910196</v>
      </c>
      <c r="E41" s="34">
        <f t="shared" si="4"/>
        <v>3.4257305691890703</v>
      </c>
      <c r="F41" s="43">
        <f t="shared" si="2"/>
        <v>4736.3602739462885</v>
      </c>
      <c r="G41" s="43">
        <f t="shared" si="3"/>
        <v>1382.5840001969177</v>
      </c>
      <c r="H41" s="27">
        <v>0.38567964772087088</v>
      </c>
      <c r="I41" s="59">
        <f>(B41/('Consumidores Inadimplentes'!B77*1000000))</f>
        <v>5.2367572838840026E-2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3450506</v>
      </c>
      <c r="C42" s="30">
        <v>11789340</v>
      </c>
      <c r="D42" s="30">
        <v>16350406313.75013</v>
      </c>
      <c r="E42" s="34">
        <f t="shared" si="4"/>
        <v>3.4166988841636559</v>
      </c>
      <c r="F42" s="43">
        <f t="shared" si="2"/>
        <v>4738.5532190786307</v>
      </c>
      <c r="G42" s="43">
        <f t="shared" si="3"/>
        <v>1386.8805474903711</v>
      </c>
      <c r="H42" s="27">
        <v>0.38966612430084951</v>
      </c>
      <c r="I42" s="59">
        <f>(B42/('Consumidores Inadimplentes'!B78*1000000))</f>
        <v>5.2523928295288902E-2</v>
      </c>
    </row>
    <row r="43" spans="1:16" x14ac:dyDescent="0.35">
      <c r="A43" s="5">
        <v>44652</v>
      </c>
      <c r="B43" s="30">
        <v>3491575</v>
      </c>
      <c r="C43" s="30">
        <v>11993482</v>
      </c>
      <c r="D43" s="30">
        <v>16728930799.240112</v>
      </c>
      <c r="E43" s="34">
        <f t="shared" si="4"/>
        <v>3.4349776247109114</v>
      </c>
      <c r="F43" s="43">
        <f t="shared" si="2"/>
        <v>4791.2276835640396</v>
      </c>
      <c r="G43" s="43">
        <f t="shared" si="3"/>
        <v>1394.8351945865354</v>
      </c>
      <c r="H43" s="27">
        <v>0.39402056310947603</v>
      </c>
      <c r="I43" s="59">
        <f>(B43/('Consumidores Inadimplentes'!B79*1000000))</f>
        <v>5.2796522505442464E-2</v>
      </c>
    </row>
    <row r="44" spans="1:16" x14ac:dyDescent="0.35">
      <c r="A44" s="5">
        <v>44682</v>
      </c>
      <c r="B44" s="30">
        <v>3526729</v>
      </c>
      <c r="C44" s="30">
        <v>12258603</v>
      </c>
      <c r="D44" s="30">
        <v>17095551087.500093</v>
      </c>
      <c r="E44" s="34">
        <f t="shared" si="4"/>
        <v>3.4759129493646945</v>
      </c>
      <c r="F44" s="43">
        <f t="shared" si="2"/>
        <v>4847.4240826272999</v>
      </c>
      <c r="G44" s="43">
        <f t="shared" si="3"/>
        <v>1394.5758001543973</v>
      </c>
      <c r="H44" s="27">
        <v>0.39770149887587408</v>
      </c>
      <c r="I44" s="59">
        <f>(B44/('Consumidores Inadimplentes'!B80*1000000))</f>
        <v>5.2969940530627466E-2</v>
      </c>
    </row>
    <row r="45" spans="1:16" x14ac:dyDescent="0.35">
      <c r="A45" s="5">
        <v>44713</v>
      </c>
      <c r="B45" s="30">
        <v>3522372</v>
      </c>
      <c r="C45" s="30">
        <v>12357055</v>
      </c>
      <c r="D45" s="30">
        <v>17231397745.59</v>
      </c>
      <c r="E45" s="34">
        <f t="shared" si="4"/>
        <v>3.5081629651836885</v>
      </c>
      <c r="F45" s="43">
        <f t="shared" si="2"/>
        <v>4891.9869183578567</v>
      </c>
      <c r="G45" s="43">
        <f t="shared" si="3"/>
        <v>1394.4582868320972</v>
      </c>
      <c r="H45" s="27">
        <v>0.39692459871408659</v>
      </c>
      <c r="I45" s="59">
        <f>(B45/('Consumidores Inadimplentes'!B81*1000000))</f>
        <v>5.2715421785467752E-2</v>
      </c>
    </row>
    <row r="46" spans="1:16" x14ac:dyDescent="0.35">
      <c r="A46" s="5">
        <v>44743</v>
      </c>
      <c r="B46" s="30">
        <v>3554888</v>
      </c>
      <c r="C46" s="30">
        <v>12623520</v>
      </c>
      <c r="D46" s="30">
        <v>17518472215.499901</v>
      </c>
      <c r="E46" s="34">
        <f t="shared" ref="E46" si="5">C46/B46</f>
        <v>3.5510317062028394</v>
      </c>
      <c r="F46" s="43">
        <f t="shared" ref="F46" si="6">D46/B46</f>
        <v>4927.9955417723149</v>
      </c>
      <c r="G46" s="43">
        <f t="shared" ref="G46" si="7">F46/E46</f>
        <v>1387.7644441090838</v>
      </c>
      <c r="H46" s="27">
        <v>0.40030070229931858</v>
      </c>
      <c r="I46" s="59">
        <f>(B46/('Consumidores Inadimplentes'!B82*1000000))</f>
        <v>5.2561994463916489E-2</v>
      </c>
    </row>
    <row r="47" spans="1:16" x14ac:dyDescent="0.35">
      <c r="A47" s="5">
        <v>44774</v>
      </c>
      <c r="B47" s="30">
        <v>3582042</v>
      </c>
      <c r="C47" s="30">
        <v>12964083</v>
      </c>
      <c r="D47" s="30">
        <v>17565220309.6399</v>
      </c>
      <c r="E47" s="34">
        <f t="shared" ref="E47" si="8">C47/B47</f>
        <v>3.6191878822191366</v>
      </c>
      <c r="F47" s="43">
        <f t="shared" ref="F47" si="9">D47/B47</f>
        <v>4903.6890995806025</v>
      </c>
      <c r="G47" s="43">
        <f t="shared" ref="G47" si="10">F47/E47</f>
        <v>1354.9142125702142</v>
      </c>
      <c r="H47" s="27">
        <v>0.40303326796964978</v>
      </c>
      <c r="I47" s="59">
        <f>(B47/('Consumidores Inadimplentes'!B83*1000000))</f>
        <v>5.2695499887968213E-2</v>
      </c>
    </row>
    <row r="48" spans="1:16" x14ac:dyDescent="0.35">
      <c r="A48" s="5">
        <v>44805</v>
      </c>
      <c r="B48" s="30">
        <v>3599951</v>
      </c>
      <c r="C48" s="30">
        <v>13168103</v>
      </c>
      <c r="D48" s="30">
        <v>17956079753.179798</v>
      </c>
      <c r="E48" s="34">
        <f t="shared" ref="E48" si="11">C48/B48</f>
        <v>3.6578561763757338</v>
      </c>
      <c r="F48" s="43">
        <f t="shared" ref="F48" si="12">D48/B48</f>
        <v>4987.8678218619634</v>
      </c>
      <c r="G48" s="43">
        <f t="shared" ref="G48" si="13">F48/E48</f>
        <v>1363.6041389697361</v>
      </c>
      <c r="H48" s="27">
        <v>0.40472179607185171</v>
      </c>
      <c r="I48" s="59">
        <f>(B48/('Consumidores Inadimplentes'!B84*1000000))</f>
        <v>5.2640059961353777E-2</v>
      </c>
    </row>
    <row r="49" spans="1:16" x14ac:dyDescent="0.35">
      <c r="A49" s="5">
        <v>44835</v>
      </c>
      <c r="B49" s="30">
        <v>3626872</v>
      </c>
      <c r="C49" s="30">
        <v>13280853</v>
      </c>
      <c r="D49" s="30">
        <v>18327255595.389957</v>
      </c>
      <c r="E49" s="34">
        <f t="shared" ref="E49" si="14">C49/B49</f>
        <v>3.6617925860079983</v>
      </c>
      <c r="F49" s="43">
        <f t="shared" ref="F49" si="15">D49/B49</f>
        <v>5053.1851125129197</v>
      </c>
      <c r="G49" s="43">
        <f t="shared" ref="G49" si="16">F49/E49</f>
        <v>1379.9757888585889</v>
      </c>
      <c r="H49" s="27">
        <v>0.4074196808961168</v>
      </c>
      <c r="I49" s="59">
        <f>(B49/('Consumidores Inadimplentes'!B85*1000000))</f>
        <v>5.2520250044021832E-2</v>
      </c>
    </row>
    <row r="50" spans="1:16" x14ac:dyDescent="0.35">
      <c r="A50" s="5">
        <v>44866</v>
      </c>
      <c r="B50" s="30">
        <v>3791570</v>
      </c>
      <c r="C50" s="30">
        <v>13929672</v>
      </c>
      <c r="D50" s="30">
        <v>19003245760.379959</v>
      </c>
      <c r="E50" s="34">
        <f t="shared" ref="E50" si="17">C50/B50</f>
        <v>3.6738533114250824</v>
      </c>
      <c r="F50" s="43">
        <f t="shared" ref="F50" si="18">D50/B50</f>
        <v>5011.9728134730358</v>
      </c>
      <c r="G50" s="43">
        <f t="shared" ref="G50" si="19">F50/E50</f>
        <v>1364.2277980687527</v>
      </c>
      <c r="H50" s="27">
        <v>0.42557750469035782</v>
      </c>
      <c r="I50" s="59">
        <f>(B50/('Consumidores Inadimplentes'!B86*1000000))</f>
        <v>5.4293456276517688E-2</v>
      </c>
    </row>
    <row r="51" spans="1:16" ht="15" thickBot="1" x14ac:dyDescent="0.4">
      <c r="A51" s="12">
        <v>44896</v>
      </c>
      <c r="B51" s="31">
        <v>3687980</v>
      </c>
      <c r="C51" s="31">
        <v>14361367</v>
      </c>
      <c r="D51" s="31">
        <v>19073930573.099892</v>
      </c>
      <c r="E51" s="35">
        <f t="shared" ref="E51" si="20">C51/B51</f>
        <v>3.8941011068389741</v>
      </c>
      <c r="F51" s="46">
        <f t="shared" ref="F51" si="21">D51/B51</f>
        <v>5171.9181159062391</v>
      </c>
      <c r="G51" s="46">
        <f t="shared" ref="G51" si="22">F51/E51</f>
        <v>1328.141713327143</v>
      </c>
      <c r="H51" s="28">
        <v>0.41361658297465059</v>
      </c>
      <c r="I51" s="59">
        <f>(B51/('Consumidores Inadimplentes'!B87*1000000))</f>
        <v>5.3118483840457253E-2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3807542</v>
      </c>
      <c r="C52" s="29">
        <v>14809285</v>
      </c>
      <c r="D52" s="29">
        <v>19806525637.369923</v>
      </c>
      <c r="E52" s="33">
        <f t="shared" ref="E52" si="23">C52/B52</f>
        <v>3.8894607071964011</v>
      </c>
      <c r="F52" s="45">
        <f t="shared" ref="F52" si="24">D52/B52</f>
        <v>5201.9191481984763</v>
      </c>
      <c r="G52" s="45">
        <f t="shared" ref="G52" si="25">F52/E52</f>
        <v>1337.4396966072247</v>
      </c>
      <c r="H52" s="26">
        <v>0.42668156346951319</v>
      </c>
      <c r="I52" s="59">
        <f>(B52/('Consumidores Inadimplentes'!B88*1000000))</f>
        <v>5.4321305257158642E-2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3807964</v>
      </c>
      <c r="C53" s="30">
        <v>15327735</v>
      </c>
      <c r="D53" s="30">
        <v>20030949490.909943</v>
      </c>
      <c r="E53" s="34">
        <f t="shared" ref="E53" si="26">C53/B53</f>
        <v>4.0251785468560106</v>
      </c>
      <c r="F53" s="43">
        <f t="shared" ref="F53" si="27">D53/B53</f>
        <v>5260.2780622164346</v>
      </c>
      <c r="G53" s="43">
        <f t="shared" ref="G53" si="28">F53/E53</f>
        <v>1306.8434110395267</v>
      </c>
      <c r="H53" s="27">
        <v>0.42638487376402645</v>
      </c>
      <c r="I53" s="59">
        <f>(B53/('Consumidores Inadimplentes'!B89*1000000))</f>
        <v>5.3993038462009639E-2</v>
      </c>
    </row>
    <row r="54" spans="1:16" x14ac:dyDescent="0.35">
      <c r="A54" s="5">
        <v>44986</v>
      </c>
      <c r="B54" s="30">
        <v>3766970</v>
      </c>
      <c r="C54" s="30">
        <v>15288743</v>
      </c>
      <c r="D54" s="30">
        <v>20400424719.549911</v>
      </c>
      <c r="E54" s="34">
        <f t="shared" ref="E54" si="29">C54/B54</f>
        <v>4.0586314730406663</v>
      </c>
      <c r="F54" s="43">
        <f t="shared" ref="F54" si="30">D54/B54</f>
        <v>5415.6058369325774</v>
      </c>
      <c r="G54" s="43">
        <f t="shared" ref="G54" si="31">F54/E54</f>
        <v>1334.3428377041796</v>
      </c>
      <c r="H54" s="27">
        <v>0.42145468699495942</v>
      </c>
      <c r="I54" s="59">
        <f>(B54/('Consumidores Inadimplentes'!B90*1000000))</f>
        <v>5.3275472720343532E-2</v>
      </c>
    </row>
    <row r="55" spans="1:16" x14ac:dyDescent="0.35">
      <c r="A55" s="5">
        <v>45017</v>
      </c>
      <c r="B55" s="30">
        <v>3777246</v>
      </c>
      <c r="C55" s="30">
        <v>15370807</v>
      </c>
      <c r="D55" s="30">
        <v>20693641591.18993</v>
      </c>
      <c r="E55" s="34">
        <f t="shared" ref="E55" si="32">C55/B55</f>
        <v>4.0693158454598937</v>
      </c>
      <c r="F55" s="43">
        <f t="shared" ref="F55" si="33">D55/B55</f>
        <v>5478.4998359095307</v>
      </c>
      <c r="G55" s="43">
        <f t="shared" ref="G55" si="34">F55/E55</f>
        <v>1346.295063830411</v>
      </c>
      <c r="H55" s="27">
        <v>0.42226375646727432</v>
      </c>
      <c r="I55" s="59">
        <f>(B55/('Consumidores Inadimplentes'!B91*1000000))</f>
        <v>5.2873298128197174E-2</v>
      </c>
    </row>
    <row r="56" spans="1:16" x14ac:dyDescent="0.35">
      <c r="A56" s="5">
        <v>45047</v>
      </c>
      <c r="B56" s="30">
        <v>3816543</v>
      </c>
      <c r="C56" s="30">
        <v>15575784</v>
      </c>
      <c r="D56" s="30">
        <v>21080911101.369862</v>
      </c>
      <c r="E56" s="34">
        <f t="shared" ref="E56" si="35">C56/B56</f>
        <v>4.0811236765837569</v>
      </c>
      <c r="F56" s="43">
        <f t="shared" ref="F56" si="36">D56/B56</f>
        <v>5523.5617943698944</v>
      </c>
      <c r="G56" s="43">
        <f t="shared" ref="G56" si="37">F56/E56</f>
        <v>1353.4414127320883</v>
      </c>
      <c r="H56" s="27">
        <v>0.42631292345275507</v>
      </c>
      <c r="I56" s="59">
        <f>(B56/('Consumidores Inadimplentes'!B92*1000000))</f>
        <v>5.3078627218168598E-2</v>
      </c>
    </row>
    <row r="57" spans="1:16" x14ac:dyDescent="0.35">
      <c r="A57" s="5">
        <v>45078</v>
      </c>
      <c r="B57" s="30">
        <v>3766560</v>
      </c>
      <c r="C57" s="30">
        <v>15355030</v>
      </c>
      <c r="D57" s="30">
        <v>20949602606.970066</v>
      </c>
      <c r="E57" s="34">
        <f t="shared" ref="E57" si="38">C57/B57</f>
        <v>4.076672082749246</v>
      </c>
      <c r="F57" s="43">
        <f t="shared" ref="F57" si="39">D57/B57</f>
        <v>5561.9989080142268</v>
      </c>
      <c r="G57" s="43">
        <f t="shared" ref="G57" si="40">F57/E57</f>
        <v>1364.3478786410751</v>
      </c>
      <c r="H57" s="27">
        <v>0.42039062389260673</v>
      </c>
      <c r="I57" s="59">
        <f>(B57/('Consumidores Inadimplentes'!B93*1000000))</f>
        <v>5.2713417925557046E-2</v>
      </c>
    </row>
    <row r="58" spans="1:16" x14ac:dyDescent="0.35">
      <c r="A58" s="5">
        <v>45108</v>
      </c>
      <c r="B58" s="30">
        <v>3728401</v>
      </c>
      <c r="C58" s="30">
        <v>15102566</v>
      </c>
      <c r="D58" s="30">
        <v>21134279383.12019</v>
      </c>
      <c r="E58" s="34">
        <f t="shared" ref="E58" si="41">C58/B58</f>
        <v>4.0506817802055091</v>
      </c>
      <c r="F58" s="43">
        <f t="shared" ref="F58" si="42">D58/B58</f>
        <v>5668.4566341228292</v>
      </c>
      <c r="G58" s="43">
        <f t="shared" ref="G58" si="43">F58/E58</f>
        <v>1399.3833487051268</v>
      </c>
      <c r="H58" s="27">
        <v>0.41579621485475182</v>
      </c>
      <c r="I58" s="59">
        <f>(B58/('Consumidores Inadimplentes'!B94*1000000))</f>
        <v>5.2204580910140783E-2</v>
      </c>
    </row>
    <row r="59" spans="1:16" x14ac:dyDescent="0.35">
      <c r="A59" s="5">
        <v>45139</v>
      </c>
      <c r="B59" s="30">
        <v>3916420</v>
      </c>
      <c r="C59" s="30">
        <v>15753644</v>
      </c>
      <c r="D59" s="30">
        <v>21507051051.710274</v>
      </c>
      <c r="E59" s="34">
        <f t="shared" ref="E59:E60" si="44">C59/B59</f>
        <v>4.0224603081385553</v>
      </c>
      <c r="F59" s="43">
        <f t="shared" ref="F59:F60" si="45">D59/B59</f>
        <v>5491.507818801424</v>
      </c>
      <c r="G59" s="43">
        <f t="shared" ref="G59:G60" si="46">F59/E59</f>
        <v>1365.2111887072142</v>
      </c>
      <c r="H59" s="27">
        <v>0.43639665940531175</v>
      </c>
      <c r="I59" s="59">
        <f>(B59/('Consumidores Inadimplentes'!B95*1000000))</f>
        <v>5.4592568724199202E-2</v>
      </c>
    </row>
    <row r="60" spans="1:16" x14ac:dyDescent="0.35">
      <c r="A60" s="5">
        <v>45170</v>
      </c>
      <c r="B60" s="30">
        <v>3766066</v>
      </c>
      <c r="C60" s="30">
        <v>15314624</v>
      </c>
      <c r="D60" s="30">
        <v>21706026896.770218</v>
      </c>
      <c r="E60" s="34">
        <f t="shared" si="44"/>
        <v>4.0664778577964382</v>
      </c>
      <c r="F60" s="43">
        <f t="shared" si="45"/>
        <v>5763.5811206628396</v>
      </c>
      <c r="G60" s="43">
        <f t="shared" si="46"/>
        <v>1417.3398509013487</v>
      </c>
      <c r="H60" s="27">
        <v>0.41928979832135604</v>
      </c>
      <c r="I60" s="59">
        <f>(B60/('Consumidores Inadimplentes'!B96*1000000))</f>
        <v>5.2435997146228527E-2</v>
      </c>
    </row>
    <row r="61" spans="1:16" x14ac:dyDescent="0.35">
      <c r="A61" s="5">
        <v>45200</v>
      </c>
      <c r="B61" s="30">
        <v>3757777</v>
      </c>
      <c r="C61" s="30">
        <v>15241439</v>
      </c>
      <c r="D61" s="30">
        <v>22308054133.700089</v>
      </c>
      <c r="E61" s="34">
        <f t="shared" ref="E61" si="47">C61/B61</f>
        <v>4.0559721878121024</v>
      </c>
      <c r="F61" s="43">
        <f t="shared" ref="F61" si="48">D61/B61</f>
        <v>5936.5029201307289</v>
      </c>
      <c r="G61" s="43">
        <f t="shared" ref="G61" si="49">F61/E61</f>
        <v>1463.6448785249274</v>
      </c>
      <c r="H61" s="27">
        <v>0.41801474596143534</v>
      </c>
      <c r="I61" s="59">
        <f>(B61/('Consumidores Inadimplentes'!B97*1000000))</f>
        <v>5.2225791582487302E-2</v>
      </c>
    </row>
    <row r="62" spans="1:16" x14ac:dyDescent="0.35">
      <c r="A62" s="5">
        <v>45231</v>
      </c>
      <c r="B62" s="30">
        <v>3723887</v>
      </c>
      <c r="C62" s="30">
        <v>15033213</v>
      </c>
      <c r="D62" s="30">
        <v>22293569569.680172</v>
      </c>
      <c r="E62" s="34">
        <f t="shared" ref="E62:E63" si="50">C62/B62</f>
        <v>4.036968092748249</v>
      </c>
      <c r="F62" s="43">
        <f t="shared" ref="F62:F63" si="51">D62/B62</f>
        <v>5986.6396509024498</v>
      </c>
      <c r="G62" s="43">
        <f t="shared" ref="G62:G63" si="52">F62/E62</f>
        <v>1482.9544136493093</v>
      </c>
      <c r="H62" s="27">
        <v>0.41389605936543272</v>
      </c>
      <c r="I62" s="59">
        <f>(B62/('Consumidores Inadimplentes'!B98*1000000))</f>
        <v>5.1858278887915318E-2</v>
      </c>
    </row>
    <row r="63" spans="1:16" ht="15" thickBot="1" x14ac:dyDescent="0.4">
      <c r="A63" s="12">
        <v>45261</v>
      </c>
      <c r="B63" s="31">
        <v>3710095</v>
      </c>
      <c r="C63" s="31">
        <v>14953837</v>
      </c>
      <c r="D63" s="31">
        <v>21724666538.590115</v>
      </c>
      <c r="E63" s="35">
        <f t="shared" si="50"/>
        <v>4.0305806185555895</v>
      </c>
      <c r="F63" s="46">
        <f t="shared" si="51"/>
        <v>5855.5553263703796</v>
      </c>
      <c r="G63" s="46">
        <f t="shared" si="52"/>
        <v>1452.7820878741766</v>
      </c>
      <c r="H63" s="28">
        <v>0.41201596582065259</v>
      </c>
      <c r="I63" s="59">
        <f>(B63/('Consumidores Inadimplentes'!B99*1000000))</f>
        <v>5.2179574318118677E-2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3724304</v>
      </c>
      <c r="C64" s="29">
        <v>15007330</v>
      </c>
      <c r="D64" s="29">
        <v>22501760720.359921</v>
      </c>
      <c r="E64" s="33">
        <f t="shared" ref="E64" si="53">C64/B64</f>
        <v>4.0295663297088531</v>
      </c>
      <c r="F64" s="45">
        <f t="shared" ref="F64" si="54">D64/B64</f>
        <v>6041.8700300404907</v>
      </c>
      <c r="G64" s="45">
        <f t="shared" ref="G64" si="55">F64/E64</f>
        <v>1499.3846820427032</v>
      </c>
      <c r="H64" s="26">
        <v>0.4132457303183652</v>
      </c>
      <c r="I64" s="59">
        <f>(B64/('Consumidores Inadimplentes'!B100*1000000))</f>
        <v>5.1676335624334047E-2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3712946</v>
      </c>
      <c r="C65" s="30">
        <v>14920145</v>
      </c>
      <c r="D65" s="30">
        <v>22404812219.170143</v>
      </c>
      <c r="E65" s="34">
        <f t="shared" ref="E65" si="56">C65/B65</f>
        <v>4.0184115255110093</v>
      </c>
      <c r="F65" s="43">
        <f t="shared" ref="F65" si="57">D65/B65</f>
        <v>6034.2413326695687</v>
      </c>
      <c r="G65" s="43">
        <f t="shared" ref="G65" si="58">F65/E65</f>
        <v>1501.6484236024612</v>
      </c>
      <c r="H65" s="27">
        <v>0.41163859933522667</v>
      </c>
      <c r="I65" s="59">
        <f>(B65/('Consumidores Inadimplentes'!B101*1000000))</f>
        <v>5.1540588359433939E-2</v>
      </c>
    </row>
    <row r="66" spans="1:16" x14ac:dyDescent="0.35">
      <c r="A66" s="5">
        <v>45352</v>
      </c>
      <c r="B66" s="30">
        <v>3719838</v>
      </c>
      <c r="C66" s="30">
        <v>14868515</v>
      </c>
      <c r="D66" s="30">
        <v>22664755197.240101</v>
      </c>
      <c r="E66" s="34">
        <f t="shared" ref="E66" si="59">C66/B66</f>
        <v>3.9970867010875204</v>
      </c>
      <c r="F66" s="43">
        <f t="shared" ref="F66" si="60">D66/B66</f>
        <v>6092.9414660638722</v>
      </c>
      <c r="G66" s="43">
        <f t="shared" ref="G66" si="61">F66/E66</f>
        <v>1524.3455850997966</v>
      </c>
      <c r="H66" s="27">
        <v>0.4120554965446202</v>
      </c>
      <c r="I66" s="59">
        <f>(B66/('Consumidores Inadimplentes'!B102*1000000))</f>
        <v>5.1030209677035906E-2</v>
      </c>
    </row>
    <row r="67" spans="1:16" x14ac:dyDescent="0.35">
      <c r="A67" s="5">
        <v>45383</v>
      </c>
      <c r="B67" s="30">
        <v>3806501</v>
      </c>
      <c r="C67" s="30">
        <v>15250513</v>
      </c>
      <c r="D67" s="30">
        <v>23213700083.640106</v>
      </c>
      <c r="E67" s="34">
        <f t="shared" ref="E67" si="62">C67/B67</f>
        <v>4.0064387215450621</v>
      </c>
      <c r="F67" s="43">
        <f t="shared" ref="F67" si="63">D67/B67</f>
        <v>6098.4353041389204</v>
      </c>
      <c r="G67" s="43">
        <f t="shared" ref="G67" si="64">F67/E67</f>
        <v>1522.1586371317544</v>
      </c>
      <c r="H67" s="27">
        <v>0.42130040731044832</v>
      </c>
      <c r="I67" s="59">
        <f>(B67/('Consumidores Inadimplentes'!B103*1000000))</f>
        <v>5.1845712321899502E-2</v>
      </c>
    </row>
    <row r="68" spans="1:16" x14ac:dyDescent="0.35">
      <c r="A68" s="5">
        <v>45413</v>
      </c>
      <c r="B68" s="30">
        <v>3754198</v>
      </c>
      <c r="C68" s="30">
        <v>15231364</v>
      </c>
      <c r="D68" s="30">
        <v>23520803532.339947</v>
      </c>
      <c r="E68" s="34">
        <f t="shared" ref="E68" si="65">C68/B68</f>
        <v>4.0571552166401457</v>
      </c>
      <c r="F68" s="43">
        <f t="shared" ref="F68" si="66">D68/B68</f>
        <v>6265.2005920678521</v>
      </c>
      <c r="G68" s="43">
        <f t="shared" ref="G68" si="67">F68/E68</f>
        <v>1544.2348782643462</v>
      </c>
      <c r="H68" s="27">
        <v>0.41516173865962691</v>
      </c>
      <c r="I68" s="59">
        <f>(B68/('Consumidores Inadimplentes'!B104*1000000))</f>
        <v>5.1756803334230689E-2</v>
      </c>
    </row>
    <row r="69" spans="1:16" x14ac:dyDescent="0.35">
      <c r="A69" s="5">
        <v>45444</v>
      </c>
      <c r="B69" s="30">
        <v>3750923</v>
      </c>
      <c r="C69" s="30">
        <v>15224461</v>
      </c>
      <c r="D69" s="30">
        <v>23721915631.919998</v>
      </c>
      <c r="E69" s="34">
        <f t="shared" ref="E69" si="68">C69/B69</f>
        <v>4.0588572466030364</v>
      </c>
      <c r="F69" s="43">
        <f t="shared" ref="F69" si="69">D69/B69</f>
        <v>6324.2875505362272</v>
      </c>
      <c r="G69" s="43">
        <f t="shared" ref="G69" si="70">F69/E69</f>
        <v>1558.1448585877683</v>
      </c>
      <c r="H69" s="27">
        <v>0.41445037238870741</v>
      </c>
      <c r="I69" s="59">
        <f>(B69/('Consumidores Inadimplentes'!B105*1000000))</f>
        <v>5.1736061169362156E-2</v>
      </c>
    </row>
    <row r="70" spans="1:16" x14ac:dyDescent="0.35">
      <c r="A70" s="5">
        <v>45474</v>
      </c>
      <c r="B70" s="30">
        <v>3739913</v>
      </c>
      <c r="C70" s="30">
        <v>15036657</v>
      </c>
      <c r="D70" s="30">
        <v>23310147728.029999</v>
      </c>
      <c r="E70" s="34">
        <f t="shared" ref="E70" si="71">C70/B70</f>
        <v>4.0205900511589441</v>
      </c>
      <c r="F70" s="43">
        <f t="shared" ref="F70" si="72">D70/B70</f>
        <v>6232.8048080343042</v>
      </c>
      <c r="G70" s="43">
        <f t="shared" ref="G70" si="73">F70/E70</f>
        <v>1550.2214174354046</v>
      </c>
      <c r="H70" s="27">
        <v>0.41288594003453971</v>
      </c>
      <c r="I70" s="59">
        <f>(B70/('Consumidores Inadimplentes'!B106*1000000))</f>
        <v>5.1468478002892927E-2</v>
      </c>
    </row>
    <row r="71" spans="1:16" x14ac:dyDescent="0.35">
      <c r="A71" s="5">
        <v>45505</v>
      </c>
      <c r="B71" s="30">
        <v>3738111</v>
      </c>
      <c r="C71" s="30">
        <v>15030292</v>
      </c>
      <c r="D71" s="30">
        <v>23312841805.810081</v>
      </c>
      <c r="E71" s="34">
        <f t="shared" ref="E71" si="74">C71/B71</f>
        <v>4.0208254918058879</v>
      </c>
      <c r="F71" s="43">
        <f t="shared" ref="F71" si="75">D71/B71</f>
        <v>6236.5301099432527</v>
      </c>
      <c r="G71" s="43">
        <f t="shared" ref="G71" si="76">F71/E71</f>
        <v>1551.0571455172051</v>
      </c>
      <c r="H71" s="27">
        <v>0.41236823058576061</v>
      </c>
      <c r="I71" s="59">
        <f>(B71/('Consumidores Inadimplentes'!B107*1000000))</f>
        <v>5.158680609318967E-2</v>
      </c>
    </row>
    <row r="72" spans="1:16" x14ac:dyDescent="0.35">
      <c r="A72" s="5">
        <v>45536</v>
      </c>
      <c r="B72" s="30">
        <v>3716648</v>
      </c>
      <c r="C72" s="30">
        <v>14893788</v>
      </c>
      <c r="D72" s="30">
        <v>23485326022.340111</v>
      </c>
      <c r="E72" s="34">
        <f t="shared" ref="E72" si="77">C72/B72</f>
        <v>4.0073173461678371</v>
      </c>
      <c r="F72" s="43">
        <f t="shared" ref="F72" si="78">D72/B72</f>
        <v>6318.9535361810185</v>
      </c>
      <c r="G72" s="43">
        <f t="shared" ref="G72" si="79">F72/E72</f>
        <v>1576.8537877899237</v>
      </c>
      <c r="H72" s="27">
        <v>0.40968387310832571</v>
      </c>
      <c r="I72" s="59">
        <f>(B72/('Consumidores Inadimplentes'!B108*1000000))</f>
        <v>5.1163951792798007E-2</v>
      </c>
    </row>
    <row r="73" spans="1:16" x14ac:dyDescent="0.35">
      <c r="A73" s="5">
        <v>45566</v>
      </c>
      <c r="B73" s="30">
        <v>3738820</v>
      </c>
      <c r="C73" s="30">
        <v>14985339</v>
      </c>
      <c r="D73" s="30">
        <v>23885014359.20015</v>
      </c>
      <c r="E73" s="34">
        <f t="shared" ref="E73" si="80">C73/B73</f>
        <v>4.0080397023659868</v>
      </c>
      <c r="F73" s="43">
        <f t="shared" ref="F73" si="81">D73/B73</f>
        <v>6388.3830618216844</v>
      </c>
      <c r="G73" s="43">
        <f t="shared" ref="G73" si="82">F73/E73</f>
        <v>1593.8921608113205</v>
      </c>
      <c r="H73" s="27">
        <v>0.41180953459317066</v>
      </c>
      <c r="I73" s="59">
        <f>(B73/('Consumidores Inadimplentes'!B109*1000000))</f>
        <v>5.1143856853777751E-2</v>
      </c>
    </row>
    <row r="74" spans="1:16" x14ac:dyDescent="0.35">
      <c r="A74" s="5">
        <v>45597</v>
      </c>
      <c r="B74" s="30">
        <v>3755789</v>
      </c>
      <c r="C74" s="30">
        <v>14933027</v>
      </c>
      <c r="D74" s="30">
        <v>24237864538.420162</v>
      </c>
      <c r="E74" s="34">
        <f t="shared" ref="E74" si="83">C74/B74</f>
        <v>3.9760026455160289</v>
      </c>
      <c r="F74" s="43">
        <f t="shared" ref="F74" si="84">D74/B74</f>
        <v>6453.4681097420971</v>
      </c>
      <c r="G74" s="43">
        <f t="shared" ref="G74" si="85">F74/E74</f>
        <v>1623.1045814368488</v>
      </c>
      <c r="H74" s="27">
        <v>0.41335904902707138</v>
      </c>
      <c r="I74" s="59">
        <f>(B74/('Consumidores Inadimplentes'!B110*1000000))</f>
        <v>5.0899178539223718E-2</v>
      </c>
    </row>
    <row r="75" spans="1:16" ht="15" thickBot="1" x14ac:dyDescent="0.4">
      <c r="A75" s="12">
        <v>45627</v>
      </c>
      <c r="B75" s="31">
        <v>3719055</v>
      </c>
      <c r="C75" s="31">
        <v>14828191</v>
      </c>
      <c r="D75" s="31">
        <v>23840383763.120247</v>
      </c>
      <c r="E75" s="35">
        <f t="shared" ref="E75:E77" si="86">C75/B75</f>
        <v>3.987085697845286</v>
      </c>
      <c r="F75" s="46">
        <f t="shared" ref="F75:F77" si="87">D75/B75</f>
        <v>6410.3337442227248</v>
      </c>
      <c r="G75" s="46">
        <f t="shared" ref="G75:G77" si="88">F75/E75</f>
        <v>1607.7742566925558</v>
      </c>
      <c r="H75" s="28">
        <v>0.40899995546046458</v>
      </c>
      <c r="I75" s="59">
        <f>(B75/('Consumidores Inadimplentes'!B111*1000000))</f>
        <v>5.0590954552718642E-2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3776507</v>
      </c>
      <c r="C76" s="29">
        <v>15125128</v>
      </c>
      <c r="D76" s="29">
        <v>24911301608.810345</v>
      </c>
      <c r="E76" s="33">
        <f t="shared" si="86"/>
        <v>4.0050575836348248</v>
      </c>
      <c r="F76" s="45">
        <f t="shared" si="87"/>
        <v>6596.3869810939959</v>
      </c>
      <c r="G76" s="45">
        <f t="shared" si="88"/>
        <v>1647.0142671725052</v>
      </c>
      <c r="H76" s="26">
        <v>0.41499739452668188</v>
      </c>
      <c r="I76" s="59">
        <f>(B76/('Consumidores Inadimplentes'!B112*1000000))</f>
        <v>5.0621440872939627E-2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3790072</v>
      </c>
      <c r="C77" s="30">
        <v>15309769</v>
      </c>
      <c r="D77" s="30">
        <v>25806757380.500565</v>
      </c>
      <c r="E77" s="34">
        <f t="shared" si="86"/>
        <v>4.0394401478388797</v>
      </c>
      <c r="F77" s="43">
        <f t="shared" si="87"/>
        <v>6809.0414589750708</v>
      </c>
      <c r="G77" s="43">
        <f t="shared" si="88"/>
        <v>1685.6398930970524</v>
      </c>
      <c r="H77" s="27">
        <v>0.41616631578693086</v>
      </c>
      <c r="I77" s="59">
        <f>(B77/('Consumidores Inadimplentes'!B113*1000000))</f>
        <v>5.0532011307702678E-2</v>
      </c>
    </row>
    <row r="78" spans="1:16" x14ac:dyDescent="0.35">
      <c r="A78" s="5">
        <v>45717</v>
      </c>
      <c r="B78" s="30">
        <v>3812998</v>
      </c>
      <c r="C78" s="30">
        <v>15283741</v>
      </c>
      <c r="D78" s="30">
        <v>26009568489.620628</v>
      </c>
      <c r="E78" s="34">
        <f t="shared" ref="E78" si="89">C78/B78</f>
        <v>4.0083265189229049</v>
      </c>
      <c r="F78" s="43">
        <f t="shared" ref="F78" si="90">D78/B78</f>
        <v>6821.2908817735097</v>
      </c>
      <c r="G78" s="43">
        <f t="shared" ref="G78" si="91">F78/E78</f>
        <v>1701.7802440921128</v>
      </c>
      <c r="H78" s="27">
        <v>0.41836028794350411</v>
      </c>
      <c r="I78" s="59">
        <f>(B78/('Consumidores Inadimplentes'!B114*1000000))</f>
        <v>5.0323632067882276E-2</v>
      </c>
    </row>
    <row r="79" spans="1:16" x14ac:dyDescent="0.35">
      <c r="A79" s="5">
        <v>45748</v>
      </c>
      <c r="B79" s="30">
        <v>3844269</v>
      </c>
      <c r="C79" s="30">
        <v>15555617</v>
      </c>
      <c r="D79" s="30">
        <v>27157386533</v>
      </c>
      <c r="E79" s="34">
        <f t="shared" ref="E79" si="92">C79/B79</f>
        <v>4.0464434200624355</v>
      </c>
      <c r="F79" s="43">
        <f t="shared" ref="F79" si="93">D79/B79</f>
        <v>7064.3824698531762</v>
      </c>
      <c r="G79" s="43">
        <f t="shared" ref="G79" si="94">F79/E79</f>
        <v>1745.8250953980162</v>
      </c>
      <c r="H79" s="27">
        <v>0.42146554497141492</v>
      </c>
      <c r="I79" s="59">
        <f>(B79/('Consumidores Inadimplentes'!B115*1000000))</f>
        <v>5.0161047580622335E-2</v>
      </c>
    </row>
    <row r="80" spans="1:16" x14ac:dyDescent="0.35">
      <c r="A80" s="5">
        <v>45778</v>
      </c>
      <c r="B80" s="30">
        <v>3885370</v>
      </c>
      <c r="C80" s="30">
        <v>16151909</v>
      </c>
      <c r="D80" s="30">
        <v>27759545585</v>
      </c>
      <c r="E80" s="34">
        <f t="shared" ref="E80" si="95">C80/B80</f>
        <v>4.1571096189037338</v>
      </c>
      <c r="F80" s="43">
        <f t="shared" ref="F80" si="96">D80/B80</f>
        <v>7144.633737584837</v>
      </c>
      <c r="G80" s="43">
        <f t="shared" ref="G80" si="97">F80/E80</f>
        <v>1718.6541593937905</v>
      </c>
      <c r="H80" s="27">
        <v>0.42564260709479207</v>
      </c>
      <c r="I80" s="59">
        <f>(B80/('Consumidores Inadimplentes'!B116*1000000))</f>
        <v>5.0412028812434249E-2</v>
      </c>
    </row>
    <row r="81" spans="1:16" x14ac:dyDescent="0.35">
      <c r="A81" s="5">
        <v>45809</v>
      </c>
      <c r="B81" s="30">
        <v>3933398</v>
      </c>
      <c r="C81" s="30">
        <v>16457768</v>
      </c>
      <c r="D81" s="30">
        <v>28545404653</v>
      </c>
      <c r="E81" s="34">
        <f t="shared" ref="E81" si="98">C81/B81</f>
        <v>4.1841095154876271</v>
      </c>
      <c r="F81" s="43">
        <f t="shared" ref="F81" si="99">D81/B81</f>
        <v>7257.1869546382031</v>
      </c>
      <c r="G81" s="43">
        <f t="shared" ref="G81" si="100">F81/E81</f>
        <v>1734.4639110844189</v>
      </c>
      <c r="H81" s="27">
        <v>0.43057125320774869</v>
      </c>
      <c r="I81" s="59">
        <f>(B81/('Consumidores Inadimplentes'!B117*1000000))</f>
        <v>5.0509383682348079E-2</v>
      </c>
    </row>
    <row r="82" spans="1:16" x14ac:dyDescent="0.35">
      <c r="A82" s="5">
        <v>45839</v>
      </c>
      <c r="B82" s="30">
        <v>4002218</v>
      </c>
      <c r="C82" s="30">
        <v>16879107</v>
      </c>
      <c r="D82" s="30">
        <v>29003268979</v>
      </c>
      <c r="E82" s="34">
        <f t="shared" ref="E82" si="101">C82/B82</f>
        <v>4.2174381805288963</v>
      </c>
      <c r="F82" s="43">
        <f t="shared" ref="F82" si="102">D82/B82</f>
        <v>7246.7988947628537</v>
      </c>
      <c r="G82" s="43">
        <f t="shared" ref="G82" si="103">F82/E82</f>
        <v>1718.2940412072749</v>
      </c>
      <c r="H82" s="27">
        <v>0.43776625364799016</v>
      </c>
      <c r="I82" s="59">
        <f>(B82/('Consumidores Inadimplentes'!B118*1000000))</f>
        <v>5.1204674033537234E-2</v>
      </c>
    </row>
    <row r="83" spans="1:16" x14ac:dyDescent="0.35">
      <c r="A83" s="5">
        <v>45870</v>
      </c>
      <c r="B83" s="30">
        <v>3980396</v>
      </c>
      <c r="C83" s="30">
        <v>16906859</v>
      </c>
      <c r="D83" s="30">
        <v>29582579947</v>
      </c>
      <c r="E83" s="34">
        <f t="shared" ref="E83" si="104">C83/B83</f>
        <v>4.2475319038608221</v>
      </c>
      <c r="F83" s="43">
        <f t="shared" ref="F83" si="105">D83/B83</f>
        <v>7432.0695596619034</v>
      </c>
      <c r="G83" s="43">
        <f t="shared" ref="G83" si="106">F83/E83</f>
        <v>1749.7383722783752</v>
      </c>
      <c r="H83" s="27">
        <v>0.43505927202150946</v>
      </c>
      <c r="I83" s="59">
        <f>(B83/('Consumidores Inadimplentes'!B119*1000000))</f>
        <v>5.0481349485369115E-2</v>
      </c>
    </row>
    <row r="84" spans="1:16" x14ac:dyDescent="0.35">
      <c r="A84" s="5">
        <v>45901</v>
      </c>
      <c r="B84" s="30">
        <v>3955988</v>
      </c>
      <c r="C84" s="30">
        <v>16622567</v>
      </c>
      <c r="D84" s="30">
        <v>29607003468</v>
      </c>
      <c r="E84" s="34">
        <f>IFERROR(C84/B84,"")</f>
        <v>4.2018749804094453</v>
      </c>
      <c r="F84" s="43">
        <f>IFERROR(D84/B84,"")</f>
        <v>7484.0984017140599</v>
      </c>
      <c r="G84" s="43">
        <f>IFERROR(F84/E84,"")</f>
        <v>1781.1330505089857</v>
      </c>
      <c r="H84" s="27">
        <v>0.43207358816577873</v>
      </c>
      <c r="I84" s="59">
        <f>(B84/('Consumidores Inadimplentes'!B120*1000000))</f>
        <v>4.9970194633740604E-2</v>
      </c>
    </row>
    <row r="85" spans="1:16" x14ac:dyDescent="0.35">
      <c r="A85" s="5">
        <v>45931</v>
      </c>
      <c r="B85" s="30">
        <v>4050438</v>
      </c>
      <c r="C85" s="30">
        <v>17089657</v>
      </c>
      <c r="D85" s="30">
        <v>30472505891</v>
      </c>
      <c r="E85" s="34">
        <f t="shared" ref="E85:E87" si="107">IFERROR(C85/B85,"")</f>
        <v>4.2192120950870002</v>
      </c>
      <c r="F85" s="43">
        <f t="shared" ref="F85:F87" si="108">IFERROR(D85/B85,"")</f>
        <v>7523.261901799262</v>
      </c>
      <c r="G85" s="43">
        <f t="shared" ref="G85:G87" si="109">IFERROR(F85/E85,"")</f>
        <v>1783.0964009985689</v>
      </c>
      <c r="H85" s="27">
        <v>0.44206420129928808</v>
      </c>
      <c r="I85" s="59">
        <f>(B85/('Consumidores Inadimplentes'!B121*1000000))</f>
        <v>5.035570156107675E-2</v>
      </c>
    </row>
    <row r="86" spans="1:16" x14ac:dyDescent="0.35">
      <c r="A86" s="5">
        <v>45962</v>
      </c>
      <c r="B86" s="30">
        <v>4082370</v>
      </c>
      <c r="C86" s="30">
        <v>17302688</v>
      </c>
      <c r="D86" s="30">
        <v>30804405538</v>
      </c>
      <c r="E86" s="34">
        <f t="shared" si="107"/>
        <v>4.2383928943236402</v>
      </c>
      <c r="F86" s="43">
        <f t="shared" si="108"/>
        <v>7545.7162231742832</v>
      </c>
      <c r="G86" s="43">
        <f t="shared" si="109"/>
        <v>1780.3248569239647</v>
      </c>
      <c r="H86" s="27">
        <v>0.44522170020231649</v>
      </c>
      <c r="I86" s="59">
        <f>(B86/('Consumidores Inadimplentes'!B122*1000000))</f>
        <v>5.0643552738321135E-2</v>
      </c>
    </row>
    <row r="87" spans="1:16" ht="15" thickBot="1" x14ac:dyDescent="0.4">
      <c r="A87" s="12">
        <v>45992</v>
      </c>
      <c r="B87" s="31">
        <v>4067416</v>
      </c>
      <c r="C87" s="31">
        <v>17313706</v>
      </c>
      <c r="D87" s="31">
        <v>31216689124</v>
      </c>
      <c r="E87" s="35">
        <f t="shared" si="107"/>
        <v>4.2566843420982758</v>
      </c>
      <c r="F87" s="46">
        <f t="shared" si="108"/>
        <v>7674.8208503875676</v>
      </c>
      <c r="G87" s="46">
        <f t="shared" si="109"/>
        <v>1803.0044592417128</v>
      </c>
      <c r="H87" s="28">
        <v>0.44326470571247323</v>
      </c>
      <c r="I87" s="59">
        <f>(B87/('Consumidores Inadimplentes'!B123*1000000))</f>
        <v>5.0061727045741029E-2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4094471</v>
      </c>
      <c r="C88" s="29">
        <v>17530240</v>
      </c>
      <c r="D88" s="29">
        <v>32223249713</v>
      </c>
      <c r="E88" s="33">
        <f t="shared" ref="E88:E89" si="110">IFERROR(C88/B88,"")</f>
        <v>4.2814419738227478</v>
      </c>
      <c r="F88" s="45">
        <f t="shared" ref="F88:F89" si="111">IFERROR(D88/B88,"")</f>
        <v>7869.9421031434831</v>
      </c>
      <c r="G88" s="45">
        <f t="shared" ref="G88:G89" si="112">IFERROR(F88/E88,"")</f>
        <v>1838.1522279786243</v>
      </c>
      <c r="H88" s="26">
        <v>0.44588509771644663</v>
      </c>
      <c r="I88" s="59">
        <f>(B88/('Consumidores Inadimplentes'!B124*1000000))</f>
        <v>5.0350523657148046E-2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4125170</v>
      </c>
      <c r="C89" s="30">
        <v>17849008</v>
      </c>
      <c r="D89" s="30">
        <v>33138631315</v>
      </c>
      <c r="E89" s="34">
        <f t="shared" si="110"/>
        <v>4.3268539235958761</v>
      </c>
      <c r="F89" s="43">
        <f t="shared" si="111"/>
        <v>8033.2765231493486</v>
      </c>
      <c r="G89" s="43">
        <f t="shared" si="112"/>
        <v>1856.6091356449613</v>
      </c>
      <c r="H89" s="27">
        <v>0.44889793297821984</v>
      </c>
      <c r="I89" s="59">
        <f>(B89/('Consumidores Inadimplentes'!B125*1000000))</f>
        <v>5.0471960060253576E-2</v>
      </c>
    </row>
    <row r="90" spans="1:16" x14ac:dyDescent="0.35">
      <c r="A90" s="5">
        <v>46082</v>
      </c>
      <c r="B90" s="30">
        <v>4169710</v>
      </c>
      <c r="C90" s="30">
        <v>18144277</v>
      </c>
      <c r="D90" s="30">
        <v>34307365437</v>
      </c>
      <c r="E90" s="34">
        <f t="shared" ref="E90" si="113">IFERROR(C90/B90,"")</f>
        <v>4.3514481822476867</v>
      </c>
      <c r="F90" s="43">
        <f t="shared" ref="F90" si="114">IFERROR(D90/B90,"")</f>
        <v>8227.7581503270012</v>
      </c>
      <c r="G90" s="43">
        <f t="shared" ref="G90" si="115">IFERROR(F90/E90,"")</f>
        <v>1890.8091756425454</v>
      </c>
      <c r="H90" s="27">
        <v>0.45341115584281566</v>
      </c>
      <c r="I90" s="59">
        <f>(B90/('Consumidores Inadimplentes'!B126*1000000))</f>
        <v>5.0339063206489829E-2</v>
      </c>
    </row>
    <row r="91" spans="1:16" x14ac:dyDescent="0.35">
      <c r="A91" s="5">
        <v>46113</v>
      </c>
      <c r="B91" s="30">
        <v>4216925</v>
      </c>
      <c r="C91" s="30">
        <v>18505407</v>
      </c>
      <c r="D91" s="30">
        <v>35172033752</v>
      </c>
      <c r="E91" s="34">
        <f t="shared" ref="E91" si="116">IFERROR(C91/B91,"")</f>
        <v>4.3883652187316589</v>
      </c>
      <c r="F91" s="43">
        <f t="shared" ref="F91" si="117">IFERROR(D91/B91,"")</f>
        <v>8340.6827847305794</v>
      </c>
      <c r="G91" s="43">
        <f t="shared" ref="G91" si="118">IFERROR(F91/E91,"")</f>
        <v>1900.6355143661524</v>
      </c>
      <c r="H91" s="27">
        <v>0.45820816233527112</v>
      </c>
      <c r="I91" s="59">
        <f>(B91/('Consumidores Inadimplentes'!B127*1000000))</f>
        <v>5.056920326077749E-2</v>
      </c>
    </row>
    <row r="92" spans="1:16" x14ac:dyDescent="0.35">
      <c r="A92" s="5">
        <v>46143</v>
      </c>
      <c r="B92" s="30">
        <v>4238605</v>
      </c>
      <c r="C92" s="30">
        <v>18727999</v>
      </c>
      <c r="D92" s="30">
        <v>35786201556</v>
      </c>
      <c r="E92" s="34">
        <f t="shared" ref="E92" si="119">IFERROR(C92/B92,"")</f>
        <v>4.4184346028941128</v>
      </c>
      <c r="F92" s="43">
        <f t="shared" ref="F92" si="120">IFERROR(D92/B92,"")</f>
        <v>8442.9196766388941</v>
      </c>
      <c r="G92" s="43">
        <f t="shared" ref="G92" si="121">IFERROR(F92/E92,"")</f>
        <v>1910.8395699935693</v>
      </c>
      <c r="H92" s="27">
        <v>0.46022529362048104</v>
      </c>
      <c r="I92" s="59">
        <f>(B92/('Consumidores Inadimplentes'!B128*1000000))</f>
        <v>5.076000643139756E-2</v>
      </c>
    </row>
    <row r="93" spans="1:16" x14ac:dyDescent="0.35">
      <c r="A93" s="5">
        <v>46174</v>
      </c>
      <c r="B93" s="30">
        <v>4251807</v>
      </c>
      <c r="C93" s="30">
        <v>18866090</v>
      </c>
      <c r="D93" s="30">
        <v>36244959224</v>
      </c>
      <c r="E93" s="34">
        <f t="shared" ref="E93" si="122">IFERROR(C93/B93,"")</f>
        <v>4.4371934097667181</v>
      </c>
      <c r="F93" s="43">
        <f t="shared" ref="F93" si="123">IFERROR(D93/B93,"")</f>
        <v>8524.6012398963539</v>
      </c>
      <c r="G93" s="43">
        <f t="shared" ref="G93" si="124">IFERROR(F93/E93,"")</f>
        <v>1921.1696341955326</v>
      </c>
      <c r="H93" s="27">
        <v>0.46131935077312475</v>
      </c>
      <c r="I93" s="59">
        <f>(B93/('Consumidores Inadimplentes'!B129*1000000))</f>
        <v>5.0775366805683085E-2</v>
      </c>
    </row>
    <row r="94" spans="1:16" x14ac:dyDescent="0.35">
      <c r="A94" s="5">
        <v>46204</v>
      </c>
      <c r="B94" s="30">
        <v>4255486</v>
      </c>
      <c r="C94" s="30">
        <v>19002422</v>
      </c>
      <c r="D94" s="30">
        <v>36833338955</v>
      </c>
      <c r="E94" s="34">
        <f t="shared" ref="E94" si="125">IFERROR(C94/B94,"")</f>
        <v>4.4653940818980491</v>
      </c>
      <c r="F94" s="43">
        <f t="shared" ref="F94" si="126">IFERROR(D94/B94,"")</f>
        <v>8655.4952724553677</v>
      </c>
      <c r="G94" s="43">
        <f t="shared" ref="G94" si="127">IFERROR(F94/E94,"")</f>
        <v>1938.3496985279035</v>
      </c>
      <c r="H94" s="27">
        <v>0.46137901768609124</v>
      </c>
      <c r="I94" s="59">
        <f>(B94/('Consumidores Inadimplentes'!B130*1000000))</f>
        <v>5.070164129932072E-2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3A20-1769-4360-870D-04381674E4FF}">
  <sheetPr codeName="Planilha20"/>
  <dimension ref="A1:P99"/>
  <sheetViews>
    <sheetView zoomScale="90" zoomScaleNormal="90" workbookViewId="0">
      <pane xSplit="1" ySplit="3" topLeftCell="B4" activePane="bottomRight" state="frozen"/>
      <selection activeCell="H93" sqref="H93"/>
      <selection pane="topRight" activeCell="H93" sqref="H93"/>
      <selection pane="bottomLeft" activeCell="H93" sqref="H93"/>
      <selection pane="bottomRight" activeCell="I1" sqref="I1:I104857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38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6103381</v>
      </c>
      <c r="C4" s="29">
        <v>21488552</v>
      </c>
      <c r="D4" s="29">
        <v>23992743544.290649</v>
      </c>
      <c r="E4" s="33">
        <f t="shared" ref="E4:E33" si="0">C4/B4</f>
        <v>3.520762016986978</v>
      </c>
      <c r="F4" s="45">
        <f>D4/B4</f>
        <v>3931.0578094814414</v>
      </c>
      <c r="G4" s="45">
        <f t="shared" ref="G4" si="1">F4/E4</f>
        <v>1116.5360767114812</v>
      </c>
      <c r="H4" s="26">
        <v>0.46318435688572934</v>
      </c>
      <c r="I4" s="58">
        <f>(B4/('Consumidores Inadimplentes'!B40*1000000))</f>
        <v>9.816235870500617E-2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6104351</v>
      </c>
      <c r="C5" s="30">
        <v>21442471</v>
      </c>
      <c r="D5" s="30">
        <v>23910024211.130672</v>
      </c>
      <c r="E5" s="34">
        <f t="shared" si="0"/>
        <v>3.5126536793182437</v>
      </c>
      <c r="F5" s="43">
        <f t="shared" ref="F5:F45" si="2">D5/B5</f>
        <v>3916.88227153561</v>
      </c>
      <c r="G5" s="43">
        <f t="shared" ref="G5:G45" si="3">F5/E5</f>
        <v>1115.0778383298582</v>
      </c>
      <c r="H5" s="27">
        <v>0.46295474017784388</v>
      </c>
      <c r="I5" s="59">
        <f>(B5/('Consumidores Inadimplentes'!B41*1000000))</f>
        <v>9.8183464265775081E-2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6218089</v>
      </c>
      <c r="C6" s="30">
        <v>21956307</v>
      </c>
      <c r="D6" s="30">
        <v>24540936024.14056</v>
      </c>
      <c r="E6" s="34">
        <f t="shared" si="0"/>
        <v>3.5310377513091242</v>
      </c>
      <c r="F6" s="43">
        <f t="shared" si="2"/>
        <v>3946.7006702767617</v>
      </c>
      <c r="G6" s="43">
        <f t="shared" si="3"/>
        <v>1117.716928631967</v>
      </c>
      <c r="H6" s="27">
        <v>0.47110680308013447</v>
      </c>
      <c r="I6" s="59">
        <f>(B6/('Consumidores Inadimplentes'!B42*1000000))</f>
        <v>9.8762404705292545E-2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6208821</v>
      </c>
      <c r="C7" s="30">
        <v>21588665</v>
      </c>
      <c r="D7" s="30">
        <v>24437959571.61042</v>
      </c>
      <c r="E7" s="34">
        <f t="shared" si="0"/>
        <v>3.4770957320238414</v>
      </c>
      <c r="F7" s="43">
        <f t="shared" si="2"/>
        <v>3936.0064610673139</v>
      </c>
      <c r="G7" s="43">
        <f t="shared" si="3"/>
        <v>1131.9810452202776</v>
      </c>
      <c r="H7" s="27">
        <v>0.46974204844482792</v>
      </c>
      <c r="I7" s="59">
        <f>(B7/('Consumidores Inadimplentes'!B43*1000000))</f>
        <v>9.8232439112326528E-2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6248461</v>
      </c>
      <c r="C8" s="30">
        <v>21607421</v>
      </c>
      <c r="D8" s="30">
        <v>24763387869.430527</v>
      </c>
      <c r="E8" s="34">
        <f t="shared" si="0"/>
        <v>3.458038867490731</v>
      </c>
      <c r="F8" s="43">
        <f t="shared" si="2"/>
        <v>3963.1179372697575</v>
      </c>
      <c r="G8" s="43">
        <f t="shared" si="3"/>
        <v>1146.0593964189677</v>
      </c>
      <c r="H8" s="27">
        <v>0.46949989619257343</v>
      </c>
      <c r="I8" s="59">
        <f>(B8/('Consumidores Inadimplentes'!B44*1000000))</f>
        <v>9.8595638105532443E-2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6267527</v>
      </c>
      <c r="C9" s="30">
        <v>21567400</v>
      </c>
      <c r="D9" s="30">
        <v>24839005933.880394</v>
      </c>
      <c r="E9" s="34">
        <f t="shared" si="0"/>
        <v>3.4411339592154926</v>
      </c>
      <c r="F9" s="43">
        <f t="shared" si="2"/>
        <v>3963.1270729077664</v>
      </c>
      <c r="G9" s="43">
        <f t="shared" si="3"/>
        <v>1151.6921805076363</v>
      </c>
      <c r="H9" s="27">
        <v>0.47450977517775028</v>
      </c>
      <c r="I9" s="59">
        <f>(B9/('Consumidores Inadimplentes'!B45*1000000))</f>
        <v>9.8778086838952658E-2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6277070</v>
      </c>
      <c r="C10" s="30">
        <v>21497334</v>
      </c>
      <c r="D10" s="30">
        <v>24723214718.590336</v>
      </c>
      <c r="E10" s="34">
        <f t="shared" si="0"/>
        <v>3.4247402052231375</v>
      </c>
      <c r="F10" s="43">
        <f t="shared" si="2"/>
        <v>3938.6552513498073</v>
      </c>
      <c r="G10" s="43">
        <f t="shared" si="3"/>
        <v>1150.0595710421737</v>
      </c>
      <c r="H10" s="27">
        <v>0.47488125072500192</v>
      </c>
      <c r="I10" s="59">
        <f>(B10/('Consumidores Inadimplentes'!B46*1000000))</f>
        <v>9.8908554616893324E-2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6281949</v>
      </c>
      <c r="C11" s="30">
        <v>21467739</v>
      </c>
      <c r="D11" s="30">
        <v>25060485099.150257</v>
      </c>
      <c r="E11" s="34">
        <f t="shared" si="0"/>
        <v>3.4173691954519212</v>
      </c>
      <c r="F11" s="43">
        <f t="shared" si="2"/>
        <v>3989.2850290809838</v>
      </c>
      <c r="G11" s="43">
        <f t="shared" si="3"/>
        <v>1167.3555887348107</v>
      </c>
      <c r="H11" s="27">
        <v>0.47420870968891293</v>
      </c>
      <c r="I11" s="59">
        <f>(B11/('Consumidores Inadimplentes'!B47*1000000))</f>
        <v>9.9040723993885402E-2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6240176</v>
      </c>
      <c r="C12" s="30">
        <v>21065731</v>
      </c>
      <c r="D12" s="30">
        <v>24646574466.710411</v>
      </c>
      <c r="E12" s="34">
        <f t="shared" si="0"/>
        <v>3.3758232139606319</v>
      </c>
      <c r="F12" s="43">
        <f t="shared" si="2"/>
        <v>3949.6601484814551</v>
      </c>
      <c r="G12" s="43">
        <f t="shared" si="3"/>
        <v>1169.9842966147442</v>
      </c>
      <c r="H12" s="27">
        <v>0.47084627023685843</v>
      </c>
      <c r="I12" s="59">
        <f>(B12/('Consumidores Inadimplentes'!B48*1000000))</f>
        <v>9.8726637905855702E-2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6323244</v>
      </c>
      <c r="C13" s="30">
        <v>21222117</v>
      </c>
      <c r="D13" s="30">
        <v>24838765190.670269</v>
      </c>
      <c r="E13" s="34">
        <f t="shared" si="0"/>
        <v>3.3562071936493356</v>
      </c>
      <c r="F13" s="43">
        <f t="shared" si="2"/>
        <v>3928.1680717477088</v>
      </c>
      <c r="G13" s="43">
        <f t="shared" si="3"/>
        <v>1170.4188225270018</v>
      </c>
      <c r="H13" s="27">
        <v>0.4769023165561907</v>
      </c>
      <c r="I13" s="59">
        <f>(B13/('Consumidores Inadimplentes'!B49*1000000))</f>
        <v>9.9030608721091679E-2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6327961</v>
      </c>
      <c r="C14" s="30">
        <v>20952574</v>
      </c>
      <c r="D14" s="30">
        <v>24864533522.380627</v>
      </c>
      <c r="E14" s="34">
        <f t="shared" si="0"/>
        <v>3.3111098503925671</v>
      </c>
      <c r="F14" s="43">
        <f t="shared" si="2"/>
        <v>3929.3120678810483</v>
      </c>
      <c r="G14" s="43">
        <f t="shared" si="3"/>
        <v>1186.7054387866917</v>
      </c>
      <c r="H14" s="27">
        <v>0.47704623034659943</v>
      </c>
      <c r="I14" s="59">
        <f>(B14/('Consumidores Inadimplentes'!B50*1000000))</f>
        <v>9.9120693157409512E-2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6254343</v>
      </c>
      <c r="C15" s="31">
        <v>20580418</v>
      </c>
      <c r="D15" s="31">
        <v>24596118912.700638</v>
      </c>
      <c r="E15" s="35">
        <f t="shared" si="0"/>
        <v>3.2905803215461642</v>
      </c>
      <c r="F15" s="43">
        <f t="shared" si="2"/>
        <v>3932.6463087650673</v>
      </c>
      <c r="G15" s="43">
        <f t="shared" si="3"/>
        <v>1195.1224174698802</v>
      </c>
      <c r="H15" s="27">
        <v>0.47128708648502787</v>
      </c>
      <c r="I15" s="59">
        <f>(B15/('Consumidores Inadimplentes'!B51*1000000))</f>
        <v>9.8793326391853148E-2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6295431</v>
      </c>
      <c r="C16" s="29">
        <v>20707453</v>
      </c>
      <c r="D16" s="29">
        <v>24740182083.200695</v>
      </c>
      <c r="E16" s="33">
        <f t="shared" si="0"/>
        <v>3.2892828147905999</v>
      </c>
      <c r="F16" s="45">
        <f t="shared" si="2"/>
        <v>3929.8631155199214</v>
      </c>
      <c r="G16" s="45">
        <f t="shared" si="3"/>
        <v>1194.7477115220638</v>
      </c>
      <c r="H16" s="26">
        <v>0.47417265361238337</v>
      </c>
      <c r="I16" s="59">
        <f>(B16/('Consumidores Inadimplentes'!B52*1000000))</f>
        <v>9.8701757037525734E-2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6303484</v>
      </c>
      <c r="C17" s="30">
        <v>20578041</v>
      </c>
      <c r="D17" s="30">
        <v>24439750376.040756</v>
      </c>
      <c r="E17" s="34">
        <f t="shared" si="0"/>
        <v>3.2645503661149928</v>
      </c>
      <c r="F17" s="43">
        <f t="shared" si="2"/>
        <v>3877.1813137053659</v>
      </c>
      <c r="G17" s="43">
        <f t="shared" si="3"/>
        <v>1187.6616620620377</v>
      </c>
      <c r="H17" s="27">
        <v>0.47456845668304903</v>
      </c>
      <c r="I17" s="59">
        <f>(B17/('Consumidores Inadimplentes'!B53*1000000))</f>
        <v>9.8661982969240974E-2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6336279</v>
      </c>
      <c r="C18" s="30">
        <v>20522154</v>
      </c>
      <c r="D18" s="30">
        <v>24612648711.380695</v>
      </c>
      <c r="E18" s="34">
        <f t="shared" si="0"/>
        <v>3.2388337066596975</v>
      </c>
      <c r="F18" s="43">
        <f t="shared" si="2"/>
        <v>3884.401035904621</v>
      </c>
      <c r="G18" s="43">
        <f t="shared" si="3"/>
        <v>1199.3209246641798</v>
      </c>
      <c r="H18" s="27">
        <v>0.47682575359759577</v>
      </c>
      <c r="I18" s="59">
        <f>(B18/('Consumidores Inadimplentes'!B54*1000000))</f>
        <v>9.7763005968974109E-2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6577121</v>
      </c>
      <c r="C19" s="30">
        <v>21069789</v>
      </c>
      <c r="D19" s="30">
        <v>24851503394.710716</v>
      </c>
      <c r="E19" s="34">
        <f t="shared" si="0"/>
        <v>3.203497244463041</v>
      </c>
      <c r="F19" s="43">
        <f t="shared" si="2"/>
        <v>3778.4774515644026</v>
      </c>
      <c r="G19" s="43">
        <f t="shared" si="3"/>
        <v>1179.4851573839071</v>
      </c>
      <c r="H19" s="27">
        <v>0.4947302085042235</v>
      </c>
      <c r="I19" s="59">
        <f>(B19/('Consumidores Inadimplentes'!B55*1000000))</f>
        <v>9.9791526485188298E-2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6577283</v>
      </c>
      <c r="C20" s="30">
        <v>20778945</v>
      </c>
      <c r="D20" s="30">
        <v>24476703943.720642</v>
      </c>
      <c r="E20" s="34">
        <f t="shared" si="0"/>
        <v>3.1591988667661099</v>
      </c>
      <c r="F20" s="43">
        <f t="shared" si="2"/>
        <v>3721.4004542180473</v>
      </c>
      <c r="G20" s="43">
        <f t="shared" si="3"/>
        <v>1177.9570109897611</v>
      </c>
      <c r="H20" s="27">
        <v>0.49452277748191897</v>
      </c>
      <c r="I20" s="59">
        <f>(B20/('Consumidores Inadimplentes'!B56*1000000))</f>
        <v>0.10082917505615309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6431119</v>
      </c>
      <c r="C21" s="30">
        <v>20437468</v>
      </c>
      <c r="D21" s="30">
        <v>24167032407.470619</v>
      </c>
      <c r="E21" s="34">
        <f t="shared" si="0"/>
        <v>3.1779023215089008</v>
      </c>
      <c r="F21" s="43">
        <f t="shared" si="2"/>
        <v>3757.8269671997391</v>
      </c>
      <c r="G21" s="43">
        <f t="shared" si="3"/>
        <v>1182.4866175922878</v>
      </c>
      <c r="H21" s="27">
        <v>0.48310406534577094</v>
      </c>
      <c r="I21" s="59">
        <f>(B21/('Consumidores Inadimplentes'!B57*1000000))</f>
        <v>0.10048514944940204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6284074</v>
      </c>
      <c r="C22" s="30">
        <v>20283429</v>
      </c>
      <c r="D22" s="30">
        <v>24175166319.790752</v>
      </c>
      <c r="E22" s="34">
        <f t="shared" si="0"/>
        <v>3.2277514555048206</v>
      </c>
      <c r="F22" s="43">
        <f t="shared" si="2"/>
        <v>3847.0530932307215</v>
      </c>
      <c r="G22" s="43">
        <f t="shared" si="3"/>
        <v>1191.8678207610139</v>
      </c>
      <c r="H22" s="27">
        <v>0.47193680086641893</v>
      </c>
      <c r="I22" s="59">
        <f>(B22/('Consumidores Inadimplentes'!B58*1000000))</f>
        <v>9.8956922231561925E-2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6192828</v>
      </c>
      <c r="C23" s="30">
        <v>19807199</v>
      </c>
      <c r="D23" s="30">
        <v>23621738433.950706</v>
      </c>
      <c r="E23" s="34">
        <f t="shared" si="0"/>
        <v>3.1984093535295992</v>
      </c>
      <c r="F23" s="43">
        <f t="shared" si="2"/>
        <v>3814.3701769128265</v>
      </c>
      <c r="G23" s="43">
        <f t="shared" si="3"/>
        <v>1192.583486133032</v>
      </c>
      <c r="H23" s="27">
        <v>0.46496469195965651</v>
      </c>
      <c r="I23" s="59">
        <f>(B23/('Consumidores Inadimplentes'!B59*1000000))</f>
        <v>9.8220232626165555E-2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6103394</v>
      </c>
      <c r="C24" s="30">
        <v>19431479</v>
      </c>
      <c r="D24" s="30">
        <v>23393632248.920826</v>
      </c>
      <c r="E24" s="34">
        <f t="shared" si="0"/>
        <v>3.183716961415239</v>
      </c>
      <c r="F24" s="43">
        <f t="shared" si="2"/>
        <v>3832.8890857973165</v>
      </c>
      <c r="G24" s="43">
        <f t="shared" si="3"/>
        <v>1203.9038432906125</v>
      </c>
      <c r="H24" s="27">
        <v>0.4581321425118583</v>
      </c>
      <c r="I24" s="59">
        <f>(B24/('Consumidores Inadimplentes'!B60*1000000))</f>
        <v>9.7244644210185791E-2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6096522</v>
      </c>
      <c r="C25" s="30">
        <v>19334870</v>
      </c>
      <c r="D25" s="30">
        <v>23327284218.320713</v>
      </c>
      <c r="E25" s="34">
        <f t="shared" si="0"/>
        <v>3.1714590712540693</v>
      </c>
      <c r="F25" s="43">
        <f t="shared" si="2"/>
        <v>3826.3265872444508</v>
      </c>
      <c r="G25" s="43">
        <f t="shared" si="3"/>
        <v>1206.4877714885445</v>
      </c>
      <c r="H25" s="27">
        <v>0.45749873478211539</v>
      </c>
      <c r="I25" s="59">
        <f>(B25/('Consumidores Inadimplentes'!B61*1000000))</f>
        <v>9.7889257358719894E-2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6021318</v>
      </c>
      <c r="C26" s="30">
        <v>19084398</v>
      </c>
      <c r="D26" s="30">
        <v>23027034271.61058</v>
      </c>
      <c r="E26" s="34">
        <f t="shared" si="0"/>
        <v>3.1694718664584731</v>
      </c>
      <c r="F26" s="43">
        <f t="shared" si="2"/>
        <v>3824.2514797608396</v>
      </c>
      <c r="G26" s="43">
        <f t="shared" si="3"/>
        <v>1206.5895016238176</v>
      </c>
      <c r="H26" s="27">
        <v>0.45173912629219187</v>
      </c>
      <c r="I26" s="59">
        <f>(B26/('Consumidores Inadimplentes'!B62*1000000))</f>
        <v>9.7198460848982829E-2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6044912</v>
      </c>
      <c r="C27" s="31">
        <v>19404100</v>
      </c>
      <c r="D27" s="31">
        <v>22814634779.470734</v>
      </c>
      <c r="E27" s="35">
        <f t="shared" si="0"/>
        <v>3.2099888302757758</v>
      </c>
      <c r="F27" s="46">
        <f t="shared" si="2"/>
        <v>3774.1880741143518</v>
      </c>
      <c r="G27" s="46">
        <f t="shared" si="3"/>
        <v>1175.7636159095621</v>
      </c>
      <c r="H27" s="28">
        <v>0.4533927245196705</v>
      </c>
      <c r="I27" s="59">
        <f>(B27/('Consumidores Inadimplentes'!B63*1000000))</f>
        <v>9.8513455137500955E-2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6062033</v>
      </c>
      <c r="C28" s="29">
        <v>19294606</v>
      </c>
      <c r="D28" s="29">
        <v>22964808166.480644</v>
      </c>
      <c r="E28" s="33">
        <f t="shared" si="0"/>
        <v>3.1828606013857068</v>
      </c>
      <c r="F28" s="45">
        <f t="shared" si="2"/>
        <v>3788.30141084363</v>
      </c>
      <c r="G28" s="45">
        <f t="shared" si="3"/>
        <v>1190.219078144464</v>
      </c>
      <c r="H28" s="26">
        <v>0.45456006293920448</v>
      </c>
      <c r="I28" s="59">
        <f>(B28/('Consumidores Inadimplentes'!B64*1000000))</f>
        <v>9.8298962098659418E-2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6044968</v>
      </c>
      <c r="C29" s="30">
        <v>18837398</v>
      </c>
      <c r="D29" s="30">
        <v>23048537463.290543</v>
      </c>
      <c r="E29" s="34">
        <f t="shared" si="0"/>
        <v>3.1162113678682832</v>
      </c>
      <c r="F29" s="43">
        <f t="shared" si="2"/>
        <v>3812.8468940266584</v>
      </c>
      <c r="G29" s="43">
        <f t="shared" si="3"/>
        <v>1223.5520778023877</v>
      </c>
      <c r="H29" s="27">
        <v>0.4531639972829507</v>
      </c>
      <c r="I29" s="59">
        <f>(B29/('Consumidores Inadimplentes'!B65*1000000))</f>
        <v>9.8204304081059443E-2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6164079</v>
      </c>
      <c r="C30" s="30">
        <v>18818206</v>
      </c>
      <c r="D30" s="30">
        <v>23306400874.940372</v>
      </c>
      <c r="E30" s="34">
        <f t="shared" si="0"/>
        <v>3.0528820282802993</v>
      </c>
      <c r="F30" s="43">
        <f t="shared" si="2"/>
        <v>3781.0029486871231</v>
      </c>
      <c r="G30" s="43">
        <f t="shared" si="3"/>
        <v>1238.5028028144859</v>
      </c>
      <c r="H30" s="27">
        <v>0.4619744929493958</v>
      </c>
      <c r="I30" s="59">
        <f>(B30/('Consumidores Inadimplentes'!B66*1000000))</f>
        <v>9.8534875200002536E-2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6203784</v>
      </c>
      <c r="C31" s="30">
        <v>18964922</v>
      </c>
      <c r="D31" s="30">
        <v>23841013255.970512</v>
      </c>
      <c r="E31" s="34">
        <f t="shared" si="0"/>
        <v>3.0569926354624855</v>
      </c>
      <c r="F31" s="43">
        <f t="shared" si="2"/>
        <v>3842.9792616845643</v>
      </c>
      <c r="G31" s="43">
        <f t="shared" si="3"/>
        <v>1257.1110630442095</v>
      </c>
      <c r="H31" s="27">
        <v>0.46483077592578276</v>
      </c>
      <c r="I31" s="59">
        <f>(B31/('Consumidores Inadimplentes'!B67*1000000))</f>
        <v>9.8501574397031569E-2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6148770</v>
      </c>
      <c r="C32" s="30">
        <v>18739143</v>
      </c>
      <c r="D32" s="30">
        <v>24072978482.690376</v>
      </c>
      <c r="E32" s="34">
        <f t="shared" si="0"/>
        <v>3.0476246468805956</v>
      </c>
      <c r="F32" s="43">
        <f t="shared" si="2"/>
        <v>3915.088462032305</v>
      </c>
      <c r="G32" s="43">
        <f t="shared" si="3"/>
        <v>1284.6360413968971</v>
      </c>
      <c r="H32" s="27">
        <v>0.46059037175055906</v>
      </c>
      <c r="I32" s="59">
        <f>(B32/('Consumidores Inadimplentes'!B68*1000000))</f>
        <v>9.8287842934339939E-2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6142074</v>
      </c>
      <c r="C33" s="30">
        <v>18693676</v>
      </c>
      <c r="D33" s="30">
        <v>23689204639.520397</v>
      </c>
      <c r="E33" s="34">
        <f t="shared" si="0"/>
        <v>3.0435445746827536</v>
      </c>
      <c r="F33" s="43">
        <f t="shared" si="2"/>
        <v>3856.8738571890208</v>
      </c>
      <c r="G33" s="43">
        <f t="shared" si="3"/>
        <v>1267.2309416040162</v>
      </c>
      <c r="H33" s="27">
        <v>0.45997057332147401</v>
      </c>
      <c r="I33" s="59">
        <f>(B33/('Consumidores Inadimplentes'!B69*1000000))</f>
        <v>9.8258355635034406E-2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6094614</v>
      </c>
      <c r="C34" s="30">
        <v>18531007</v>
      </c>
      <c r="D34" s="30">
        <v>23585203093.270588</v>
      </c>
      <c r="E34" s="34">
        <f>C34/B34</f>
        <v>3.0405546602295077</v>
      </c>
      <c r="F34" s="43">
        <f t="shared" si="2"/>
        <v>3869.8436181964253</v>
      </c>
      <c r="G34" s="43">
        <f t="shared" si="3"/>
        <v>1272.7426573888072</v>
      </c>
      <c r="H34" s="27">
        <v>0.45641636615792675</v>
      </c>
      <c r="I34" s="59">
        <f>(B34/('Consumidores Inadimplentes'!B70*1000000))</f>
        <v>9.7946761221785736E-2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6101441</v>
      </c>
      <c r="C35" s="30">
        <v>18496522</v>
      </c>
      <c r="D35" s="30">
        <v>23564789383.650604</v>
      </c>
      <c r="E35" s="34">
        <f>C35/B35</f>
        <v>3.0315005914176667</v>
      </c>
      <c r="F35" s="43">
        <f t="shared" si="2"/>
        <v>3862.1678688117454</v>
      </c>
      <c r="G35" s="43">
        <f t="shared" si="3"/>
        <v>1274.0119133559599</v>
      </c>
      <c r="H35" s="27">
        <v>0.45681542030307559</v>
      </c>
      <c r="I35" s="59">
        <f>(B35/('Consumidores Inadimplentes'!B71*1000000))</f>
        <v>9.80170768073996E-2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6184242</v>
      </c>
      <c r="C36" s="30">
        <v>18540366</v>
      </c>
      <c r="D36" s="30">
        <v>23760624639.490608</v>
      </c>
      <c r="E36" s="34">
        <f>C36/B36</f>
        <v>2.9980013718738689</v>
      </c>
      <c r="F36" s="43">
        <f t="shared" si="2"/>
        <v>3842.1240047673764</v>
      </c>
      <c r="G36" s="43">
        <f t="shared" si="3"/>
        <v>1281.5617900687942</v>
      </c>
      <c r="H36" s="27">
        <v>0.46290102733958344</v>
      </c>
      <c r="I36" s="59">
        <f>(B36/('Consumidores Inadimplentes'!B72*1000000))</f>
        <v>9.9408698917397398E-2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6299243</v>
      </c>
      <c r="C37" s="30">
        <v>19193065</v>
      </c>
      <c r="D37" s="30">
        <v>24893450935.360661</v>
      </c>
      <c r="E37" s="34">
        <f>C37/B37</f>
        <v>3.0468843637243395</v>
      </c>
      <c r="F37" s="43">
        <f t="shared" si="2"/>
        <v>3951.8162635352628</v>
      </c>
      <c r="G37" s="43">
        <f t="shared" si="3"/>
        <v>1297.0023774400108</v>
      </c>
      <c r="H37" s="27">
        <v>0.47139324368900709</v>
      </c>
      <c r="I37" s="59">
        <f>(B37/('Consumidores Inadimplentes'!B73*1000000))</f>
        <v>9.9349242614660799E-2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6411482</v>
      </c>
      <c r="C38" s="30">
        <v>19553812</v>
      </c>
      <c r="D38" s="30">
        <v>25590763150.75042</v>
      </c>
      <c r="E38" s="34">
        <f t="shared" ref="E38:E45" si="4">C38/B38</f>
        <v>3.0498115724258446</v>
      </c>
      <c r="F38" s="43">
        <f t="shared" si="2"/>
        <v>3991.3959285466949</v>
      </c>
      <c r="G38" s="43">
        <f t="shared" si="3"/>
        <v>1308.735255854481</v>
      </c>
      <c r="H38" s="27">
        <v>0.4796746507675938</v>
      </c>
      <c r="I38" s="59">
        <f>(B38/('Consumidores Inadimplentes'!B74*1000000))</f>
        <v>9.9759062089473924E-2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6351723</v>
      </c>
      <c r="C39" s="31">
        <v>19207597</v>
      </c>
      <c r="D39" s="31">
        <v>24991682544.840393</v>
      </c>
      <c r="E39" s="35">
        <f t="shared" si="4"/>
        <v>3.0239978978932172</v>
      </c>
      <c r="F39" s="46">
        <f t="shared" si="2"/>
        <v>3934.6304215156097</v>
      </c>
      <c r="G39" s="46">
        <f t="shared" si="3"/>
        <v>1301.1353031220092</v>
      </c>
      <c r="H39" s="28">
        <v>0.47508709499620672</v>
      </c>
      <c r="I39" s="59">
        <f>(B39/('Consumidores Inadimplentes'!B75*1000000))</f>
        <v>9.9290889566676727E-2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6458898</v>
      </c>
      <c r="C40" s="29">
        <v>19645847</v>
      </c>
      <c r="D40" s="29">
        <v>25776284712.810699</v>
      </c>
      <c r="E40" s="33">
        <f t="shared" si="4"/>
        <v>3.0416716597784945</v>
      </c>
      <c r="F40" s="45">
        <f t="shared" si="2"/>
        <v>3990.8177390029537</v>
      </c>
      <c r="G40" s="45">
        <f t="shared" si="3"/>
        <v>1312.0475137982446</v>
      </c>
      <c r="H40" s="26">
        <v>0.48298478091594477</v>
      </c>
      <c r="I40" s="59">
        <f>(B40/('Consumidores Inadimplentes'!B76*1000000))</f>
        <v>9.964753005834448E-2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6502888</v>
      </c>
      <c r="C41" s="30">
        <v>19844269</v>
      </c>
      <c r="D41" s="30">
        <v>26170717937.390629</v>
      </c>
      <c r="E41" s="34">
        <f t="shared" si="4"/>
        <v>3.0516086083598548</v>
      </c>
      <c r="F41" s="43">
        <f t="shared" si="2"/>
        <v>4024.4761923303354</v>
      </c>
      <c r="G41" s="43">
        <f t="shared" si="3"/>
        <v>1318.8048366705082</v>
      </c>
      <c r="H41" s="27">
        <v>0.48615485184618673</v>
      </c>
      <c r="I41" s="59">
        <f>(B41/('Consumidores Inadimplentes'!B77*1000000))</f>
        <v>9.9784766245057138E-2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6545427</v>
      </c>
      <c r="C42" s="30">
        <v>20291289</v>
      </c>
      <c r="D42" s="30">
        <v>26426463622.450603</v>
      </c>
      <c r="E42" s="34">
        <f t="shared" si="4"/>
        <v>3.1000710877991611</v>
      </c>
      <c r="F42" s="43">
        <f t="shared" si="2"/>
        <v>4037.393377460417</v>
      </c>
      <c r="G42" s="43">
        <f t="shared" si="3"/>
        <v>1302.355095452566</v>
      </c>
      <c r="H42" s="27">
        <v>0.48921487965276905</v>
      </c>
      <c r="I42" s="59">
        <f>(B42/('Consumidores Inadimplentes'!B78*1000000))</f>
        <v>9.9635108129082495E-2</v>
      </c>
    </row>
    <row r="43" spans="1:16" x14ac:dyDescent="0.35">
      <c r="A43" s="5">
        <v>44652</v>
      </c>
      <c r="B43" s="30">
        <v>6585239</v>
      </c>
      <c r="C43" s="30">
        <v>20810800</v>
      </c>
      <c r="D43" s="30">
        <v>27437058799.950424</v>
      </c>
      <c r="E43" s="34">
        <f t="shared" si="4"/>
        <v>3.1602193937076541</v>
      </c>
      <c r="F43" s="43">
        <f t="shared" si="2"/>
        <v>4166.4484462827277</v>
      </c>
      <c r="G43" s="43">
        <f t="shared" si="3"/>
        <v>1318.404809039077</v>
      </c>
      <c r="H43" s="27">
        <v>0.49206959800979455</v>
      </c>
      <c r="I43" s="59">
        <f>(B43/('Consumidores Inadimplentes'!B79*1000000))</f>
        <v>9.9576185265164693E-2</v>
      </c>
    </row>
    <row r="44" spans="1:16" x14ac:dyDescent="0.35">
      <c r="A44" s="5">
        <v>44682</v>
      </c>
      <c r="B44" s="30">
        <v>6737668</v>
      </c>
      <c r="C44" s="30">
        <v>21588432</v>
      </c>
      <c r="D44" s="30">
        <v>28300301854.580585</v>
      </c>
      <c r="E44" s="34">
        <f t="shared" si="4"/>
        <v>3.2041400674536056</v>
      </c>
      <c r="F44" s="43">
        <f t="shared" si="2"/>
        <v>4200.3111246473682</v>
      </c>
      <c r="G44" s="43">
        <f t="shared" si="3"/>
        <v>1310.9012203656378</v>
      </c>
      <c r="H44" s="27">
        <v>0.50333594152588679</v>
      </c>
      <c r="I44" s="59">
        <f>(B44/('Consumidores Inadimplentes'!B80*1000000))</f>
        <v>0.10119685217523425</v>
      </c>
    </row>
    <row r="45" spans="1:16" x14ac:dyDescent="0.35">
      <c r="A45" s="5">
        <v>44713</v>
      </c>
      <c r="B45" s="30">
        <v>6720450</v>
      </c>
      <c r="C45" s="30">
        <v>21443802</v>
      </c>
      <c r="D45" s="30">
        <v>28448110547.950199</v>
      </c>
      <c r="E45" s="34">
        <f t="shared" si="4"/>
        <v>3.1908282927482534</v>
      </c>
      <c r="F45" s="43">
        <f t="shared" si="2"/>
        <v>4233.0663196586838</v>
      </c>
      <c r="G45" s="43">
        <f t="shared" si="3"/>
        <v>1326.6355727379969</v>
      </c>
      <c r="H45" s="27">
        <v>0.50192638696799552</v>
      </c>
      <c r="I45" s="59">
        <f>(B45/('Consumidores Inadimplentes'!B81*1000000))</f>
        <v>0.10057749616966827</v>
      </c>
    </row>
    <row r="46" spans="1:16" x14ac:dyDescent="0.35">
      <c r="A46" s="5">
        <v>44743</v>
      </c>
      <c r="B46" s="30">
        <v>6809919</v>
      </c>
      <c r="C46" s="30">
        <v>21816522</v>
      </c>
      <c r="D46" s="30">
        <v>29201969704.0107</v>
      </c>
      <c r="E46" s="34">
        <f t="shared" ref="E46" si="5">C46/B46</f>
        <v>3.2036389860143712</v>
      </c>
      <c r="F46" s="43">
        <f t="shared" ref="F46" si="6">D46/B46</f>
        <v>4288.152282576445</v>
      </c>
      <c r="G46" s="43">
        <f t="shared" ref="G46" si="7">F46/E46</f>
        <v>1338.5254397566532</v>
      </c>
      <c r="H46" s="27">
        <v>0.50848360098481227</v>
      </c>
      <c r="I46" s="59">
        <f>(B46/('Consumidores Inadimplentes'!B82*1000000))</f>
        <v>0.1006903522073606</v>
      </c>
    </row>
    <row r="47" spans="1:16" x14ac:dyDescent="0.35">
      <c r="A47" s="5">
        <v>44774</v>
      </c>
      <c r="B47" s="30">
        <v>6865337</v>
      </c>
      <c r="C47" s="30">
        <v>22672135</v>
      </c>
      <c r="D47" s="30">
        <v>29519325144.340599</v>
      </c>
      <c r="E47" s="34">
        <f t="shared" ref="E47" si="8">C47/B47</f>
        <v>3.3024067136107083</v>
      </c>
      <c r="F47" s="43">
        <f t="shared" ref="F47" si="9">D47/B47</f>
        <v>4299.7634557983965</v>
      </c>
      <c r="G47" s="43">
        <f t="shared" ref="G47" si="10">F47/E47</f>
        <v>1302.009058447323</v>
      </c>
      <c r="H47" s="27">
        <v>0.51245135963130994</v>
      </c>
      <c r="I47" s="59">
        <f>(B47/('Consumidores Inadimplentes'!B83*1000000))</f>
        <v>0.10099612598466573</v>
      </c>
    </row>
    <row r="48" spans="1:16" x14ac:dyDescent="0.35">
      <c r="A48" s="5">
        <v>44805</v>
      </c>
      <c r="B48" s="30">
        <v>6886031</v>
      </c>
      <c r="C48" s="30">
        <v>22832119</v>
      </c>
      <c r="D48" s="30">
        <v>30107157059.750301</v>
      </c>
      <c r="E48" s="34">
        <f t="shared" ref="E48" si="11">C48/B48</f>
        <v>3.3157153954142813</v>
      </c>
      <c r="F48" s="43">
        <f t="shared" ref="F48" si="12">D48/B48</f>
        <v>4372.2075982159104</v>
      </c>
      <c r="G48" s="43">
        <f t="shared" ref="G48" si="13">F48/E48</f>
        <v>1318.6317511638015</v>
      </c>
      <c r="H48" s="27">
        <v>0.51382535433904009</v>
      </c>
      <c r="I48" s="59">
        <f>(B48/('Consumidores Inadimplentes'!B84*1000000))</f>
        <v>0.1006905607147822</v>
      </c>
    </row>
    <row r="49" spans="1:16" x14ac:dyDescent="0.35">
      <c r="A49" s="5">
        <v>44835</v>
      </c>
      <c r="B49" s="30">
        <v>6973809</v>
      </c>
      <c r="C49" s="30">
        <v>23073319</v>
      </c>
      <c r="D49" s="30">
        <v>30826587423.350403</v>
      </c>
      <c r="E49" s="34">
        <f t="shared" ref="E49" si="14">C49/B49</f>
        <v>3.3085676708381317</v>
      </c>
      <c r="F49" s="43">
        <f t="shared" ref="F49" si="15">D49/B49</f>
        <v>4420.3372107481582</v>
      </c>
      <c r="G49" s="43">
        <f t="shared" ref="G49" si="16">F49/E49</f>
        <v>1336.0274446580659</v>
      </c>
      <c r="H49" s="27">
        <v>0.52020244440678287</v>
      </c>
      <c r="I49" s="59">
        <f>(B49/('Consumidores Inadimplentes'!B85*1000000))</f>
        <v>0.100986798662663</v>
      </c>
    </row>
    <row r="50" spans="1:16" x14ac:dyDescent="0.35">
      <c r="A50" s="5">
        <v>44866</v>
      </c>
      <c r="B50" s="30">
        <v>7099460</v>
      </c>
      <c r="C50" s="30">
        <v>23515819</v>
      </c>
      <c r="D50" s="30">
        <v>32025454431.940678</v>
      </c>
      <c r="E50" s="34">
        <f t="shared" ref="E50" si="17">C50/B50</f>
        <v>3.3123391074814141</v>
      </c>
      <c r="F50" s="43">
        <f t="shared" ref="F50" si="18">D50/B50</f>
        <v>4510.9704726754817</v>
      </c>
      <c r="G50" s="43">
        <f t="shared" ref="G50" si="19">F50/E50</f>
        <v>1361.8685546074612</v>
      </c>
      <c r="H50" s="27">
        <v>0.52939937309872442</v>
      </c>
      <c r="I50" s="59">
        <f>(B50/('Consumidores Inadimplentes'!B86*1000000))</f>
        <v>0.10166084790651005</v>
      </c>
    </row>
    <row r="51" spans="1:16" ht="15" thickBot="1" x14ac:dyDescent="0.4">
      <c r="A51" s="12">
        <v>44896</v>
      </c>
      <c r="B51" s="31">
        <v>7084908</v>
      </c>
      <c r="C51" s="31">
        <v>23636954</v>
      </c>
      <c r="D51" s="31">
        <v>32284469128.54052</v>
      </c>
      <c r="E51" s="35">
        <f t="shared" ref="E51" si="20">C51/B51</f>
        <v>3.3362400753827712</v>
      </c>
      <c r="F51" s="46">
        <f t="shared" ref="F51" si="21">D51/B51</f>
        <v>4556.794404181469</v>
      </c>
      <c r="G51" s="46">
        <f t="shared" ref="G51" si="22">F51/E51</f>
        <v>1365.8472715452476</v>
      </c>
      <c r="H51" s="28">
        <v>0.52813883470560519</v>
      </c>
      <c r="I51" s="59">
        <f>(B51/('Consumidores Inadimplentes'!B87*1000000))</f>
        <v>0.10204490564187613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7143595</v>
      </c>
      <c r="C52" s="29">
        <v>24095144</v>
      </c>
      <c r="D52" s="29">
        <v>33411316310.540916</v>
      </c>
      <c r="E52" s="33">
        <f t="shared" ref="E52" si="23">C52/B52</f>
        <v>3.3729717320200825</v>
      </c>
      <c r="F52" s="45">
        <f t="shared" ref="F52" si="24">D52/B52</f>
        <v>4677.1011389280766</v>
      </c>
      <c r="G52" s="45">
        <f t="shared" ref="G52" si="25">F52/E52</f>
        <v>1386.6410721820509</v>
      </c>
      <c r="H52" s="26">
        <v>0.53233678470175261</v>
      </c>
      <c r="I52" s="59">
        <f>(B52/('Consumidores Inadimplentes'!B88*1000000))</f>
        <v>0.10191598795982085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7197526</v>
      </c>
      <c r="C53" s="30">
        <v>24259962</v>
      </c>
      <c r="D53" s="30">
        <v>33740925743.971199</v>
      </c>
      <c r="E53" s="34">
        <f t="shared" ref="E53" si="26">C53/B53</f>
        <v>3.3705973413642409</v>
      </c>
      <c r="F53" s="43">
        <f t="shared" ref="F53" si="27">D53/B53</f>
        <v>4687.8504841762569</v>
      </c>
      <c r="G53" s="43">
        <f t="shared" ref="G53" si="28">F53/E53</f>
        <v>1390.8070319306848</v>
      </c>
      <c r="H53" s="27">
        <v>0.53617761088314075</v>
      </c>
      <c r="I53" s="59">
        <f>(B53/('Consumidores Inadimplentes'!B89*1000000))</f>
        <v>0.10205356409601414</v>
      </c>
    </row>
    <row r="54" spans="1:16" x14ac:dyDescent="0.35">
      <c r="A54" s="5">
        <v>44986</v>
      </c>
      <c r="B54" s="30">
        <v>7196357</v>
      </c>
      <c r="C54" s="30">
        <v>24360153</v>
      </c>
      <c r="D54" s="30">
        <v>34585544624.730949</v>
      </c>
      <c r="E54" s="34">
        <f t="shared" ref="E54" si="29">C54/B54</f>
        <v>3.3850673333743728</v>
      </c>
      <c r="F54" s="43">
        <f t="shared" ref="F54" si="30">D54/B54</f>
        <v>4805.9795567022247</v>
      </c>
      <c r="G54" s="43">
        <f t="shared" ref="G54" si="31">F54/E54</f>
        <v>1419.7589245326558</v>
      </c>
      <c r="H54" s="27">
        <v>0.53591255139359395</v>
      </c>
      <c r="I54" s="59">
        <f>(B54/('Consumidores Inadimplentes'!B90*1000000))</f>
        <v>0.10177657933016541</v>
      </c>
    </row>
    <row r="55" spans="1:16" x14ac:dyDescent="0.35">
      <c r="A55" s="5">
        <v>45017</v>
      </c>
      <c r="B55" s="30">
        <v>7144664</v>
      </c>
      <c r="C55" s="30">
        <v>23456636</v>
      </c>
      <c r="D55" s="30">
        <v>34925925710.631905</v>
      </c>
      <c r="E55" s="34">
        <f t="shared" ref="E55" si="32">C55/B55</f>
        <v>3.283098547391452</v>
      </c>
      <c r="F55" s="43">
        <f t="shared" ref="F55" si="33">D55/B55</f>
        <v>4888.3930315871967</v>
      </c>
      <c r="G55" s="43">
        <f t="shared" ref="G55" si="34">F55/E55</f>
        <v>1488.9571424748162</v>
      </c>
      <c r="H55" s="27">
        <v>0.53188631614367632</v>
      </c>
      <c r="I55" s="59">
        <f>(B55/('Consumidores Inadimplentes'!B91*1000000))</f>
        <v>0.10000988807660337</v>
      </c>
    </row>
    <row r="56" spans="1:16" x14ac:dyDescent="0.35">
      <c r="A56" s="5">
        <v>45047</v>
      </c>
      <c r="B56" s="30">
        <v>7257386</v>
      </c>
      <c r="C56" s="30">
        <v>24257448</v>
      </c>
      <c r="D56" s="30">
        <v>35562805627.722206</v>
      </c>
      <c r="E56" s="34">
        <f t="shared" ref="E56" si="35">C56/B56</f>
        <v>3.342449747057687</v>
      </c>
      <c r="F56" s="43">
        <f t="shared" ref="F56" si="36">D56/B56</f>
        <v>4900.2224255017172</v>
      </c>
      <c r="G56" s="43">
        <f t="shared" ref="G56" si="37">F56/E56</f>
        <v>1466.0571725320078</v>
      </c>
      <c r="H56" s="27">
        <v>0.54009856702510828</v>
      </c>
      <c r="I56" s="59">
        <f>(B56/('Consumidores Inadimplentes'!B92*1000000))</f>
        <v>0.10093220122827275</v>
      </c>
    </row>
    <row r="57" spans="1:16" x14ac:dyDescent="0.35">
      <c r="A57" s="5">
        <v>45078</v>
      </c>
      <c r="B57" s="30">
        <v>7228730</v>
      </c>
      <c r="C57" s="30">
        <v>24130987</v>
      </c>
      <c r="D57" s="30">
        <v>35446589969.151833</v>
      </c>
      <c r="E57" s="34">
        <f t="shared" ref="E57" si="38">C57/B57</f>
        <v>3.3382056045806108</v>
      </c>
      <c r="F57" s="43">
        <f t="shared" ref="F57" si="39">D57/B57</f>
        <v>4903.5708857782529</v>
      </c>
      <c r="G57" s="43">
        <f t="shared" ref="G57" si="40">F57/E57</f>
        <v>1468.9241666390119</v>
      </c>
      <c r="H57" s="27">
        <v>0.53778735202483874</v>
      </c>
      <c r="I57" s="59">
        <f>(B57/('Consumidores Inadimplentes'!B93*1000000))</f>
        <v>0.10116686460882397</v>
      </c>
    </row>
    <row r="58" spans="1:16" x14ac:dyDescent="0.35">
      <c r="A58" s="5">
        <v>45108</v>
      </c>
      <c r="B58" s="30">
        <v>7275290</v>
      </c>
      <c r="C58" s="30">
        <v>24929369</v>
      </c>
      <c r="D58" s="30">
        <v>36077016688.790779</v>
      </c>
      <c r="E58" s="34">
        <f t="shared" ref="E58" si="41">C58/B58</f>
        <v>3.4265807960919772</v>
      </c>
      <c r="F58" s="43">
        <f t="shared" ref="F58" si="42">D58/B58</f>
        <v>4958.8424226100651</v>
      </c>
      <c r="G58" s="43">
        <f t="shared" ref="G58" si="43">F58/E58</f>
        <v>1447.1692680545095</v>
      </c>
      <c r="H58" s="27">
        <v>0.54107153030050847</v>
      </c>
      <c r="I58" s="59">
        <f>(B58/('Consumidores Inadimplentes'!B94*1000000))</f>
        <v>0.10186765464598313</v>
      </c>
    </row>
    <row r="59" spans="1:16" x14ac:dyDescent="0.35">
      <c r="A59" s="5">
        <v>45139</v>
      </c>
      <c r="B59" s="30">
        <v>7287693</v>
      </c>
      <c r="C59" s="30">
        <v>25297731</v>
      </c>
      <c r="D59" s="30">
        <v>36647082597.270859</v>
      </c>
      <c r="E59" s="34">
        <f t="shared" ref="E59" si="44">C59/B59</f>
        <v>3.4712948253994784</v>
      </c>
      <c r="F59" s="43">
        <f t="shared" ref="F59" si="45">D59/B59</f>
        <v>5028.6260133722508</v>
      </c>
      <c r="G59" s="43">
        <f t="shared" ref="G59" si="46">F59/E59</f>
        <v>1448.6312071731199</v>
      </c>
      <c r="H59" s="27">
        <v>0.54180501379586754</v>
      </c>
      <c r="I59" s="59">
        <f>(B59/('Consumidores Inadimplentes'!B95*1000000))</f>
        <v>0.10158611204706479</v>
      </c>
    </row>
    <row r="60" spans="1:16" x14ac:dyDescent="0.35">
      <c r="A60" s="5">
        <v>45170</v>
      </c>
      <c r="B60" s="30">
        <v>7320453</v>
      </c>
      <c r="C60" s="30">
        <v>25622220</v>
      </c>
      <c r="D60" s="30">
        <v>37740431925.011124</v>
      </c>
      <c r="E60" s="34">
        <f t="shared" ref="E60" si="47">C60/B60</f>
        <v>3.5000866749639674</v>
      </c>
      <c r="F60" s="43">
        <f t="shared" ref="F60" si="48">D60/B60</f>
        <v>5155.4776630641745</v>
      </c>
      <c r="G60" s="43">
        <f t="shared" ref="G60" si="49">F60/E60</f>
        <v>1472.9571413020076</v>
      </c>
      <c r="H60" s="27">
        <v>0.54405082309349861</v>
      </c>
      <c r="I60" s="59">
        <f>(B60/('Consumidores Inadimplentes'!B96*1000000))</f>
        <v>0.10192472798328549</v>
      </c>
    </row>
    <row r="61" spans="1:16" x14ac:dyDescent="0.35">
      <c r="A61" s="5">
        <v>45200</v>
      </c>
      <c r="B61" s="30">
        <v>7344539</v>
      </c>
      <c r="C61" s="30">
        <v>25725808</v>
      </c>
      <c r="D61" s="30">
        <v>38618191325.711479</v>
      </c>
      <c r="E61" s="34">
        <f t="shared" ref="E61" si="50">C61/B61</f>
        <v>3.5027124234754559</v>
      </c>
      <c r="F61" s="43">
        <f t="shared" ref="F61" si="51">D61/B61</f>
        <v>5258.082410034378</v>
      </c>
      <c r="G61" s="43">
        <f t="shared" ref="G61" si="52">F61/E61</f>
        <v>1501.1459047549247</v>
      </c>
      <c r="H61" s="27">
        <v>0.54565056513853372</v>
      </c>
      <c r="I61" s="59">
        <f>(B61/('Consumidores Inadimplentes'!B97*1000000))</f>
        <v>0.10207480728192485</v>
      </c>
    </row>
    <row r="62" spans="1:16" x14ac:dyDescent="0.35">
      <c r="A62" s="5">
        <v>45231</v>
      </c>
      <c r="B62" s="30">
        <v>7299680</v>
      </c>
      <c r="C62" s="30">
        <v>25534517</v>
      </c>
      <c r="D62" s="30">
        <v>38727097196.271248</v>
      </c>
      <c r="E62" s="34">
        <f t="shared" ref="E62" si="53">C62/B62</f>
        <v>3.4980323795015673</v>
      </c>
      <c r="F62" s="43">
        <f t="shared" ref="F62" si="54">D62/B62</f>
        <v>5305.3143694341734</v>
      </c>
      <c r="G62" s="43">
        <f t="shared" ref="G62" si="55">F62/E62</f>
        <v>1516.6567355188761</v>
      </c>
      <c r="H62" s="27">
        <v>0.54212878053924873</v>
      </c>
      <c r="I62" s="59">
        <f>(B62/('Consumidores Inadimplentes'!B98*1000000))</f>
        <v>0.10165422345858982</v>
      </c>
    </row>
    <row r="63" spans="1:16" ht="15" thickBot="1" x14ac:dyDescent="0.4">
      <c r="A63" s="12">
        <v>45261</v>
      </c>
      <c r="B63" s="31">
        <v>7287014</v>
      </c>
      <c r="C63" s="31">
        <v>25657191</v>
      </c>
      <c r="D63" s="31">
        <v>38353063494.821907</v>
      </c>
      <c r="E63" s="35">
        <f t="shared" ref="E63:E64" si="56">C63/B63</f>
        <v>3.5209471259421212</v>
      </c>
      <c r="F63" s="46">
        <f t="shared" ref="F63:F64" si="57">D63/B63</f>
        <v>5263.2070550189565</v>
      </c>
      <c r="G63" s="46">
        <f t="shared" ref="G63:G64" si="58">F63/E63</f>
        <v>1494.8270640703381</v>
      </c>
      <c r="H63" s="28">
        <v>0.54099942975042725</v>
      </c>
      <c r="I63" s="59">
        <f>(B63/('Consumidores Inadimplentes'!B99*1000000))</f>
        <v>0.10248613271901967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7346971</v>
      </c>
      <c r="C64" s="29">
        <v>26346810</v>
      </c>
      <c r="D64" s="29">
        <v>39534592131.311844</v>
      </c>
      <c r="E64" s="33">
        <f t="shared" si="56"/>
        <v>3.586077854397411</v>
      </c>
      <c r="F64" s="45">
        <f t="shared" si="57"/>
        <v>5381.073660330474</v>
      </c>
      <c r="G64" s="45">
        <f t="shared" si="58"/>
        <v>1500.5456877440511</v>
      </c>
      <c r="H64" s="26">
        <v>0.54526055237702109</v>
      </c>
      <c r="I64" s="59">
        <f>(B64/('Consumidores Inadimplentes'!B100*1000000))</f>
        <v>0.10194241372837694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7308589</v>
      </c>
      <c r="C65" s="30">
        <v>26247044</v>
      </c>
      <c r="D65" s="30">
        <v>39460253145.101563</v>
      </c>
      <c r="E65" s="34">
        <f t="shared" ref="E65" si="59">C65/B65</f>
        <v>3.5912600913801556</v>
      </c>
      <c r="F65" s="43">
        <f t="shared" ref="F65" si="60">D65/B65</f>
        <v>5399.1616090467751</v>
      </c>
      <c r="G65" s="43">
        <f t="shared" ref="G65" si="61">F65/E65</f>
        <v>1503.417037937741</v>
      </c>
      <c r="H65" s="27">
        <v>0.5422229110334954</v>
      </c>
      <c r="I65" s="59">
        <f>(B65/('Consumidores Inadimplentes'!B101*1000000))</f>
        <v>0.10145285634029876</v>
      </c>
    </row>
    <row r="66" spans="1:16" x14ac:dyDescent="0.35">
      <c r="A66" s="5">
        <v>45352</v>
      </c>
      <c r="B66" s="30">
        <v>7357702</v>
      </c>
      <c r="C66" s="30">
        <v>26397074</v>
      </c>
      <c r="D66" s="30">
        <v>39601798464.231071</v>
      </c>
      <c r="E66" s="34">
        <f t="shared" ref="E66" si="62">C66/B66</f>
        <v>3.5876791422104346</v>
      </c>
      <c r="F66" s="43">
        <f t="shared" ref="F66" si="63">D66/B66</f>
        <v>5382.3596639590824</v>
      </c>
      <c r="G66" s="43">
        <f t="shared" ref="G66" si="64">F66/E66</f>
        <v>1500.2343996244081</v>
      </c>
      <c r="H66" s="27">
        <v>0.54567628219651976</v>
      </c>
      <c r="I66" s="59">
        <f>(B66/('Consumidores Inadimplentes'!B102*1000000))</f>
        <v>0.10093586758378897</v>
      </c>
    </row>
    <row r="67" spans="1:16" x14ac:dyDescent="0.35">
      <c r="A67" s="5">
        <v>45383</v>
      </c>
      <c r="B67" s="30">
        <v>7550468</v>
      </c>
      <c r="C67" s="30">
        <v>27197190</v>
      </c>
      <c r="D67" s="30">
        <v>40406190072.542351</v>
      </c>
      <c r="E67" s="34">
        <f t="shared" ref="E67" si="65">C67/B67</f>
        <v>3.6020535415817934</v>
      </c>
      <c r="F67" s="43">
        <f t="shared" ref="F67" si="66">D67/B67</f>
        <v>5351.4815336668335</v>
      </c>
      <c r="G67" s="43">
        <f t="shared" ref="G67" si="67">F67/E67</f>
        <v>1485.6751771981719</v>
      </c>
      <c r="H67" s="27">
        <v>0.55977732474458308</v>
      </c>
      <c r="I67" s="59">
        <f>(B67/('Consumidores Inadimplentes'!B103*1000000))</f>
        <v>0.10283969236411809</v>
      </c>
    </row>
    <row r="68" spans="1:16" x14ac:dyDescent="0.35">
      <c r="A68" s="5">
        <v>45413</v>
      </c>
      <c r="B68" s="30">
        <v>7459452</v>
      </c>
      <c r="C68" s="30">
        <v>27310864</v>
      </c>
      <c r="D68" s="30">
        <v>40442948714.378532</v>
      </c>
      <c r="E68" s="34">
        <f t="shared" ref="E68" si="68">C68/B68</f>
        <v>3.6612426757354295</v>
      </c>
      <c r="F68" s="43">
        <f t="shared" ref="F68" si="69">D68/B68</f>
        <v>5421.7050681978426</v>
      </c>
      <c r="G68" s="43">
        <f t="shared" ref="G68" si="70">F68/E68</f>
        <v>1480.8373954913523</v>
      </c>
      <c r="H68" s="27">
        <v>0.55283677236407558</v>
      </c>
      <c r="I68" s="59">
        <f>(B68/('Consumidores Inadimplentes'!B104*1000000))</f>
        <v>0.10283884604518297</v>
      </c>
    </row>
    <row r="69" spans="1:16" x14ac:dyDescent="0.35">
      <c r="A69" s="5">
        <v>45444</v>
      </c>
      <c r="B69" s="30">
        <v>7493712</v>
      </c>
      <c r="C69" s="30">
        <v>27681252</v>
      </c>
      <c r="D69" s="30">
        <v>40766715703.919998</v>
      </c>
      <c r="E69" s="34">
        <f t="shared" ref="E69" si="71">C69/B69</f>
        <v>3.6939305914078364</v>
      </c>
      <c r="F69" s="43">
        <f t="shared" ref="F69" si="72">D69/B69</f>
        <v>5440.1230930572192</v>
      </c>
      <c r="G69" s="43">
        <f t="shared" ref="G69" si="73">F69/E69</f>
        <v>1472.7193590781226</v>
      </c>
      <c r="H69" s="27">
        <v>0.55518222589954236</v>
      </c>
      <c r="I69" s="59">
        <f>(B69/('Consumidores Inadimplentes'!B105*1000000))</f>
        <v>0.10335993098700859</v>
      </c>
    </row>
    <row r="70" spans="1:16" x14ac:dyDescent="0.35">
      <c r="A70" s="5">
        <v>45474</v>
      </c>
      <c r="B70" s="30">
        <v>7427382</v>
      </c>
      <c r="C70" s="30">
        <v>27124022</v>
      </c>
      <c r="D70" s="30">
        <v>39408818007.059998</v>
      </c>
      <c r="E70" s="34">
        <f t="shared" ref="E70" si="74">C70/B70</f>
        <v>3.6518953784792543</v>
      </c>
      <c r="F70" s="43">
        <f t="shared" ref="F70" si="75">D70/B70</f>
        <v>5305.8827467147912</v>
      </c>
      <c r="G70" s="43">
        <f t="shared" ref="G70" si="76">F70/E70</f>
        <v>1452.9120352084951</v>
      </c>
      <c r="H70" s="27">
        <v>0.55007624907433528</v>
      </c>
      <c r="I70" s="59">
        <f>(B70/('Consumidores Inadimplentes'!B106*1000000))</f>
        <v>0.10221522454829374</v>
      </c>
    </row>
    <row r="71" spans="1:16" x14ac:dyDescent="0.35">
      <c r="A71" s="5">
        <v>45505</v>
      </c>
      <c r="B71" s="30">
        <v>7398275</v>
      </c>
      <c r="C71" s="30">
        <v>27085228</v>
      </c>
      <c r="D71" s="30">
        <v>39445163306.992828</v>
      </c>
      <c r="E71" s="34">
        <f t="shared" ref="E71" si="77">C71/B71</f>
        <v>3.661019359242526</v>
      </c>
      <c r="F71" s="43">
        <f t="shared" ref="F71" si="78">D71/B71</f>
        <v>5331.6703295015159</v>
      </c>
      <c r="G71" s="43">
        <f t="shared" ref="G71" si="79">F71/E71</f>
        <v>1456.3349183175726</v>
      </c>
      <c r="H71" s="27">
        <v>0.54774179295182168</v>
      </c>
      <c r="I71" s="59">
        <f>(B71/('Consumidores Inadimplentes'!B107*1000000))</f>
        <v>0.10209792535563893</v>
      </c>
    </row>
    <row r="72" spans="1:16" x14ac:dyDescent="0.35">
      <c r="A72" s="5">
        <v>45536</v>
      </c>
      <c r="B72" s="30">
        <v>7386431</v>
      </c>
      <c r="C72" s="30">
        <v>27215794</v>
      </c>
      <c r="D72" s="30">
        <v>39636282858.57254</v>
      </c>
      <c r="E72" s="34">
        <f t="shared" ref="E72" si="80">C72/B72</f>
        <v>3.6845661998331805</v>
      </c>
      <c r="F72" s="43">
        <f t="shared" ref="F72" si="81">D72/B72</f>
        <v>5366.0939713066491</v>
      </c>
      <c r="G72" s="43">
        <f t="shared" ref="G72" si="82">F72/E72</f>
        <v>1456.3706228292492</v>
      </c>
      <c r="H72" s="27">
        <v>0.54668645261087501</v>
      </c>
      <c r="I72" s="59">
        <f>(B72/('Consumidores Inadimplentes'!B108*1000000))</f>
        <v>0.10168275273978832</v>
      </c>
    </row>
    <row r="73" spans="1:16" x14ac:dyDescent="0.35">
      <c r="A73" s="5">
        <v>45566</v>
      </c>
      <c r="B73" s="30">
        <v>7426040</v>
      </c>
      <c r="C73" s="30">
        <v>27399602</v>
      </c>
      <c r="D73" s="30">
        <v>40291087748.642891</v>
      </c>
      <c r="E73" s="34">
        <f t="shared" ref="E73" si="83">C73/B73</f>
        <v>3.6896652859397472</v>
      </c>
      <c r="F73" s="43">
        <f t="shared" ref="F73" si="84">D73/B73</f>
        <v>5425.649168149228</v>
      </c>
      <c r="G73" s="43">
        <f t="shared" ref="G73" si="85">F73/E73</f>
        <v>1470.4990148631682</v>
      </c>
      <c r="H73" s="27">
        <v>0.54943867070000518</v>
      </c>
      <c r="I73" s="59">
        <f>(B73/('Consumidores Inadimplentes'!B109*1000000))</f>
        <v>0.10158186988152083</v>
      </c>
    </row>
    <row r="74" spans="1:16" x14ac:dyDescent="0.35">
      <c r="A74" s="5">
        <v>45597</v>
      </c>
      <c r="B74" s="30">
        <v>7533034</v>
      </c>
      <c r="C74" s="30">
        <v>27730247</v>
      </c>
      <c r="D74" s="30">
        <v>41580325603.892349</v>
      </c>
      <c r="E74" s="34">
        <f t="shared" ref="E74" si="86">C74/B74</f>
        <v>3.6811525077412366</v>
      </c>
      <c r="F74" s="43">
        <f t="shared" ref="F74" si="87">D74/B74</f>
        <v>5519.7315721517189</v>
      </c>
      <c r="G74" s="43">
        <f t="shared" ref="G74" si="88">F74/E74</f>
        <v>1499.4574553876982</v>
      </c>
      <c r="H74" s="27">
        <v>0.55717307353638068</v>
      </c>
      <c r="I74" s="59">
        <f>(B74/('Consumidores Inadimplentes'!B110*1000000))</f>
        <v>0.10208913293799056</v>
      </c>
    </row>
    <row r="75" spans="1:16" ht="15" thickBot="1" x14ac:dyDescent="0.4">
      <c r="A75" s="12">
        <v>45627</v>
      </c>
      <c r="B75" s="31">
        <v>7471212</v>
      </c>
      <c r="C75" s="31">
        <v>27350053</v>
      </c>
      <c r="D75" s="31">
        <v>40876228464.202225</v>
      </c>
      <c r="E75" s="35">
        <f t="shared" ref="E75:E77" si="89">C75/B75</f>
        <v>3.6607250604051926</v>
      </c>
      <c r="F75" s="46">
        <f t="shared" ref="F75:F77" si="90">D75/B75</f>
        <v>5471.1643123233853</v>
      </c>
      <c r="G75" s="46">
        <f t="shared" ref="G75:G77" si="91">F75/E75</f>
        <v>1494.5575595119403</v>
      </c>
      <c r="H75" s="28">
        <v>0.55242016161768526</v>
      </c>
      <c r="I75" s="59">
        <f>(B75/('Consumidores Inadimplentes'!B111*1000000))</f>
        <v>0.10163220139140888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7550251</v>
      </c>
      <c r="C76" s="29">
        <v>27835543</v>
      </c>
      <c r="D76" s="29">
        <v>42165051408.702133</v>
      </c>
      <c r="E76" s="33">
        <f t="shared" si="89"/>
        <v>3.6867043228099305</v>
      </c>
      <c r="F76" s="45">
        <f t="shared" si="90"/>
        <v>5584.5893611619185</v>
      </c>
      <c r="G76" s="45">
        <f t="shared" si="91"/>
        <v>1514.7917685206332</v>
      </c>
      <c r="H76" s="26">
        <v>0.55808210925849611</v>
      </c>
      <c r="I76" s="59">
        <f>(B76/('Consumidores Inadimplentes'!B112*1000000))</f>
        <v>0.10120584565905831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7506588</v>
      </c>
      <c r="C77" s="30">
        <v>28174648</v>
      </c>
      <c r="D77" s="30">
        <v>44508813101.572372</v>
      </c>
      <c r="E77" s="34">
        <f t="shared" si="89"/>
        <v>3.7533228145730124</v>
      </c>
      <c r="F77" s="43">
        <f t="shared" si="90"/>
        <v>5929.3001163208064</v>
      </c>
      <c r="G77" s="43">
        <f t="shared" si="91"/>
        <v>1579.7469094049504</v>
      </c>
      <c r="H77" s="27">
        <v>0.5546736759237797</v>
      </c>
      <c r="I77" s="59">
        <f>(B77/('Consumidores Inadimplentes'!B113*1000000))</f>
        <v>0.10008332023725809</v>
      </c>
    </row>
    <row r="78" spans="1:16" x14ac:dyDescent="0.35">
      <c r="A78" s="5">
        <v>45717</v>
      </c>
      <c r="B78" s="30">
        <v>7539713</v>
      </c>
      <c r="C78" s="30">
        <v>27987316</v>
      </c>
      <c r="D78" s="30">
        <v>43882578896.56208</v>
      </c>
      <c r="E78" s="34">
        <f t="shared" ref="E78" si="92">C78/B78</f>
        <v>3.7119869151518103</v>
      </c>
      <c r="F78" s="43">
        <f t="shared" ref="F78" si="93">D78/B78</f>
        <v>5820.1922137569536</v>
      </c>
      <c r="G78" s="43">
        <f t="shared" ref="G78" si="94">F78/E78</f>
        <v>1567.9452397851255</v>
      </c>
      <c r="H78" s="27">
        <v>0.55693952004907166</v>
      </c>
      <c r="I78" s="59">
        <f>(B78/('Consumidores Inadimplentes'!B114*1000000))</f>
        <v>9.9508508241921145E-2</v>
      </c>
    </row>
    <row r="79" spans="1:16" x14ac:dyDescent="0.35">
      <c r="A79" s="5">
        <v>45748</v>
      </c>
      <c r="B79" s="30">
        <v>7624500</v>
      </c>
      <c r="C79" s="30">
        <v>28671529</v>
      </c>
      <c r="D79" s="30">
        <v>45510274054</v>
      </c>
      <c r="E79" s="34">
        <f t="shared" ref="E79" si="95">C79/B79</f>
        <v>3.7604471112859859</v>
      </c>
      <c r="F79" s="43">
        <f t="shared" ref="F79" si="96">D79/B79</f>
        <v>5968.9519383566139</v>
      </c>
      <c r="G79" s="43">
        <f t="shared" ref="G79" si="97">F79/E79</f>
        <v>1587.2984678982416</v>
      </c>
      <c r="H79" s="27">
        <v>0.563018740412362</v>
      </c>
      <c r="I79" s="59">
        <f>(B79/('Consumidores Inadimplentes'!B115*1000000))</f>
        <v>9.9486510251612204E-2</v>
      </c>
    </row>
    <row r="80" spans="1:16" x14ac:dyDescent="0.35">
      <c r="A80" s="5">
        <v>45778</v>
      </c>
      <c r="B80" s="30">
        <v>7670756</v>
      </c>
      <c r="C80" s="30">
        <v>29089601</v>
      </c>
      <c r="D80" s="30">
        <v>46202959881</v>
      </c>
      <c r="E80" s="34">
        <f t="shared" ref="E80" si="98">C80/B80</f>
        <v>3.7922730171576311</v>
      </c>
      <c r="F80" s="43">
        <f t="shared" ref="F80" si="99">D80/B80</f>
        <v>6023.260273302918</v>
      </c>
      <c r="G80" s="43">
        <f t="shared" ref="G80" si="100">F80/E80</f>
        <v>1588.2981647290383</v>
      </c>
      <c r="H80" s="27">
        <v>0.56624962222987651</v>
      </c>
      <c r="I80" s="59">
        <f>(B80/('Consumidores Inadimplentes'!B116*1000000))</f>
        <v>9.9526781872808223E-2</v>
      </c>
    </row>
    <row r="81" spans="1:16" x14ac:dyDescent="0.35">
      <c r="A81" s="5">
        <v>45809</v>
      </c>
      <c r="B81" s="30">
        <v>7749383</v>
      </c>
      <c r="C81" s="30">
        <v>29519867</v>
      </c>
      <c r="D81" s="30">
        <v>47094860161</v>
      </c>
      <c r="E81" s="34">
        <f t="shared" ref="E81" si="101">C81/B81</f>
        <v>3.8093183676687552</v>
      </c>
      <c r="F81" s="43">
        <f t="shared" ref="F81" si="102">D81/B81</f>
        <v>6077.2399765245827</v>
      </c>
      <c r="G81" s="43">
        <f t="shared" ref="G81" si="103">F81/E81</f>
        <v>1595.3615292711177</v>
      </c>
      <c r="H81" s="27">
        <v>0.57186713620081731</v>
      </c>
      <c r="I81" s="59">
        <f>(B81/('Consumidores Inadimplentes'!B117*1000000))</f>
        <v>9.9511048525591769E-2</v>
      </c>
    </row>
    <row r="82" spans="1:16" x14ac:dyDescent="0.35">
      <c r="A82" s="5">
        <v>45839</v>
      </c>
      <c r="B82" s="30">
        <v>7725437</v>
      </c>
      <c r="C82" s="30">
        <v>29517418</v>
      </c>
      <c r="D82" s="30">
        <v>47302995189</v>
      </c>
      <c r="E82" s="34">
        <f t="shared" ref="E82" si="104">C82/B82</f>
        <v>3.820808842270023</v>
      </c>
      <c r="F82" s="43">
        <f t="shared" ref="F82" si="105">D82/B82</f>
        <v>6123.0186964180793</v>
      </c>
      <c r="G82" s="43">
        <f t="shared" ref="G82" si="106">F82/E82</f>
        <v>1602.5451544914938</v>
      </c>
      <c r="H82" s="27">
        <v>0.56991397699699098</v>
      </c>
      <c r="I82" s="59">
        <f>(B82/('Consumidores Inadimplentes'!B118*1000000))</f>
        <v>9.8839814160954692E-2</v>
      </c>
    </row>
    <row r="83" spans="1:16" x14ac:dyDescent="0.35">
      <c r="A83" s="5">
        <v>45870</v>
      </c>
      <c r="B83" s="30">
        <v>7754254</v>
      </c>
      <c r="C83" s="30">
        <v>29760977</v>
      </c>
      <c r="D83" s="30">
        <v>48119053198</v>
      </c>
      <c r="E83" s="34">
        <f t="shared" ref="E83" si="107">C83/B83</f>
        <v>3.8380193633069024</v>
      </c>
      <c r="F83" s="43">
        <f t="shared" ref="F83" si="108">D83/B83</f>
        <v>6205.5038689730827</v>
      </c>
      <c r="G83" s="43">
        <f t="shared" ref="G83" si="109">F83/E83</f>
        <v>1616.8505892128474</v>
      </c>
      <c r="H83" s="27">
        <v>0.57186071362988389</v>
      </c>
      <c r="I83" s="59">
        <f>(B83/('Consumidores Inadimplentes'!B119*1000000))</f>
        <v>9.8343281968005541E-2</v>
      </c>
    </row>
    <row r="84" spans="1:16" x14ac:dyDescent="0.35">
      <c r="A84" s="5">
        <v>45901</v>
      </c>
      <c r="B84" s="30">
        <v>7762963</v>
      </c>
      <c r="C84" s="30">
        <v>29531487</v>
      </c>
      <c r="D84" s="30">
        <v>47991390406</v>
      </c>
      <c r="E84" s="34">
        <f>IFERROR(C84/B84,"")</f>
        <v>3.8041514560870637</v>
      </c>
      <c r="F84" s="43">
        <f>IFERROR(D84/B84,"")</f>
        <v>6182.09701707969</v>
      </c>
      <c r="G84" s="43">
        <f>IFERROR(F84/E84,"")</f>
        <v>1625.0922415793016</v>
      </c>
      <c r="H84" s="27">
        <v>0.5723237287227152</v>
      </c>
      <c r="I84" s="59">
        <f>(B84/('Consumidores Inadimplentes'!B120*1000000))</f>
        <v>9.8058126577867999E-2</v>
      </c>
    </row>
    <row r="85" spans="1:16" x14ac:dyDescent="0.35">
      <c r="A85" s="5">
        <v>45931</v>
      </c>
      <c r="B85" s="30">
        <v>7920162</v>
      </c>
      <c r="C85" s="30">
        <v>30397045</v>
      </c>
      <c r="D85" s="30">
        <v>49057623775</v>
      </c>
      <c r="E85" s="34">
        <f t="shared" ref="E85:E87" si="110">IFERROR(C85/B85,"")</f>
        <v>3.8379322291639992</v>
      </c>
      <c r="F85" s="43">
        <f t="shared" ref="F85:F87" si="111">IFERROR(D85/B85,"")</f>
        <v>6194.0177202183495</v>
      </c>
      <c r="G85" s="43">
        <f t="shared" ref="G85:G87" si="112">IFERROR(F85/E85,"")</f>
        <v>1613.8945010937744</v>
      </c>
      <c r="H85" s="27">
        <v>0.58373035275312413</v>
      </c>
      <c r="I85" s="59">
        <f>(B85/('Consumidores Inadimplentes'!B121*1000000))</f>
        <v>9.8464737390716942E-2</v>
      </c>
    </row>
    <row r="86" spans="1:16" x14ac:dyDescent="0.35">
      <c r="A86" s="5">
        <v>45962</v>
      </c>
      <c r="B86" s="30">
        <v>7842393</v>
      </c>
      <c r="C86" s="30">
        <v>29988081</v>
      </c>
      <c r="D86" s="30">
        <v>49416907342</v>
      </c>
      <c r="E86" s="34">
        <f t="shared" si="110"/>
        <v>3.8238431815391043</v>
      </c>
      <c r="F86" s="43">
        <f t="shared" si="111"/>
        <v>6301.2536278148773</v>
      </c>
      <c r="G86" s="43">
        <f t="shared" si="112"/>
        <v>1647.8849494237393</v>
      </c>
      <c r="H86" s="27">
        <v>0.57781764452600848</v>
      </c>
      <c r="I86" s="59">
        <f>(B86/('Consumidores Inadimplentes'!B122*1000000))</f>
        <v>9.7288252532264474E-2</v>
      </c>
    </row>
    <row r="87" spans="1:16" ht="15" thickBot="1" x14ac:dyDescent="0.4">
      <c r="A87" s="12">
        <v>45992</v>
      </c>
      <c r="B87" s="31">
        <v>7890206</v>
      </c>
      <c r="C87" s="31">
        <v>30303727</v>
      </c>
      <c r="D87" s="31">
        <v>50557114352</v>
      </c>
      <c r="E87" s="35">
        <f t="shared" si="110"/>
        <v>3.8406762763861932</v>
      </c>
      <c r="F87" s="46">
        <f t="shared" si="111"/>
        <v>6407.5785032735521</v>
      </c>
      <c r="G87" s="46">
        <f t="shared" si="112"/>
        <v>1668.3464166635345</v>
      </c>
      <c r="H87" s="28">
        <v>0.58115842252237238</v>
      </c>
      <c r="I87" s="59">
        <f>(B87/('Consumidores Inadimplentes'!B123*1000000))</f>
        <v>9.7112599032572064E-2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7928421</v>
      </c>
      <c r="C88" s="29">
        <v>30586547</v>
      </c>
      <c r="D88" s="29">
        <v>51767736287</v>
      </c>
      <c r="E88" s="33">
        <f t="shared" ref="E88:E89" si="113">IFERROR(C88/B88,"")</f>
        <v>3.8578358793005569</v>
      </c>
      <c r="F88" s="45">
        <f t="shared" ref="F88:F89" si="114">IFERROR(D88/B88,"")</f>
        <v>6529.3879180986987</v>
      </c>
      <c r="G88" s="45">
        <f t="shared" ref="G88:G89" si="115">IFERROR(F88/E88,"")</f>
        <v>1692.5001794743291</v>
      </c>
      <c r="H88" s="26">
        <v>0.58379029728428222</v>
      </c>
      <c r="I88" s="59">
        <f>(B88/('Consumidores Inadimplentes'!B124*1000000))</f>
        <v>9.7497368799126766E-2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7966998</v>
      </c>
      <c r="C89" s="30">
        <v>30983973</v>
      </c>
      <c r="D89" s="30">
        <v>53065860721</v>
      </c>
      <c r="E89" s="34">
        <f t="shared" si="113"/>
        <v>3.8890398867929927</v>
      </c>
      <c r="F89" s="43">
        <f t="shared" si="114"/>
        <v>6660.709682743739</v>
      </c>
      <c r="G89" s="43">
        <f t="shared" si="115"/>
        <v>1712.6874181371124</v>
      </c>
      <c r="H89" s="27">
        <v>0.58644712765971541</v>
      </c>
      <c r="I89" s="59">
        <f>(B89/('Consumidores Inadimplentes'!B125*1000000))</f>
        <v>9.7477196056434068E-2</v>
      </c>
    </row>
    <row r="90" spans="1:16" x14ac:dyDescent="0.35">
      <c r="A90" s="5">
        <v>46082</v>
      </c>
      <c r="B90" s="30">
        <v>8063052</v>
      </c>
      <c r="C90" s="30">
        <v>31604889</v>
      </c>
      <c r="D90" s="30">
        <v>54642928573</v>
      </c>
      <c r="E90" s="34">
        <f t="shared" ref="E90" si="116">IFERROR(C90/B90,"")</f>
        <v>3.9197178686184833</v>
      </c>
      <c r="F90" s="43">
        <f t="shared" ref="F90" si="117">IFERROR(D90/B90,"")</f>
        <v>6776.9535125161046</v>
      </c>
      <c r="G90" s="43">
        <f t="shared" ref="G90" si="118">IFERROR(F90/E90,"")</f>
        <v>1728.9391072691319</v>
      </c>
      <c r="H90" s="27">
        <v>0.5933317826204727</v>
      </c>
      <c r="I90" s="59">
        <f>(B90/('Consumidores Inadimplentes'!B126*1000000))</f>
        <v>9.734165787673825E-2</v>
      </c>
    </row>
    <row r="91" spans="1:16" x14ac:dyDescent="0.35">
      <c r="A91" s="5">
        <v>46113</v>
      </c>
      <c r="B91" s="30">
        <v>8094320</v>
      </c>
      <c r="C91" s="30">
        <v>31822387</v>
      </c>
      <c r="D91" s="30">
        <v>55190610302</v>
      </c>
      <c r="E91" s="34">
        <f t="shared" ref="E91" si="119">IFERROR(C91/B91,"")</f>
        <v>3.931446619357772</v>
      </c>
      <c r="F91" s="43">
        <f t="shared" ref="F91" si="120">IFERROR(D91/B91,"")</f>
        <v>6818.4369165044127</v>
      </c>
      <c r="G91" s="43">
        <f t="shared" ref="G91" si="121">IFERROR(F91/E91,"")</f>
        <v>1734.3328236816426</v>
      </c>
      <c r="H91" s="27">
        <v>0.59544615721422844</v>
      </c>
      <c r="I91" s="59">
        <f>(B91/('Consumidores Inadimplentes'!B127*1000000))</f>
        <v>9.7066775751946374E-2</v>
      </c>
    </row>
    <row r="92" spans="1:16" x14ac:dyDescent="0.35">
      <c r="A92" s="5">
        <v>46143</v>
      </c>
      <c r="B92" s="30">
        <v>8136046</v>
      </c>
      <c r="C92" s="30">
        <v>31829339</v>
      </c>
      <c r="D92" s="30">
        <v>55751913602</v>
      </c>
      <c r="E92" s="34">
        <f t="shared" ref="E92" si="122">IFERROR(C92/B92,"")</f>
        <v>3.9121385252738246</v>
      </c>
      <c r="F92" s="43">
        <f t="shared" ref="F92" si="123">IFERROR(D92/B92,"")</f>
        <v>6852.4580124055346</v>
      </c>
      <c r="G92" s="43">
        <f t="shared" ref="G92" si="124">IFERROR(F92/E92,"")</f>
        <v>1751.5887968015925</v>
      </c>
      <c r="H92" s="27">
        <v>0.59832824972915066</v>
      </c>
      <c r="I92" s="59">
        <f>(B92/('Consumidores Inadimplentes'!B128*1000000))</f>
        <v>9.7434355710462855E-2</v>
      </c>
    </row>
    <row r="93" spans="1:16" x14ac:dyDescent="0.35">
      <c r="A93" s="5">
        <v>46174</v>
      </c>
      <c r="B93" s="30">
        <v>8142529</v>
      </c>
      <c r="C93" s="30">
        <v>31589825</v>
      </c>
      <c r="D93" s="30">
        <v>55909341310</v>
      </c>
      <c r="E93" s="34">
        <f t="shared" ref="E93" si="125">IFERROR(C93/B93,"")</f>
        <v>3.8796085344000617</v>
      </c>
      <c r="F93" s="43">
        <f t="shared" ref="F93" si="126">IFERROR(D93/B93,"")</f>
        <v>6866.336160423868</v>
      </c>
      <c r="G93" s="43">
        <f t="shared" ref="G93" si="127">IFERROR(F93/E93,"")</f>
        <v>1769.8528342591324</v>
      </c>
      <c r="H93" s="27">
        <v>0.59861752009212021</v>
      </c>
      <c r="I93" s="59">
        <f>(B93/('Consumidores Inadimplentes'!B129*1000000))</f>
        <v>9.7238632115924331E-2</v>
      </c>
    </row>
    <row r="94" spans="1:16" x14ac:dyDescent="0.35">
      <c r="A94" s="5">
        <v>46204</v>
      </c>
      <c r="B94" s="30">
        <v>8099309</v>
      </c>
      <c r="C94" s="30">
        <v>31736998</v>
      </c>
      <c r="D94" s="30">
        <v>56393788644</v>
      </c>
      <c r="E94" s="34">
        <f t="shared" ref="E94" si="128">IFERROR(C94/B94,"")</f>
        <v>3.9184821816280873</v>
      </c>
      <c r="F94" s="43">
        <f t="shared" ref="F94" si="129">IFERROR(D94/B94,"")</f>
        <v>6962.7901150579637</v>
      </c>
      <c r="G94" s="43">
        <f t="shared" ref="G94" si="130">IFERROR(F94/E94,"")</f>
        <v>1776.9099851220963</v>
      </c>
      <c r="H94" s="27">
        <v>0.59525363054849434</v>
      </c>
      <c r="I94" s="59">
        <f>(B94/('Consumidores Inadimplentes'!B130*1000000))</f>
        <v>9.6498557318802122E-2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C802-4E75-4AE9-9E2D-A75A5668893C}">
  <sheetPr codeName="Planilha25"/>
  <dimension ref="A1:P99"/>
  <sheetViews>
    <sheetView zoomScale="90" zoomScaleNormal="90" workbookViewId="0">
      <pane xSplit="1" ySplit="3" topLeftCell="B84" activePane="bottomRight" state="frozen"/>
      <selection activeCell="H93" sqref="H93"/>
      <selection pane="topRight" activeCell="H93" sqref="H93"/>
      <selection pane="bottomLeft" activeCell="H93" sqref="H93"/>
      <selection pane="bottomRight" activeCell="I1" sqref="I1:I104857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39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974288</v>
      </c>
      <c r="C4" s="29">
        <v>2887536</v>
      </c>
      <c r="D4" s="29">
        <v>3261687612.3300085</v>
      </c>
      <c r="E4" s="33">
        <f t="shared" ref="E4:E33" si="0">C4/B4</f>
        <v>2.9637396745110274</v>
      </c>
      <c r="F4" s="45">
        <f>D4/B4</f>
        <v>3347.7653551414041</v>
      </c>
      <c r="G4" s="45">
        <f t="shared" ref="G4" si="1">F4/E4</f>
        <v>1129.5747004816592</v>
      </c>
      <c r="H4" s="26">
        <v>0.39238289226926454</v>
      </c>
      <c r="I4" s="58">
        <f>(B4/('Consumidores Inadimplentes'!B40*1000000))</f>
        <v>1.5669742416208828E-2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975972</v>
      </c>
      <c r="C5" s="30">
        <v>2877623</v>
      </c>
      <c r="D5" s="30">
        <v>3218519956.2700062</v>
      </c>
      <c r="E5" s="34">
        <f t="shared" si="0"/>
        <v>2.9484688085313921</v>
      </c>
      <c r="F5" s="43">
        <f t="shared" ref="F5:F45" si="2">D5/B5</f>
        <v>3297.7584974466545</v>
      </c>
      <c r="G5" s="43">
        <f t="shared" ref="G5:G45" si="3">F5/E5</f>
        <v>1118.4647732764183</v>
      </c>
      <c r="H5" s="27">
        <v>0.39264040262226652</v>
      </c>
      <c r="I5" s="59">
        <f>(B5/('Consumidores Inadimplentes'!B41*1000000))</f>
        <v>1.5697706764633459E-2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992205</v>
      </c>
      <c r="C6" s="30">
        <v>2922780</v>
      </c>
      <c r="D6" s="30">
        <v>3319738964.9000049</v>
      </c>
      <c r="E6" s="34">
        <f t="shared" si="0"/>
        <v>2.945742059352654</v>
      </c>
      <c r="F6" s="43">
        <f t="shared" si="2"/>
        <v>3345.8196289073376</v>
      </c>
      <c r="G6" s="43">
        <f t="shared" si="3"/>
        <v>1135.8155471503173</v>
      </c>
      <c r="H6" s="27">
        <v>0.39867515966378486</v>
      </c>
      <c r="I6" s="59">
        <f>(B6/('Consumidores Inadimplentes'!B42*1000000))</f>
        <v>1.575927133892982E-2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990961</v>
      </c>
      <c r="C7" s="30">
        <v>2886431</v>
      </c>
      <c r="D7" s="30">
        <v>3306658663.2999992</v>
      </c>
      <c r="E7" s="34">
        <f t="shared" si="0"/>
        <v>2.912759432510462</v>
      </c>
      <c r="F7" s="43">
        <f t="shared" si="2"/>
        <v>3336.8201809152924</v>
      </c>
      <c r="G7" s="43">
        <f t="shared" si="3"/>
        <v>1145.5872886966636</v>
      </c>
      <c r="H7" s="27">
        <v>0.39736061062111394</v>
      </c>
      <c r="I7" s="59">
        <f>(B7/('Consumidores Inadimplentes'!B43*1000000))</f>
        <v>1.567842205391172E-2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994828</v>
      </c>
      <c r="C8" s="30">
        <v>2863012</v>
      </c>
      <c r="D8" s="30">
        <v>3357516591.8799906</v>
      </c>
      <c r="E8" s="34">
        <f t="shared" si="0"/>
        <v>2.8778964805976512</v>
      </c>
      <c r="F8" s="43">
        <f t="shared" si="2"/>
        <v>3374.9719467887821</v>
      </c>
      <c r="G8" s="43">
        <f t="shared" si="3"/>
        <v>1172.7218020322618</v>
      </c>
      <c r="H8" s="27">
        <v>0.39524457449616829</v>
      </c>
      <c r="I8" s="59">
        <f>(B8/('Consumidores Inadimplentes'!B44*1000000))</f>
        <v>1.5697577605949788E-2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997873</v>
      </c>
      <c r="C9" s="30">
        <v>2868065</v>
      </c>
      <c r="D9" s="30">
        <v>3397376171.7099972</v>
      </c>
      <c r="E9" s="34">
        <f t="shared" si="0"/>
        <v>2.8741783774087484</v>
      </c>
      <c r="F9" s="43">
        <f t="shared" si="2"/>
        <v>3404.6177937573189</v>
      </c>
      <c r="G9" s="43">
        <f t="shared" si="3"/>
        <v>1184.5534085559418</v>
      </c>
      <c r="H9" s="27">
        <v>0.39920373759730332</v>
      </c>
      <c r="I9" s="59">
        <f>(B9/('Consumidores Inadimplentes'!B45*1000000))</f>
        <v>1.5726774826537837E-2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1000039</v>
      </c>
      <c r="C10" s="30">
        <v>2861497</v>
      </c>
      <c r="D10" s="30">
        <v>3386095272.8000021</v>
      </c>
      <c r="E10" s="34">
        <f t="shared" si="0"/>
        <v>2.861385405969167</v>
      </c>
      <c r="F10" s="43">
        <f t="shared" si="2"/>
        <v>3385.9632202344128</v>
      </c>
      <c r="G10" s="43">
        <f t="shared" si="3"/>
        <v>1183.3300097117005</v>
      </c>
      <c r="H10" s="27">
        <v>0.39843449765991884</v>
      </c>
      <c r="I10" s="59">
        <f>(B10/('Consumidores Inadimplentes'!B46*1000000))</f>
        <v>1.5757736021826008E-2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1001707</v>
      </c>
      <c r="C11" s="30">
        <v>2869938</v>
      </c>
      <c r="D11" s="30">
        <v>3486525735.8099971</v>
      </c>
      <c r="E11" s="34">
        <f t="shared" si="0"/>
        <v>2.865047364149397</v>
      </c>
      <c r="F11" s="43">
        <f t="shared" si="2"/>
        <v>3480.5843782762795</v>
      </c>
      <c r="G11" s="43">
        <f t="shared" si="3"/>
        <v>1214.843573558034</v>
      </c>
      <c r="H11" s="27">
        <v>0.39899282598625263</v>
      </c>
      <c r="I11" s="59">
        <f>(B11/('Consumidores Inadimplentes'!B47*1000000))</f>
        <v>1.5792835393879028E-2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982093</v>
      </c>
      <c r="C12" s="30">
        <v>2795401</v>
      </c>
      <c r="D12" s="30">
        <v>3430486732.9399977</v>
      </c>
      <c r="E12" s="34">
        <f t="shared" si="0"/>
        <v>2.8463709648678894</v>
      </c>
      <c r="F12" s="43">
        <f t="shared" si="2"/>
        <v>3493.0365382300838</v>
      </c>
      <c r="G12" s="43">
        <f t="shared" si="3"/>
        <v>1227.1894919333567</v>
      </c>
      <c r="H12" s="27">
        <v>0.39084856251392913</v>
      </c>
      <c r="I12" s="59">
        <f>(B12/('Consumidores Inadimplentes'!B48*1000000))</f>
        <v>1.5537821369281177E-2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1005701</v>
      </c>
      <c r="C13" s="30">
        <v>2836519</v>
      </c>
      <c r="D13" s="30">
        <v>3464120201.4800034</v>
      </c>
      <c r="E13" s="34">
        <f t="shared" si="0"/>
        <v>2.8204396734218222</v>
      </c>
      <c r="F13" s="43">
        <f t="shared" si="2"/>
        <v>3444.4832027411758</v>
      </c>
      <c r="G13" s="43">
        <f t="shared" si="3"/>
        <v>1221.2575348446469</v>
      </c>
      <c r="H13" s="27">
        <v>0.3999046464762141</v>
      </c>
      <c r="I13" s="59">
        <f>(B13/('Consumidores Inadimplentes'!B49*1000000))</f>
        <v>1.5750646696760493E-2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1004795</v>
      </c>
      <c r="C14" s="30">
        <v>2815667</v>
      </c>
      <c r="D14" s="30">
        <v>3461531153.6800008</v>
      </c>
      <c r="E14" s="34">
        <f t="shared" si="0"/>
        <v>2.8022303056842439</v>
      </c>
      <c r="F14" s="43">
        <f t="shared" si="2"/>
        <v>3445.0123196074828</v>
      </c>
      <c r="G14" s="43">
        <f t="shared" si="3"/>
        <v>1229.3822933180668</v>
      </c>
      <c r="H14" s="27">
        <v>0.39920563721848273</v>
      </c>
      <c r="I14" s="59">
        <f>(B14/('Consumidores Inadimplentes'!B50*1000000))</f>
        <v>1.5739031400651693E-2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1007466</v>
      </c>
      <c r="C15" s="31">
        <v>2813683</v>
      </c>
      <c r="D15" s="31">
        <v>3489240519.7699976</v>
      </c>
      <c r="E15" s="35">
        <f t="shared" si="0"/>
        <v>2.7928317183904965</v>
      </c>
      <c r="F15" s="43">
        <f t="shared" si="2"/>
        <v>3463.3829030160796</v>
      </c>
      <c r="G15" s="43">
        <f t="shared" si="3"/>
        <v>1240.0972390173299</v>
      </c>
      <c r="H15" s="27">
        <v>0.39992743503490502</v>
      </c>
      <c r="I15" s="59">
        <f>(B15/('Consumidores Inadimplentes'!B51*1000000))</f>
        <v>1.5913888535805398E-2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1008948</v>
      </c>
      <c r="C16" s="29">
        <v>2820466</v>
      </c>
      <c r="D16" s="29">
        <v>3517999538.6399941</v>
      </c>
      <c r="E16" s="33">
        <f t="shared" si="0"/>
        <v>2.7954522928832803</v>
      </c>
      <c r="F16" s="45">
        <f t="shared" si="2"/>
        <v>3486.7996553241537</v>
      </c>
      <c r="G16" s="45">
        <f t="shared" si="3"/>
        <v>1247.3114508879009</v>
      </c>
      <c r="H16" s="26">
        <v>0.40017610242497798</v>
      </c>
      <c r="I16" s="59">
        <f>(B16/('Consumidores Inadimplentes'!B52*1000000))</f>
        <v>1.5818605645824331E-2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1076494</v>
      </c>
      <c r="C17" s="30">
        <v>2974920</v>
      </c>
      <c r="D17" s="30">
        <v>3574166103.6299996</v>
      </c>
      <c r="E17" s="34">
        <f t="shared" si="0"/>
        <v>2.7635267823136962</v>
      </c>
      <c r="F17" s="43">
        <f t="shared" si="2"/>
        <v>3320.1913839092458</v>
      </c>
      <c r="G17" s="43">
        <f t="shared" si="3"/>
        <v>1201.4326784014359</v>
      </c>
      <c r="H17" s="27">
        <v>0.42660458112071015</v>
      </c>
      <c r="I17" s="59">
        <f>(B17/('Consumidores Inadimplentes'!B53*1000000))</f>
        <v>1.6849258710657487E-2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1069296</v>
      </c>
      <c r="C18" s="30">
        <v>2951195</v>
      </c>
      <c r="D18" s="30">
        <v>3634823464.7899985</v>
      </c>
      <c r="E18" s="34">
        <f t="shared" si="0"/>
        <v>2.7599420553336027</v>
      </c>
      <c r="F18" s="43">
        <f t="shared" si="2"/>
        <v>3399.2678031059672</v>
      </c>
      <c r="G18" s="43">
        <f t="shared" si="3"/>
        <v>1231.6446269358678</v>
      </c>
      <c r="H18" s="27">
        <v>0.42339284929446802</v>
      </c>
      <c r="I18" s="59">
        <f>(B18/('Consumidores Inadimplentes'!B54*1000000))</f>
        <v>1.6498262028960552E-2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1074224</v>
      </c>
      <c r="C19" s="30">
        <v>2933583</v>
      </c>
      <c r="D19" s="30">
        <v>3618958576.8600044</v>
      </c>
      <c r="E19" s="34">
        <f t="shared" si="0"/>
        <v>2.7308857370529798</v>
      </c>
      <c r="F19" s="43">
        <f t="shared" si="2"/>
        <v>3368.9049740650034</v>
      </c>
      <c r="G19" s="43">
        <f t="shared" si="3"/>
        <v>1233.6308796649027</v>
      </c>
      <c r="H19" s="27">
        <v>0.424983502684671</v>
      </c>
      <c r="I19" s="59">
        <f>(B19/('Consumidores Inadimplentes'!B55*1000000))</f>
        <v>1.6298689464132547E-2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1046520</v>
      </c>
      <c r="C20" s="30">
        <v>2849325</v>
      </c>
      <c r="D20" s="30">
        <v>3536226489.549993</v>
      </c>
      <c r="E20" s="34">
        <f t="shared" si="0"/>
        <v>2.7226665520009172</v>
      </c>
      <c r="F20" s="43">
        <f t="shared" si="2"/>
        <v>3379.0338355215313</v>
      </c>
      <c r="G20" s="43">
        <f t="shared" si="3"/>
        <v>1241.0751632579622</v>
      </c>
      <c r="H20" s="27">
        <v>0.41367222843915535</v>
      </c>
      <c r="I20" s="59">
        <f>(B20/('Consumidores Inadimplentes'!B56*1000000))</f>
        <v>1.6043060376110519E-2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1014015</v>
      </c>
      <c r="C21" s="30">
        <v>2753276</v>
      </c>
      <c r="D21" s="30">
        <v>3463687902.380002</v>
      </c>
      <c r="E21" s="34">
        <f t="shared" si="0"/>
        <v>2.7152221614078687</v>
      </c>
      <c r="F21" s="43">
        <f t="shared" si="2"/>
        <v>3415.8152516284295</v>
      </c>
      <c r="G21" s="43">
        <f t="shared" si="3"/>
        <v>1258.0242236448514</v>
      </c>
      <c r="H21" s="27">
        <v>0.4001441918390734</v>
      </c>
      <c r="I21" s="59">
        <f>(B21/('Consumidores Inadimplentes'!B57*1000000))</f>
        <v>1.5843813311328156E-2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986469</v>
      </c>
      <c r="C22" s="30">
        <v>2684320</v>
      </c>
      <c r="D22" s="30">
        <v>3486881244.9000053</v>
      </c>
      <c r="E22" s="34">
        <f t="shared" si="0"/>
        <v>2.721139741846931</v>
      </c>
      <c r="F22" s="43">
        <f t="shared" si="2"/>
        <v>3534.7093977611107</v>
      </c>
      <c r="G22" s="43">
        <f t="shared" si="3"/>
        <v>1298.9812112192305</v>
      </c>
      <c r="H22" s="27">
        <v>0.38898941986506985</v>
      </c>
      <c r="I22" s="59">
        <f>(B22/('Consumidores Inadimplentes'!B58*1000000))</f>
        <v>1.5534179915266219E-2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971085</v>
      </c>
      <c r="C23" s="30">
        <v>2652490</v>
      </c>
      <c r="D23" s="30">
        <v>3468269779.6800013</v>
      </c>
      <c r="E23" s="34">
        <f t="shared" si="0"/>
        <v>2.7314704685995563</v>
      </c>
      <c r="F23" s="43">
        <f t="shared" si="2"/>
        <v>3571.5408843510108</v>
      </c>
      <c r="G23" s="43">
        <f t="shared" si="3"/>
        <v>1307.5524430553937</v>
      </c>
      <c r="H23" s="27">
        <v>0.38264307963283667</v>
      </c>
      <c r="I23" s="59">
        <f>(B23/('Consumidores Inadimplentes'!B59*1000000))</f>
        <v>1.5401718665491755E-2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1005694</v>
      </c>
      <c r="C24" s="30">
        <v>2768350</v>
      </c>
      <c r="D24" s="30">
        <v>3465644737.8500009</v>
      </c>
      <c r="E24" s="34">
        <f t="shared" si="0"/>
        <v>2.752676261367772</v>
      </c>
      <c r="F24" s="43">
        <f t="shared" si="2"/>
        <v>3446.0230824187088</v>
      </c>
      <c r="G24" s="43">
        <f t="shared" si="3"/>
        <v>1251.8809897050592</v>
      </c>
      <c r="H24" s="27">
        <v>0.39599053743524804</v>
      </c>
      <c r="I24" s="59">
        <f>(B24/('Consumidores Inadimplentes'!B60*1000000))</f>
        <v>1.6023601821268392E-2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984923</v>
      </c>
      <c r="C25" s="30">
        <v>2697030</v>
      </c>
      <c r="D25" s="30">
        <v>3413661536.5400047</v>
      </c>
      <c r="E25" s="34">
        <f t="shared" si="0"/>
        <v>2.7383155840608859</v>
      </c>
      <c r="F25" s="43">
        <f t="shared" si="2"/>
        <v>3465.9171697076877</v>
      </c>
      <c r="G25" s="43">
        <f t="shared" si="3"/>
        <v>1265.7113701145352</v>
      </c>
      <c r="H25" s="27">
        <v>0.38752832423980477</v>
      </c>
      <c r="I25" s="59">
        <f>(B25/('Consumidores Inadimplentes'!B61*1000000))</f>
        <v>1.5814489150621037E-2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965707</v>
      </c>
      <c r="C26" s="30">
        <v>2618012</v>
      </c>
      <c r="D26" s="30">
        <v>3331962105.9299946</v>
      </c>
      <c r="E26" s="34">
        <f t="shared" si="0"/>
        <v>2.7109796242545618</v>
      </c>
      <c r="F26" s="43">
        <f t="shared" si="2"/>
        <v>3450.2826488054811</v>
      </c>
      <c r="G26" s="43">
        <f t="shared" si="3"/>
        <v>1272.7069646472187</v>
      </c>
      <c r="H26" s="27">
        <v>0.37968971589727341</v>
      </c>
      <c r="I26" s="59">
        <f>(B26/('Consumidores Inadimplentes'!B62*1000000))</f>
        <v>1.5588818599364567E-2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959140</v>
      </c>
      <c r="C27" s="31">
        <v>2585826</v>
      </c>
      <c r="D27" s="31">
        <v>3254057014.5999975</v>
      </c>
      <c r="E27" s="35">
        <f t="shared" si="0"/>
        <v>2.6959839022457617</v>
      </c>
      <c r="F27" s="46">
        <f t="shared" si="2"/>
        <v>3392.68200116771</v>
      </c>
      <c r="G27" s="46">
        <f t="shared" si="3"/>
        <v>1258.420719182187</v>
      </c>
      <c r="H27" s="28">
        <v>0.37683187618774094</v>
      </c>
      <c r="I27" s="59">
        <f>(B27/('Consumidores Inadimplentes'!B63*1000000))</f>
        <v>1.5631029096963307E-2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965648</v>
      </c>
      <c r="C28" s="29">
        <v>2610559</v>
      </c>
      <c r="D28" s="29">
        <v>3275189960.7099938</v>
      </c>
      <c r="E28" s="33">
        <f t="shared" si="0"/>
        <v>2.7034271287259952</v>
      </c>
      <c r="F28" s="45">
        <f t="shared" si="2"/>
        <v>3391.7016974197572</v>
      </c>
      <c r="G28" s="45">
        <f t="shared" si="3"/>
        <v>1254.5933498189445</v>
      </c>
      <c r="H28" s="26">
        <v>0.37911128420312068</v>
      </c>
      <c r="I28" s="59">
        <f>(B28/('Consumidores Inadimplentes'!B64*1000000))</f>
        <v>1.5658475655385952E-2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976876</v>
      </c>
      <c r="C29" s="30">
        <v>2643478</v>
      </c>
      <c r="D29" s="30">
        <v>3298835214.0099907</v>
      </c>
      <c r="E29" s="34">
        <f t="shared" si="0"/>
        <v>2.7060527641174521</v>
      </c>
      <c r="F29" s="43">
        <f t="shared" si="2"/>
        <v>3376.9231857574459</v>
      </c>
      <c r="G29" s="43">
        <f t="shared" si="3"/>
        <v>1247.9147600282622</v>
      </c>
      <c r="H29" s="27">
        <v>0.38323891722244019</v>
      </c>
      <c r="I29" s="59">
        <f>(B29/('Consumidores Inadimplentes'!B65*1000000))</f>
        <v>1.5869964531406787E-2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985991</v>
      </c>
      <c r="C30" s="30">
        <v>2652691</v>
      </c>
      <c r="D30" s="30">
        <v>3358605366.489994</v>
      </c>
      <c r="E30" s="34">
        <f t="shared" si="0"/>
        <v>2.690380540998853</v>
      </c>
      <c r="F30" s="43">
        <f t="shared" si="2"/>
        <v>3406.3245673540569</v>
      </c>
      <c r="G30" s="43">
        <f t="shared" si="3"/>
        <v>1266.1125500444618</v>
      </c>
      <c r="H30" s="27">
        <v>0.38653186800090633</v>
      </c>
      <c r="I30" s="59">
        <f>(B30/('Consumidores Inadimplentes'!B66*1000000))</f>
        <v>1.5761397628636119E-2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985487</v>
      </c>
      <c r="C31" s="30">
        <v>2652809</v>
      </c>
      <c r="D31" s="30">
        <v>3419141204.0299978</v>
      </c>
      <c r="E31" s="34">
        <f t="shared" si="0"/>
        <v>2.691876199280153</v>
      </c>
      <c r="F31" s="43">
        <f t="shared" si="2"/>
        <v>3469.4939700168525</v>
      </c>
      <c r="G31" s="43">
        <f t="shared" si="3"/>
        <v>1288.8757554840918</v>
      </c>
      <c r="H31" s="27">
        <v>0.38605173357338979</v>
      </c>
      <c r="I31" s="59">
        <f>(B31/('Consumidores Inadimplentes'!B67*1000000))</f>
        <v>1.5647227731946736E-2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978111</v>
      </c>
      <c r="C32" s="30">
        <v>2633365</v>
      </c>
      <c r="D32" s="30">
        <v>3439689910.8199964</v>
      </c>
      <c r="E32" s="34">
        <f t="shared" si="0"/>
        <v>2.6922966820739158</v>
      </c>
      <c r="F32" s="43">
        <f t="shared" si="2"/>
        <v>3516.6662176583195</v>
      </c>
      <c r="G32" s="43">
        <f t="shared" si="3"/>
        <v>1306.1956511231815</v>
      </c>
      <c r="H32" s="27">
        <v>0.38288210174504744</v>
      </c>
      <c r="I32" s="59">
        <f>(B32/('Consumidores Inadimplentes'!B68*1000000))</f>
        <v>1.5635065279779561E-2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974172</v>
      </c>
      <c r="C33" s="30">
        <v>2606388</v>
      </c>
      <c r="D33" s="30">
        <v>3380221398.8899975</v>
      </c>
      <c r="E33" s="34">
        <f t="shared" si="0"/>
        <v>2.6754905704536776</v>
      </c>
      <c r="F33" s="43">
        <f t="shared" si="2"/>
        <v>3469.8404377153083</v>
      </c>
      <c r="G33" s="43">
        <f t="shared" si="3"/>
        <v>1296.8987728956693</v>
      </c>
      <c r="H33" s="27">
        <v>0.38106123636841566</v>
      </c>
      <c r="I33" s="59">
        <f>(B33/('Consumidores Inadimplentes'!B69*1000000))</f>
        <v>1.5584400127008033E-2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955269</v>
      </c>
      <c r="C34" s="30">
        <v>2539236</v>
      </c>
      <c r="D34" s="30">
        <v>3325867249.0000014</v>
      </c>
      <c r="E34" s="34">
        <f>C34/B34</f>
        <v>2.6581371320539033</v>
      </c>
      <c r="F34" s="43">
        <f t="shared" si="2"/>
        <v>3481.602824963441</v>
      </c>
      <c r="G34" s="43">
        <f t="shared" si="3"/>
        <v>1309.7905232124942</v>
      </c>
      <c r="H34" s="27">
        <v>0.37366705900438535</v>
      </c>
      <c r="I34" s="59">
        <f>(B34/('Consumidores Inadimplentes'!B70*1000000))</f>
        <v>1.5352162523430366E-2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948276</v>
      </c>
      <c r="C35" s="30">
        <v>2509212</v>
      </c>
      <c r="D35" s="30">
        <v>3340414873.5600052</v>
      </c>
      <c r="E35" s="34">
        <f>C35/B35</f>
        <v>2.6460777242068763</v>
      </c>
      <c r="F35" s="43">
        <f t="shared" si="2"/>
        <v>3522.618808827815</v>
      </c>
      <c r="G35" s="43">
        <f t="shared" si="3"/>
        <v>1331.2605206574835</v>
      </c>
      <c r="H35" s="27">
        <v>0.3706867435969603</v>
      </c>
      <c r="I35" s="59">
        <f>(B35/('Consumidores Inadimplentes'!B71*1000000))</f>
        <v>1.5233654070671775E-2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944031</v>
      </c>
      <c r="C36" s="30">
        <v>2490145</v>
      </c>
      <c r="D36" s="30">
        <v>3357989175.8599973</v>
      </c>
      <c r="E36" s="34">
        <f>C36/B36</f>
        <v>2.6377788441269407</v>
      </c>
      <c r="F36" s="43">
        <f t="shared" si="2"/>
        <v>3557.0751128511642</v>
      </c>
      <c r="G36" s="43">
        <f t="shared" si="3"/>
        <v>1348.5115026875935</v>
      </c>
      <c r="H36" s="27">
        <v>0.36878371779596458</v>
      </c>
      <c r="I36" s="59">
        <f>(B36/('Consumidores Inadimplentes'!B72*1000000))</f>
        <v>1.5174841710219229E-2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959155</v>
      </c>
      <c r="C37" s="30">
        <v>2537578</v>
      </c>
      <c r="D37" s="30">
        <v>3480293673.0800004</v>
      </c>
      <c r="E37" s="34">
        <f>C37/B37</f>
        <v>2.6456391302761286</v>
      </c>
      <c r="F37" s="43">
        <f t="shared" si="2"/>
        <v>3628.4997451715317</v>
      </c>
      <c r="G37" s="43">
        <f t="shared" si="3"/>
        <v>1371.5021461724527</v>
      </c>
      <c r="H37" s="27">
        <v>0.37444452382374516</v>
      </c>
      <c r="I37" s="59">
        <f>(B37/('Consumidores Inadimplentes'!B73*1000000))</f>
        <v>1.5127424485777891E-2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974544</v>
      </c>
      <c r="C38" s="30">
        <v>2575165</v>
      </c>
      <c r="D38" s="30">
        <v>3550665554.7200007</v>
      </c>
      <c r="E38" s="34">
        <f t="shared" ref="E38:E45" si="4">C38/B38</f>
        <v>2.642430716314502</v>
      </c>
      <c r="F38" s="43">
        <f t="shared" si="2"/>
        <v>3643.4122571376979</v>
      </c>
      <c r="G38" s="43">
        <f t="shared" si="3"/>
        <v>1378.8108935621603</v>
      </c>
      <c r="H38" s="27">
        <v>0.38020109759822851</v>
      </c>
      <c r="I38" s="59">
        <f>(B38/('Consumidores Inadimplentes'!B74*1000000))</f>
        <v>1.5163357770469335E-2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980916</v>
      </c>
      <c r="C39" s="31">
        <v>2590093</v>
      </c>
      <c r="D39" s="31">
        <v>3513643661.8999987</v>
      </c>
      <c r="E39" s="35">
        <f t="shared" si="4"/>
        <v>2.6404839965909415</v>
      </c>
      <c r="F39" s="46">
        <f t="shared" si="2"/>
        <v>3582.0025995090291</v>
      </c>
      <c r="G39" s="46">
        <f t="shared" si="3"/>
        <v>1356.5704636474438</v>
      </c>
      <c r="H39" s="28">
        <v>0.38243442500875269</v>
      </c>
      <c r="I39" s="59">
        <f>(B39/('Consumidores Inadimplentes'!B75*1000000))</f>
        <v>1.5333795606355357E-2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1008661</v>
      </c>
      <c r="C40" s="29">
        <v>2694192</v>
      </c>
      <c r="D40" s="29">
        <v>3682869233.7899942</v>
      </c>
      <c r="E40" s="33">
        <f t="shared" si="4"/>
        <v>2.6710579669482613</v>
      </c>
      <c r="F40" s="45">
        <f t="shared" si="2"/>
        <v>3651.2457939684336</v>
      </c>
      <c r="G40" s="45">
        <f t="shared" si="3"/>
        <v>1366.9661381928215</v>
      </c>
      <c r="H40" s="26">
        <v>0.39299179738652495</v>
      </c>
      <c r="I40" s="59">
        <f>(B40/('Consumidores Inadimplentes'!B76*1000000))</f>
        <v>1.556156751758269E-2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1026069</v>
      </c>
      <c r="C41" s="30">
        <v>2755971</v>
      </c>
      <c r="D41" s="30">
        <v>3729558818.7000003</v>
      </c>
      <c r="E41" s="34">
        <f t="shared" si="4"/>
        <v>2.6859509448195005</v>
      </c>
      <c r="F41" s="43">
        <f t="shared" si="2"/>
        <v>3634.8031357540285</v>
      </c>
      <c r="G41" s="43">
        <f t="shared" si="3"/>
        <v>1353.2648996306566</v>
      </c>
      <c r="H41" s="27">
        <v>0.39951026294651321</v>
      </c>
      <c r="I41" s="59">
        <f>(B41/('Consumidores Inadimplentes'!B77*1000000))</f>
        <v>1.5744705324203575E-2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1043253</v>
      </c>
      <c r="C42" s="30">
        <v>2819973</v>
      </c>
      <c r="D42" s="30">
        <v>3792677485.0199823</v>
      </c>
      <c r="E42" s="34">
        <f t="shared" si="4"/>
        <v>2.7030576475696693</v>
      </c>
      <c r="F42" s="43">
        <f t="shared" si="2"/>
        <v>3635.43405580428</v>
      </c>
      <c r="G42" s="43">
        <f t="shared" si="3"/>
        <v>1344.933971006099</v>
      </c>
      <c r="H42" s="27">
        <v>0.40593280814812682</v>
      </c>
      <c r="I42" s="59">
        <f>(B42/('Consumidores Inadimplentes'!B78*1000000))</f>
        <v>1.5880495720292917E-2</v>
      </c>
    </row>
    <row r="43" spans="1:16" x14ac:dyDescent="0.35">
      <c r="A43" s="5">
        <v>44652</v>
      </c>
      <c r="B43" s="30">
        <v>1061362</v>
      </c>
      <c r="C43" s="30">
        <v>2888200</v>
      </c>
      <c r="D43" s="30">
        <v>3863630881.1699848</v>
      </c>
      <c r="E43" s="34">
        <f t="shared" si="4"/>
        <v>2.7212204695476192</v>
      </c>
      <c r="F43" s="43">
        <f t="shared" si="2"/>
        <v>3640.2574062101194</v>
      </c>
      <c r="G43" s="43">
        <f t="shared" si="3"/>
        <v>1337.7296867149034</v>
      </c>
      <c r="H43" s="27">
        <v>0.41270639947241372</v>
      </c>
      <c r="I43" s="59">
        <f>(B43/('Consumidores Inadimplentes'!B79*1000000))</f>
        <v>1.6048981539683788E-2</v>
      </c>
    </row>
    <row r="44" spans="1:16" x14ac:dyDescent="0.35">
      <c r="A44" s="5">
        <v>44682</v>
      </c>
      <c r="B44" s="30">
        <v>1074877</v>
      </c>
      <c r="C44" s="30">
        <v>2938271</v>
      </c>
      <c r="D44" s="30">
        <v>3957605309.7199879</v>
      </c>
      <c r="E44" s="34">
        <f t="shared" si="4"/>
        <v>2.7335881221758398</v>
      </c>
      <c r="F44" s="43">
        <f t="shared" si="2"/>
        <v>3681.914590897366</v>
      </c>
      <c r="G44" s="43">
        <f t="shared" si="3"/>
        <v>1346.9163701101729</v>
      </c>
      <c r="H44" s="27">
        <v>0.41768570974477065</v>
      </c>
      <c r="I44" s="59">
        <f>(B44/('Consumidores Inadimplentes'!B80*1000000))</f>
        <v>1.6144186516100119E-2</v>
      </c>
    </row>
    <row r="45" spans="1:16" x14ac:dyDescent="0.35">
      <c r="A45" s="5">
        <v>44713</v>
      </c>
      <c r="B45" s="30">
        <v>1075041</v>
      </c>
      <c r="C45" s="30">
        <v>2955433</v>
      </c>
      <c r="D45" s="30">
        <v>4034800522.9500098</v>
      </c>
      <c r="E45" s="34">
        <f t="shared" si="4"/>
        <v>2.7491351492640748</v>
      </c>
      <c r="F45" s="43">
        <f t="shared" si="2"/>
        <v>3753.1596682824284</v>
      </c>
      <c r="G45" s="43">
        <f t="shared" si="3"/>
        <v>1365.2146818926396</v>
      </c>
      <c r="H45" s="27">
        <v>0.41747365453372692</v>
      </c>
      <c r="I45" s="59">
        <f>(B45/('Consumidores Inadimplentes'!B81*1000000))</f>
        <v>1.6088942267219655E-2</v>
      </c>
    </row>
    <row r="46" spans="1:16" x14ac:dyDescent="0.35">
      <c r="A46" s="5">
        <v>44743</v>
      </c>
      <c r="B46" s="30">
        <v>1086126</v>
      </c>
      <c r="C46" s="30">
        <v>3007741</v>
      </c>
      <c r="D46" s="30">
        <v>4148898242.3499999</v>
      </c>
      <c r="E46" s="34">
        <f t="shared" ref="E46" si="5">C46/B46</f>
        <v>2.7692376390952798</v>
      </c>
      <c r="F46" s="43">
        <f t="shared" ref="F46" si="6">D46/B46</f>
        <v>3819.905096047788</v>
      </c>
      <c r="G46" s="43">
        <f t="shared" ref="G46" si="7">F46/E46</f>
        <v>1379.4067515620527</v>
      </c>
      <c r="H46" s="27">
        <v>0.42149973630216858</v>
      </c>
      <c r="I46" s="59">
        <f>(B46/('Consumidores Inadimplentes'!B82*1000000))</f>
        <v>1.6059281979943042E-2</v>
      </c>
    </row>
    <row r="47" spans="1:16" x14ac:dyDescent="0.35">
      <c r="A47" s="5">
        <v>44774</v>
      </c>
      <c r="B47" s="30">
        <v>1091832</v>
      </c>
      <c r="C47" s="30">
        <v>3038148</v>
      </c>
      <c r="D47" s="30">
        <v>4201074946.8200002</v>
      </c>
      <c r="E47" s="34">
        <f t="shared" ref="E47" si="8">C47/B47</f>
        <v>2.7826149077880111</v>
      </c>
      <c r="F47" s="43">
        <f t="shared" ref="F47" si="9">D47/B47</f>
        <v>3847.7301881791341</v>
      </c>
      <c r="G47" s="43">
        <f t="shared" ref="G47" si="10">F47/E47</f>
        <v>1382.7749493507231</v>
      </c>
      <c r="H47" s="27">
        <v>0.42342111753838135</v>
      </c>
      <c r="I47" s="59">
        <f>(B47/('Consumidores Inadimplentes'!B83*1000000))</f>
        <v>1.6061964944487001E-2</v>
      </c>
    </row>
    <row r="48" spans="1:16" x14ac:dyDescent="0.35">
      <c r="A48" s="5">
        <v>44805</v>
      </c>
      <c r="B48" s="30">
        <v>1110580</v>
      </c>
      <c r="C48" s="30">
        <v>3129977</v>
      </c>
      <c r="D48" s="30">
        <v>4336222857.4899998</v>
      </c>
      <c r="E48" s="34">
        <f t="shared" ref="E48" si="11">C48/B48</f>
        <v>2.8183264600479028</v>
      </c>
      <c r="F48" s="43">
        <f t="shared" ref="F48" si="12">D48/B48</f>
        <v>3904.4669069225088</v>
      </c>
      <c r="G48" s="43">
        <f t="shared" ref="G48" si="13">F48/E48</f>
        <v>1385.3848949976309</v>
      </c>
      <c r="H48" s="27">
        <v>0.43039397298072379</v>
      </c>
      <c r="I48" s="59">
        <f>(B48/('Consumidores Inadimplentes'!B84*1000000))</f>
        <v>1.6239387089402126E-2</v>
      </c>
    </row>
    <row r="49" spans="1:16" x14ac:dyDescent="0.35">
      <c r="A49" s="5">
        <v>44835</v>
      </c>
      <c r="B49" s="30">
        <v>1108979</v>
      </c>
      <c r="C49" s="30">
        <v>3120685</v>
      </c>
      <c r="D49" s="30">
        <v>4363213095.6299992</v>
      </c>
      <c r="E49" s="34">
        <f t="shared" ref="E49" si="14">C49/B49</f>
        <v>2.8140163159085971</v>
      </c>
      <c r="F49" s="43">
        <f t="shared" ref="F49" si="15">D49/B49</f>
        <v>3934.4415860264253</v>
      </c>
      <c r="G49" s="43">
        <f t="shared" ref="G49" si="16">F49/E49</f>
        <v>1398.15876822877</v>
      </c>
      <c r="H49" s="27">
        <v>0.42947642772634592</v>
      </c>
      <c r="I49" s="59">
        <f>(B49/('Consumidores Inadimplentes'!B85*1000000))</f>
        <v>1.6058977094744256E-2</v>
      </c>
    </row>
    <row r="50" spans="1:16" x14ac:dyDescent="0.35">
      <c r="A50" s="5">
        <v>44866</v>
      </c>
      <c r="B50" s="30">
        <v>1123106</v>
      </c>
      <c r="C50" s="30">
        <v>3196965</v>
      </c>
      <c r="D50" s="30">
        <v>4539355942.3000011</v>
      </c>
      <c r="E50" s="34">
        <f t="shared" ref="E50" si="17">C50/B50</f>
        <v>2.8465389731690509</v>
      </c>
      <c r="F50" s="43">
        <f t="shared" ref="F50" si="18">D50/B50</f>
        <v>4041.787633847563</v>
      </c>
      <c r="G50" s="43">
        <f t="shared" ref="G50" si="19">F50/E50</f>
        <v>1419.89541402549</v>
      </c>
      <c r="H50" s="27">
        <v>0.43464661882264066</v>
      </c>
      <c r="I50" s="59">
        <f>(B50/('Consumidores Inadimplentes'!B86*1000000))</f>
        <v>1.6082337001530944E-2</v>
      </c>
    </row>
    <row r="51" spans="1:16" ht="15" thickBot="1" x14ac:dyDescent="0.4">
      <c r="A51" s="12">
        <v>44896</v>
      </c>
      <c r="B51" s="31">
        <v>1113494</v>
      </c>
      <c r="C51" s="31">
        <v>3172028</v>
      </c>
      <c r="D51" s="31">
        <v>4539307778.1299953</v>
      </c>
      <c r="E51" s="35">
        <f t="shared" ref="E51" si="20">C51/B51</f>
        <v>2.8487158440009557</v>
      </c>
      <c r="F51" s="46">
        <f t="shared" ref="F51" si="21">D51/B51</f>
        <v>4076.6342505033663</v>
      </c>
      <c r="G51" s="46">
        <f t="shared" ref="G51" si="22">F51/E51</f>
        <v>1431.0427833959836</v>
      </c>
      <c r="H51" s="28">
        <v>0.43062875617811536</v>
      </c>
      <c r="I51" s="59">
        <f>(B51/('Consumidores Inadimplentes'!B87*1000000))</f>
        <v>1.6037807429933489E-2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1136336</v>
      </c>
      <c r="C52" s="29">
        <v>3270432</v>
      </c>
      <c r="D52" s="29">
        <v>4693074891.8400164</v>
      </c>
      <c r="E52" s="33">
        <f t="shared" ref="E52" si="23">C52/B52</f>
        <v>2.8780501541797499</v>
      </c>
      <c r="F52" s="45">
        <f t="shared" ref="F52" si="24">D52/B52</f>
        <v>4130.006346573563</v>
      </c>
      <c r="G52" s="45">
        <f t="shared" ref="G52" si="25">F52/E52</f>
        <v>1435.0015202395327</v>
      </c>
      <c r="H52" s="26">
        <v>0.43915874952512607</v>
      </c>
      <c r="I52" s="59">
        <f>(B52/('Consumidores Inadimplentes'!B88*1000000))</f>
        <v>1.6211838170320545E-2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1142224</v>
      </c>
      <c r="C53" s="30">
        <v>3308188</v>
      </c>
      <c r="D53" s="30">
        <v>4761796865.5200033</v>
      </c>
      <c r="E53" s="34">
        <f t="shared" ref="E53" si="26">C53/B53</f>
        <v>2.8962690330443066</v>
      </c>
      <c r="F53" s="43">
        <f t="shared" ref="F53" si="27">D53/B53</f>
        <v>4168.8818178570955</v>
      </c>
      <c r="G53" s="43">
        <f t="shared" ref="G53" si="28">F53/E53</f>
        <v>1439.3972971064532</v>
      </c>
      <c r="H53" s="27">
        <v>0.44112911541606115</v>
      </c>
      <c r="I53" s="59">
        <f>(B53/('Consumidores Inadimplentes'!B89*1000000))</f>
        <v>1.6195569171407739E-2</v>
      </c>
    </row>
    <row r="54" spans="1:16" x14ac:dyDescent="0.35">
      <c r="A54" s="5">
        <v>44986</v>
      </c>
      <c r="B54" s="30">
        <v>1148396</v>
      </c>
      <c r="C54" s="30">
        <v>3353372</v>
      </c>
      <c r="D54" s="30">
        <v>4878060243.5200005</v>
      </c>
      <c r="E54" s="34">
        <f t="shared" ref="E54" si="29">C54/B54</f>
        <v>2.9200484850173631</v>
      </c>
      <c r="F54" s="43">
        <f t="shared" ref="F54" si="30">D54/B54</f>
        <v>4247.7161567264257</v>
      </c>
      <c r="G54" s="43">
        <f t="shared" ref="G54" si="31">F54/E54</f>
        <v>1454.6731598880174</v>
      </c>
      <c r="H54" s="27">
        <v>0.44320602243593576</v>
      </c>
      <c r="I54" s="59">
        <f>(B54/('Consumidores Inadimplentes'!B90*1000000))</f>
        <v>1.6241525621428263E-2</v>
      </c>
    </row>
    <row r="55" spans="1:16" x14ac:dyDescent="0.35">
      <c r="A55" s="5">
        <v>45017</v>
      </c>
      <c r="B55" s="30">
        <v>1163766</v>
      </c>
      <c r="C55" s="30">
        <v>3411246</v>
      </c>
      <c r="D55" s="30">
        <v>4969289355.5399837</v>
      </c>
      <c r="E55" s="34">
        <f t="shared" ref="E55" si="32">C55/B55</f>
        <v>2.9312129758044141</v>
      </c>
      <c r="F55" s="43">
        <f t="shared" ref="F55" si="33">D55/B55</f>
        <v>4270.007334412574</v>
      </c>
      <c r="G55" s="43">
        <f t="shared" ref="G55" si="34">F55/E55</f>
        <v>1456.737319894251</v>
      </c>
      <c r="H55" s="27">
        <v>0.44882726086272379</v>
      </c>
      <c r="I55" s="59">
        <f>(B55/('Consumidores Inadimplentes'!B91*1000000))</f>
        <v>1.6290214264429566E-2</v>
      </c>
    </row>
    <row r="56" spans="1:16" x14ac:dyDescent="0.35">
      <c r="A56" s="5">
        <v>45047</v>
      </c>
      <c r="B56" s="30">
        <v>1176044</v>
      </c>
      <c r="C56" s="30">
        <v>3477670</v>
      </c>
      <c r="D56" s="30">
        <v>5076199317.9199848</v>
      </c>
      <c r="E56" s="34">
        <f t="shared" ref="E56" si="35">C56/B56</f>
        <v>2.9570917414654554</v>
      </c>
      <c r="F56" s="43">
        <f t="shared" ref="F56" si="36">D56/B56</f>
        <v>4316.3345231300736</v>
      </c>
      <c r="G56" s="43">
        <f t="shared" ref="G56" si="37">F56/E56</f>
        <v>1459.6552628397703</v>
      </c>
      <c r="H56" s="27">
        <v>0.45324889447635142</v>
      </c>
      <c r="I56" s="59">
        <f>(B56/('Consumidores Inadimplentes'!B92*1000000))</f>
        <v>1.6355849015238101E-2</v>
      </c>
    </row>
    <row r="57" spans="1:16" x14ac:dyDescent="0.35">
      <c r="A57" s="5">
        <v>45078</v>
      </c>
      <c r="B57" s="30">
        <v>1165759</v>
      </c>
      <c r="C57" s="30">
        <v>3440611</v>
      </c>
      <c r="D57" s="30">
        <v>5083313438.609992</v>
      </c>
      <c r="E57" s="34">
        <f t="shared" ref="E57:E58" si="38">C57/B57</f>
        <v>2.9513913253082324</v>
      </c>
      <c r="F57" s="43">
        <f t="shared" ref="F57:F58" si="39">D57/B57</f>
        <v>4360.5182877507204</v>
      </c>
      <c r="G57" s="43">
        <f t="shared" ref="G57:G58" si="40">F57/E57</f>
        <v>1477.4449766654795</v>
      </c>
      <c r="H57" s="27">
        <v>0.44897444360527833</v>
      </c>
      <c r="I57" s="59">
        <f>(B57/('Consumidores Inadimplentes'!B93*1000000))</f>
        <v>1.6314924325506418E-2</v>
      </c>
    </row>
    <row r="58" spans="1:16" x14ac:dyDescent="0.35">
      <c r="A58" s="5">
        <v>45108</v>
      </c>
      <c r="B58" s="30">
        <v>1152908</v>
      </c>
      <c r="C58" s="30">
        <v>3399410</v>
      </c>
      <c r="D58" s="30">
        <v>5145680823.2299805</v>
      </c>
      <c r="E58" s="34">
        <f t="shared" si="38"/>
        <v>2.9485527032512566</v>
      </c>
      <c r="F58" s="43">
        <f t="shared" si="39"/>
        <v>4463.2189413465603</v>
      </c>
      <c r="G58" s="43">
        <f t="shared" si="40"/>
        <v>1513.6982074036321</v>
      </c>
      <c r="H58" s="27">
        <v>0.44371798375085153</v>
      </c>
      <c r="I58" s="59">
        <f>(B58/('Consumidores Inadimplentes'!B94*1000000))</f>
        <v>1.6142866330083216E-2</v>
      </c>
    </row>
    <row r="59" spans="1:16" x14ac:dyDescent="0.35">
      <c r="A59" s="5">
        <v>45139</v>
      </c>
      <c r="B59" s="30">
        <v>1132817</v>
      </c>
      <c r="C59" s="30">
        <v>3327475</v>
      </c>
      <c r="D59" s="30">
        <v>5032312657.2799692</v>
      </c>
      <c r="E59" s="34">
        <f t="shared" ref="E59" si="41">C59/B59</f>
        <v>2.9373455730272409</v>
      </c>
      <c r="F59" s="43">
        <f t="shared" ref="F59" si="42">D59/B59</f>
        <v>4442.2997335668242</v>
      </c>
      <c r="G59" s="43">
        <f t="shared" ref="G59" si="43">F59/E59</f>
        <v>1512.3517553940958</v>
      </c>
      <c r="H59" s="27">
        <v>0.43565042193386966</v>
      </c>
      <c r="I59" s="59">
        <f>(B59/('Consumidores Inadimplentes'!B95*1000000))</f>
        <v>1.5790796167020178E-2</v>
      </c>
    </row>
    <row r="60" spans="1:16" x14ac:dyDescent="0.35">
      <c r="A60" s="5">
        <v>45170</v>
      </c>
      <c r="B60" s="30">
        <v>1135574</v>
      </c>
      <c r="C60" s="30">
        <v>3367352</v>
      </c>
      <c r="D60" s="30">
        <v>5484326739.6499977</v>
      </c>
      <c r="E60" s="34">
        <f t="shared" ref="E60" si="44">C60/B60</f>
        <v>2.9653303087249268</v>
      </c>
      <c r="F60" s="43">
        <f t="shared" ref="F60" si="45">D60/B60</f>
        <v>4829.5634979754714</v>
      </c>
      <c r="G60" s="43">
        <f t="shared" ref="G60" si="46">F60/E60</f>
        <v>1628.6764020066801</v>
      </c>
      <c r="H60" s="27">
        <v>0.43637505288613215</v>
      </c>
      <c r="I60" s="59">
        <f>(B60/('Consumidores Inadimplentes'!B96*1000000))</f>
        <v>1.5810916490399084E-2</v>
      </c>
    </row>
    <row r="61" spans="1:16" x14ac:dyDescent="0.35">
      <c r="A61" s="5">
        <v>45200</v>
      </c>
      <c r="B61" s="30">
        <v>1138072</v>
      </c>
      <c r="C61" s="30">
        <v>3379824</v>
      </c>
      <c r="D61" s="30">
        <v>5646160011.6599817</v>
      </c>
      <c r="E61" s="34">
        <f t="shared" ref="E61:E62" si="47">C61/B61</f>
        <v>2.9697804708313709</v>
      </c>
      <c r="F61" s="43">
        <f t="shared" ref="F61:F62" si="48">D61/B61</f>
        <v>4961.1623971593908</v>
      </c>
      <c r="G61" s="43">
        <f t="shared" ref="G61:G62" si="49">F61/E61</f>
        <v>1670.5485290535787</v>
      </c>
      <c r="H61" s="27">
        <v>0.43699878393006003</v>
      </c>
      <c r="I61" s="59">
        <f>(B61/('Consumidores Inadimplentes'!B97*1000000))</f>
        <v>1.5816987298039372E-2</v>
      </c>
    </row>
    <row r="62" spans="1:16" x14ac:dyDescent="0.35">
      <c r="A62" s="5">
        <v>45231</v>
      </c>
      <c r="B62" s="30">
        <v>1173439</v>
      </c>
      <c r="C62" s="30">
        <v>3470157</v>
      </c>
      <c r="D62" s="30">
        <v>5738311416.0299978</v>
      </c>
      <c r="E62" s="34">
        <f t="shared" si="47"/>
        <v>2.9572538495822962</v>
      </c>
      <c r="F62" s="43">
        <f t="shared" si="48"/>
        <v>4890.1659276962819</v>
      </c>
      <c r="G62" s="43">
        <f t="shared" si="49"/>
        <v>1653.6172328888858</v>
      </c>
      <c r="H62" s="27">
        <v>0.45023260989258701</v>
      </c>
      <c r="I62" s="59">
        <f>(B62/('Consumidores Inadimplentes'!B98*1000000))</f>
        <v>1.6341131436038867E-2</v>
      </c>
    </row>
    <row r="63" spans="1:16" ht="15" thickBot="1" x14ac:dyDescent="0.4">
      <c r="A63" s="12">
        <v>45261</v>
      </c>
      <c r="B63" s="31">
        <v>1146617</v>
      </c>
      <c r="C63" s="31">
        <v>3383950</v>
      </c>
      <c r="D63" s="31">
        <v>5541152069.5800037</v>
      </c>
      <c r="E63" s="35">
        <f t="shared" ref="E63" si="50">C63/B63</f>
        <v>2.9512470162225051</v>
      </c>
      <c r="F63" s="46">
        <f t="shared" ref="F63" si="51">D63/B63</f>
        <v>4832.6093800981525</v>
      </c>
      <c r="G63" s="46">
        <f t="shared" ref="G63" si="52">F63/E63</f>
        <v>1637.480479788414</v>
      </c>
      <c r="H63" s="28">
        <v>0.43960318981712226</v>
      </c>
      <c r="I63" s="59">
        <f>(B63/('Consumidores Inadimplentes'!B99*1000000))</f>
        <v>1.6126268186102591E-2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1211239</v>
      </c>
      <c r="C64" s="29">
        <v>3628679</v>
      </c>
      <c r="D64" s="29">
        <v>5938784510.4200087</v>
      </c>
      <c r="E64" s="33">
        <f t="shared" ref="E64" si="53">C64/B64</f>
        <v>2.9958406227012175</v>
      </c>
      <c r="F64" s="45">
        <f t="shared" ref="F64" si="54">D64/B64</f>
        <v>4903.065794958723</v>
      </c>
      <c r="G64" s="45">
        <f t="shared" ref="G64" si="55">F64/E64</f>
        <v>1636.6243777473865</v>
      </c>
      <c r="H64" s="26">
        <v>0.46402166488462854</v>
      </c>
      <c r="I64" s="59">
        <f>(B64/('Consumidores Inadimplentes'!B100*1000000))</f>
        <v>1.6806467217843322E-2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1206259</v>
      </c>
      <c r="C65" s="30">
        <v>3621978</v>
      </c>
      <c r="D65" s="30">
        <v>5909497926.6900005</v>
      </c>
      <c r="E65" s="34">
        <f t="shared" ref="E65" si="56">C65/B65</f>
        <v>3.002653658957156</v>
      </c>
      <c r="F65" s="43">
        <f t="shared" ref="F65" si="57">D65/B65</f>
        <v>4899.0290863653663</v>
      </c>
      <c r="G65" s="43">
        <f t="shared" ref="G65" si="58">F65/E65</f>
        <v>1631.5664884463683</v>
      </c>
      <c r="H65" s="27">
        <v>0.46175863171171933</v>
      </c>
      <c r="I65" s="59">
        <f>(B65/('Consumidores Inadimplentes'!B101*1000000))</f>
        <v>1.674446613924965E-2</v>
      </c>
    </row>
    <row r="66" spans="1:16" x14ac:dyDescent="0.35">
      <c r="A66" s="5">
        <v>45352</v>
      </c>
      <c r="B66" s="30">
        <v>1222079</v>
      </c>
      <c r="C66" s="30">
        <v>3661724</v>
      </c>
      <c r="D66" s="30">
        <v>5980256517.4399958</v>
      </c>
      <c r="E66" s="34">
        <f t="shared" ref="E66" si="59">C66/B66</f>
        <v>2.9963071127152991</v>
      </c>
      <c r="F66" s="43">
        <f t="shared" ref="F66" si="60">D66/B66</f>
        <v>4893.5105810999094</v>
      </c>
      <c r="G66" s="43">
        <f t="shared" ref="G66" si="61">F66/E66</f>
        <v>1633.1805776295525</v>
      </c>
      <c r="H66" s="27">
        <v>0.46745488797299495</v>
      </c>
      <c r="I66" s="59">
        <f>(B66/('Consumidores Inadimplentes'!B102*1000000))</f>
        <v>1.6764963316118164E-2</v>
      </c>
    </row>
    <row r="67" spans="1:16" x14ac:dyDescent="0.35">
      <c r="A67" s="5">
        <v>45383</v>
      </c>
      <c r="B67" s="30">
        <v>1222344</v>
      </c>
      <c r="C67" s="30">
        <v>3680540</v>
      </c>
      <c r="D67" s="30">
        <v>6043748156.4800034</v>
      </c>
      <c r="E67" s="34">
        <f t="shared" ref="E67" si="62">C67/B67</f>
        <v>3.011050898928616</v>
      </c>
      <c r="F67" s="43">
        <f t="shared" ref="F67" si="63">D67/B67</f>
        <v>4944.3922140412224</v>
      </c>
      <c r="G67" s="43">
        <f t="shared" ref="G67" si="64">F67/E67</f>
        <v>1642.0819109369831</v>
      </c>
      <c r="H67" s="27">
        <v>0.4671968737960262</v>
      </c>
      <c r="I67" s="59">
        <f>(B67/('Consumidores Inadimplentes'!B103*1000000))</f>
        <v>1.6648700573676435E-2</v>
      </c>
    </row>
    <row r="68" spans="1:16" x14ac:dyDescent="0.35">
      <c r="A68" s="5">
        <v>45413</v>
      </c>
      <c r="B68" s="30">
        <v>1211300</v>
      </c>
      <c r="C68" s="30">
        <v>3651978</v>
      </c>
      <c r="D68" s="30">
        <v>6039859671.420002</v>
      </c>
      <c r="E68" s="34">
        <f t="shared" ref="E68" si="65">C68/B68</f>
        <v>3.0149244613225461</v>
      </c>
      <c r="F68" s="43">
        <f t="shared" ref="F68" si="66">D68/B68</f>
        <v>4986.262421712212</v>
      </c>
      <c r="G68" s="43">
        <f t="shared" ref="G68" si="67">F68/E68</f>
        <v>1653.8598182738237</v>
      </c>
      <c r="H68" s="27">
        <v>0.46261976535595523</v>
      </c>
      <c r="I68" s="59">
        <f>(B68/('Consumidores Inadimplentes'!B104*1000000))</f>
        <v>1.6699443097767788E-2</v>
      </c>
    </row>
    <row r="69" spans="1:16" x14ac:dyDescent="0.35">
      <c r="A69" s="5">
        <v>45444</v>
      </c>
      <c r="B69" s="30">
        <v>1213282</v>
      </c>
      <c r="C69" s="30">
        <v>3669684</v>
      </c>
      <c r="D69" s="30">
        <v>6076425735.0799999</v>
      </c>
      <c r="E69" s="34">
        <f t="shared" ref="E69" si="68">C69/B69</f>
        <v>3.024592798706319</v>
      </c>
      <c r="F69" s="43">
        <f t="shared" ref="F69" si="69">D69/B69</f>
        <v>5008.2550759674996</v>
      </c>
      <c r="G69" s="43">
        <f t="shared" ref="G69" si="70">F69/E69</f>
        <v>1655.8444092406864</v>
      </c>
      <c r="H69" s="27">
        <v>0.46302058149958614</v>
      </c>
      <c r="I69" s="59">
        <f>(B69/('Consumidores Inadimplentes'!B105*1000000))</f>
        <v>1.6734662846367696E-2</v>
      </c>
    </row>
    <row r="70" spans="1:16" x14ac:dyDescent="0.35">
      <c r="A70" s="5">
        <v>45474</v>
      </c>
      <c r="B70" s="30">
        <v>1205140</v>
      </c>
      <c r="C70" s="30">
        <v>3600738</v>
      </c>
      <c r="D70" s="30">
        <v>5932064948.7399998</v>
      </c>
      <c r="E70" s="34">
        <f t="shared" ref="E70" si="71">C70/B70</f>
        <v>2.987817183065868</v>
      </c>
      <c r="F70" s="43">
        <f t="shared" ref="F70" si="72">D70/B70</f>
        <v>4922.3035902384781</v>
      </c>
      <c r="G70" s="43">
        <f t="shared" ref="G70" si="73">F70/E70</f>
        <v>1647.4580901859561</v>
      </c>
      <c r="H70" s="27">
        <v>0.45955981191124545</v>
      </c>
      <c r="I70" s="59">
        <f>(B70/('Consumidores Inadimplentes'!B106*1000000))</f>
        <v>1.6585070716994322E-2</v>
      </c>
    </row>
    <row r="71" spans="1:16" x14ac:dyDescent="0.35">
      <c r="A71" s="5">
        <v>45505</v>
      </c>
      <c r="B71" s="30">
        <v>1193985</v>
      </c>
      <c r="C71" s="30">
        <v>3551666</v>
      </c>
      <c r="D71" s="30">
        <v>5844781223.530015</v>
      </c>
      <c r="E71" s="34">
        <f t="shared" ref="E71" si="74">C71/B71</f>
        <v>2.9746320096148611</v>
      </c>
      <c r="F71" s="43">
        <f t="shared" ref="F71" si="75">D71/B71</f>
        <v>4895.1881502112801</v>
      </c>
      <c r="G71" s="43">
        <f t="shared" ref="G71" si="76">F71/E71</f>
        <v>1645.6449518423228</v>
      </c>
      <c r="H71" s="27">
        <v>0.45499113251535517</v>
      </c>
      <c r="I71" s="59">
        <f>(B71/('Consumidores Inadimplentes'!B107*1000000))</f>
        <v>1.647727225681021E-2</v>
      </c>
    </row>
    <row r="72" spans="1:16" x14ac:dyDescent="0.35">
      <c r="A72" s="5">
        <v>45536</v>
      </c>
      <c r="B72" s="30">
        <v>1193504</v>
      </c>
      <c r="C72" s="30">
        <v>3555968</v>
      </c>
      <c r="D72" s="30">
        <v>5924225970.1200266</v>
      </c>
      <c r="E72" s="34">
        <f t="shared" ref="E72" si="77">C72/B72</f>
        <v>2.9794353433252003</v>
      </c>
      <c r="F72" s="43">
        <f t="shared" ref="F72" si="78">D72/B72</f>
        <v>4963.7252745864498</v>
      </c>
      <c r="G72" s="43">
        <f t="shared" ref="G72" si="79">F72/E72</f>
        <v>1665.9952986416149</v>
      </c>
      <c r="H72" s="27">
        <v>0.45449314568750854</v>
      </c>
      <c r="I72" s="59">
        <f>(B72/('Consumidores Inadimplentes'!B108*1000000))</f>
        <v>1.6429960846577774E-2</v>
      </c>
    </row>
    <row r="73" spans="1:16" x14ac:dyDescent="0.35">
      <c r="A73" s="5">
        <v>45566</v>
      </c>
      <c r="B73" s="30">
        <v>1200142</v>
      </c>
      <c r="C73" s="30">
        <v>3614297</v>
      </c>
      <c r="D73" s="30">
        <v>6024847596.2400103</v>
      </c>
      <c r="E73" s="34">
        <f t="shared" ref="E73" si="80">C73/B73</f>
        <v>3.0115577989937856</v>
      </c>
      <c r="F73" s="43">
        <f t="shared" ref="F73" si="81">D73/B73</f>
        <v>5020.1122835797851</v>
      </c>
      <c r="G73" s="43">
        <f t="shared" ref="G73" si="82">F73/E73</f>
        <v>1666.9486752859575</v>
      </c>
      <c r="H73" s="27">
        <v>0.45670475514198222</v>
      </c>
      <c r="I73" s="59">
        <f>(B73/('Consumidores Inadimplentes'!B109*1000000))</f>
        <v>1.6416915136916604E-2</v>
      </c>
    </row>
    <row r="74" spans="1:16" x14ac:dyDescent="0.35">
      <c r="A74" s="5">
        <v>45597</v>
      </c>
      <c r="B74" s="30">
        <v>1205542</v>
      </c>
      <c r="C74" s="30">
        <v>3619186</v>
      </c>
      <c r="D74" s="30">
        <v>6099939531.7100029</v>
      </c>
      <c r="E74" s="34">
        <f t="shared" ref="E74" si="83">C74/B74</f>
        <v>3.0021235261815846</v>
      </c>
      <c r="F74" s="43">
        <f t="shared" ref="F74" si="84">D74/B74</f>
        <v>5059.9145709647637</v>
      </c>
      <c r="G74" s="43">
        <f t="shared" ref="G74" si="85">F74/E74</f>
        <v>1685.4451613456736</v>
      </c>
      <c r="H74" s="27">
        <v>0.45844234665628253</v>
      </c>
      <c r="I74" s="59">
        <f>(B74/('Consumidores Inadimplentes'!B110*1000000))</f>
        <v>1.6337738220792711E-2</v>
      </c>
    </row>
    <row r="75" spans="1:16" ht="15" thickBot="1" x14ac:dyDescent="0.4">
      <c r="A75" s="12">
        <v>45627</v>
      </c>
      <c r="B75" s="31">
        <v>1201181</v>
      </c>
      <c r="C75" s="31">
        <v>3584069</v>
      </c>
      <c r="D75" s="31">
        <v>5991195446.0000057</v>
      </c>
      <c r="E75" s="35">
        <f t="shared" ref="E75" si="86">C75/B75</f>
        <v>2.9837876223483391</v>
      </c>
      <c r="F75" s="46">
        <f t="shared" ref="F75" si="87">D75/B75</f>
        <v>4987.7540903494191</v>
      </c>
      <c r="G75" s="46">
        <f t="shared" ref="G75" si="88">F75/E75</f>
        <v>1671.6183326827706</v>
      </c>
      <c r="H75" s="28">
        <v>0.45646785122682426</v>
      </c>
      <c r="I75" s="59">
        <f>(B75/('Consumidores Inadimplentes'!B111*1000000))</f>
        <v>1.6339874882352945E-2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1226048</v>
      </c>
      <c r="C76" s="29">
        <v>3690907</v>
      </c>
      <c r="D76" s="29">
        <v>6221522525.8299913</v>
      </c>
      <c r="E76" s="33">
        <f t="shared" ref="E76:E77" si="89">C76/B76</f>
        <v>3.0104098697604007</v>
      </c>
      <c r="F76" s="45">
        <f t="shared" ref="F76:F77" si="90">D76/B76</f>
        <v>5074.4526526122891</v>
      </c>
      <c r="G76" s="45">
        <f t="shared" ref="G76:G77" si="91">F76/E76</f>
        <v>1685.6351367915779</v>
      </c>
      <c r="H76" s="26">
        <v>0.4655953329882645</v>
      </c>
      <c r="I76" s="59">
        <f>(B76/('Consumidores Inadimplentes'!B112*1000000))</f>
        <v>1.6434317833751107E-2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1255207</v>
      </c>
      <c r="C77" s="30">
        <v>3789987</v>
      </c>
      <c r="D77" s="30">
        <v>6357583335.8799763</v>
      </c>
      <c r="E77" s="34">
        <f t="shared" si="89"/>
        <v>3.0194119376325976</v>
      </c>
      <c r="F77" s="43">
        <f t="shared" si="90"/>
        <v>5064.9680378455314</v>
      </c>
      <c r="G77" s="43">
        <f t="shared" si="91"/>
        <v>1677.4683754535242</v>
      </c>
      <c r="H77" s="27">
        <v>0.47633878458389278</v>
      </c>
      <c r="I77" s="59">
        <f>(B77/('Consumidores Inadimplentes'!B113*1000000))</f>
        <v>1.6735337565488877E-2</v>
      </c>
    </row>
    <row r="78" spans="1:16" x14ac:dyDescent="0.35">
      <c r="A78" s="5">
        <v>45717</v>
      </c>
      <c r="B78" s="30">
        <v>1261712</v>
      </c>
      <c r="C78" s="30">
        <v>3822172</v>
      </c>
      <c r="D78" s="30">
        <v>6453346953.179986</v>
      </c>
      <c r="E78" s="34">
        <f t="shared" ref="E78" si="92">C78/B78</f>
        <v>3.02935376694523</v>
      </c>
      <c r="F78" s="43">
        <f t="shared" ref="F78" si="93">D78/B78</f>
        <v>5114.7543600916742</v>
      </c>
      <c r="G78" s="43">
        <f t="shared" ref="G78" si="94">F78/E78</f>
        <v>1688.3978411175599</v>
      </c>
      <c r="H78" s="27">
        <v>0.47847617198432424</v>
      </c>
      <c r="I78" s="59">
        <f>(B78/('Consumidores Inadimplentes'!B114*1000000))</f>
        <v>1.665197056584658E-2</v>
      </c>
    </row>
    <row r="79" spans="1:16" x14ac:dyDescent="0.35">
      <c r="A79" s="5">
        <v>45748</v>
      </c>
      <c r="B79" s="30">
        <v>1255959</v>
      </c>
      <c r="C79" s="30">
        <v>3860984</v>
      </c>
      <c r="D79" s="30">
        <v>6648091388</v>
      </c>
      <c r="E79" s="34">
        <f t="shared" ref="E79" si="95">C79/B79</f>
        <v>3.0741321969905067</v>
      </c>
      <c r="F79" s="43">
        <f t="shared" ref="F79" si="96">D79/B79</f>
        <v>5293.2391805783473</v>
      </c>
      <c r="G79" s="43">
        <f t="shared" ref="G79" si="97">F79/E79</f>
        <v>1721.8645267631259</v>
      </c>
      <c r="H79" s="27">
        <v>0.47596488355912087</v>
      </c>
      <c r="I79" s="59">
        <f>(B79/('Consumidores Inadimplentes'!B115*1000000))</f>
        <v>1.6388088127628646E-2</v>
      </c>
    </row>
    <row r="80" spans="1:16" x14ac:dyDescent="0.35">
      <c r="A80" s="5">
        <v>45778</v>
      </c>
      <c r="B80" s="30">
        <v>1267063</v>
      </c>
      <c r="C80" s="30">
        <v>3919093</v>
      </c>
      <c r="D80" s="30">
        <v>6792435006</v>
      </c>
      <c r="E80" s="34">
        <f t="shared" ref="E80" si="98">C80/B80</f>
        <v>3.0930529894725045</v>
      </c>
      <c r="F80" s="43">
        <f t="shared" ref="F80" si="99">D80/B80</f>
        <v>5360.7713318122305</v>
      </c>
      <c r="G80" s="43">
        <f t="shared" ref="G80" si="100">F80/E80</f>
        <v>1733.1650476270913</v>
      </c>
      <c r="H80" s="27">
        <v>0.47984068717949885</v>
      </c>
      <c r="I80" s="59">
        <f>(B80/('Consumidores Inadimplentes'!B116*1000000))</f>
        <v>1.6439931451359684E-2</v>
      </c>
    </row>
    <row r="81" spans="1:16" x14ac:dyDescent="0.35">
      <c r="A81" s="5">
        <v>45809</v>
      </c>
      <c r="B81" s="30">
        <v>1272878</v>
      </c>
      <c r="C81" s="30">
        <v>3946647</v>
      </c>
      <c r="D81" s="30">
        <v>6850414358</v>
      </c>
      <c r="E81" s="34">
        <f t="shared" ref="E81" si="101">C81/B81</f>
        <v>3.1005697325273909</v>
      </c>
      <c r="F81" s="43">
        <f t="shared" ref="F81" si="102">D81/B81</f>
        <v>5381.8310615785649</v>
      </c>
      <c r="G81" s="43">
        <f t="shared" ref="G81" si="103">F81/E81</f>
        <v>1735.7555307074588</v>
      </c>
      <c r="H81" s="27">
        <v>0.48170937311607281</v>
      </c>
      <c r="I81" s="59">
        <f>(B81/('Consumidores Inadimplentes'!B117*1000000))</f>
        <v>1.6345227023255682E-2</v>
      </c>
    </row>
    <row r="82" spans="1:16" x14ac:dyDescent="0.35">
      <c r="A82" s="5">
        <v>45839</v>
      </c>
      <c r="B82" s="30">
        <v>1277204</v>
      </c>
      <c r="C82" s="30">
        <v>3980910</v>
      </c>
      <c r="D82" s="30">
        <v>6896504964</v>
      </c>
      <c r="E82" s="34">
        <f t="shared" ref="E82" si="104">C82/B82</f>
        <v>3.1168944037131108</v>
      </c>
      <c r="F82" s="43">
        <f t="shared" ref="F82" si="105">D82/B82</f>
        <v>5399.6894497668345</v>
      </c>
      <c r="G82" s="43">
        <f t="shared" ref="G82" si="106">F82/E82</f>
        <v>1732.3940918031306</v>
      </c>
      <c r="H82" s="27">
        <v>0.48301218342606289</v>
      </c>
      <c r="I82" s="59">
        <f>(B82/('Consumidores Inadimplentes'!B118*1000000))</f>
        <v>1.6340642737184705E-2</v>
      </c>
    </row>
    <row r="83" spans="1:16" x14ac:dyDescent="0.35">
      <c r="A83" s="5">
        <v>45870</v>
      </c>
      <c r="B83" s="30">
        <v>1288426</v>
      </c>
      <c r="C83" s="30">
        <v>4044795</v>
      </c>
      <c r="D83" s="30">
        <v>7047593896</v>
      </c>
      <c r="E83" s="34">
        <f t="shared" ref="E83" si="107">C83/B83</f>
        <v>3.1393304698911697</v>
      </c>
      <c r="F83" s="43">
        <f t="shared" ref="F83" si="108">D83/B83</f>
        <v>5469.925239012563</v>
      </c>
      <c r="G83" s="43">
        <f t="shared" ref="G83" si="109">F83/E83</f>
        <v>1742.3859295712143</v>
      </c>
      <c r="H83" s="27">
        <v>0.48692722769246349</v>
      </c>
      <c r="I83" s="59">
        <f>(B83/('Consumidores Inadimplentes'!B119*1000000))</f>
        <v>1.6340455369776321E-2</v>
      </c>
    </row>
    <row r="84" spans="1:16" x14ac:dyDescent="0.35">
      <c r="A84" s="5">
        <v>45901</v>
      </c>
      <c r="B84" s="30">
        <v>1293318</v>
      </c>
      <c r="C84" s="30">
        <v>4060067</v>
      </c>
      <c r="D84" s="30">
        <v>7108947796</v>
      </c>
      <c r="E84" s="34">
        <f>IFERROR(C84/B84,"")</f>
        <v>3.1392642799373394</v>
      </c>
      <c r="F84" s="43">
        <f>IFERROR(D84/B84,"")</f>
        <v>5496.674287375572</v>
      </c>
      <c r="G84" s="43">
        <f>IFERROR(F84/E84,"")</f>
        <v>1750.9434686668965</v>
      </c>
      <c r="H84" s="27">
        <v>0.48844597559805758</v>
      </c>
      <c r="I84" s="59">
        <f>(B84/('Consumidores Inadimplentes'!B120*1000000))</f>
        <v>1.6336589540544646E-2</v>
      </c>
    </row>
    <row r="85" spans="1:16" x14ac:dyDescent="0.35">
      <c r="A85" s="5">
        <v>45931</v>
      </c>
      <c r="B85" s="30">
        <v>1304572</v>
      </c>
      <c r="C85" s="30">
        <v>4135113</v>
      </c>
      <c r="D85" s="30">
        <v>7269002910</v>
      </c>
      <c r="E85" s="34">
        <f t="shared" ref="E85:E87" si="110">IFERROR(C85/B85,"")</f>
        <v>3.1697085327601697</v>
      </c>
      <c r="F85" s="43">
        <f t="shared" ref="F85:F87" si="111">IFERROR(D85/B85,"")</f>
        <v>5571.9445994548405</v>
      </c>
      <c r="G85" s="43">
        <f t="shared" ref="G85:G87" si="112">IFERROR(F85/E85,"")</f>
        <v>1757.8728586135373</v>
      </c>
      <c r="H85" s="27">
        <v>0.49236359601466029</v>
      </c>
      <c r="I85" s="59">
        <f>(B85/('Consumidores Inadimplentes'!B121*1000000))</f>
        <v>1.621865050074511E-2</v>
      </c>
    </row>
    <row r="86" spans="1:16" x14ac:dyDescent="0.35">
      <c r="A86" s="5">
        <v>45962</v>
      </c>
      <c r="B86" s="30">
        <v>1296189</v>
      </c>
      <c r="C86" s="30">
        <v>4078283</v>
      </c>
      <c r="D86" s="30">
        <v>7061617785</v>
      </c>
      <c r="E86" s="34">
        <f t="shared" si="110"/>
        <v>3.1463644576523948</v>
      </c>
      <c r="F86" s="43">
        <f t="shared" si="111"/>
        <v>5447.9846573300656</v>
      </c>
      <c r="G86" s="43">
        <f t="shared" si="112"/>
        <v>1731.517353013511</v>
      </c>
      <c r="H86" s="27">
        <v>0.48886946938618486</v>
      </c>
      <c r="I86" s="59">
        <f>(B86/('Consumidores Inadimplentes'!B122*1000000))</f>
        <v>1.6079781102725069E-2</v>
      </c>
    </row>
    <row r="87" spans="1:16" ht="15" thickBot="1" x14ac:dyDescent="0.4">
      <c r="A87" s="12">
        <v>45992</v>
      </c>
      <c r="B87" s="31">
        <v>1320494</v>
      </c>
      <c r="C87" s="31">
        <v>4149259</v>
      </c>
      <c r="D87" s="31">
        <v>7016338757</v>
      </c>
      <c r="E87" s="35">
        <f t="shared" si="110"/>
        <v>3.1422020849772889</v>
      </c>
      <c r="F87" s="46">
        <f t="shared" si="111"/>
        <v>5313.4196421945117</v>
      </c>
      <c r="G87" s="46">
        <f t="shared" si="112"/>
        <v>1690.9859705070228</v>
      </c>
      <c r="H87" s="28">
        <v>0.49770012875057668</v>
      </c>
      <c r="I87" s="59">
        <f>(B87/('Consumidores Inadimplentes'!B123*1000000))</f>
        <v>1.6252630710391746E-2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1328688</v>
      </c>
      <c r="C88" s="29">
        <v>4183402</v>
      </c>
      <c r="D88" s="29">
        <v>7061716348</v>
      </c>
      <c r="E88" s="33">
        <f t="shared" ref="E88:E89" si="113">IFERROR(C88/B88,"")</f>
        <v>3.1485209469792759</v>
      </c>
      <c r="F88" s="45">
        <f t="shared" ref="F88:F89" si="114">IFERROR(D88/B88,"")</f>
        <v>5314.8040382693307</v>
      </c>
      <c r="G88" s="45">
        <f t="shared" ref="G88:G89" si="115">IFERROR(F88/E88,"")</f>
        <v>1688.0319768456391</v>
      </c>
      <c r="H88" s="26">
        <v>0.50045047352451089</v>
      </c>
      <c r="I88" s="59">
        <f>(B88/('Consumidores Inadimplentes'!B124*1000000))</f>
        <v>1.6339140410804896E-2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1340164</v>
      </c>
      <c r="C89" s="30">
        <v>4255233</v>
      </c>
      <c r="D89" s="30">
        <v>7245442433</v>
      </c>
      <c r="E89" s="34">
        <f t="shared" si="113"/>
        <v>3.1751584134479063</v>
      </c>
      <c r="F89" s="43">
        <f t="shared" si="114"/>
        <v>5406.3849148313193</v>
      </c>
      <c r="G89" s="43">
        <f t="shared" si="115"/>
        <v>1702.7134431886575</v>
      </c>
      <c r="H89" s="27">
        <v>0.50443206018718911</v>
      </c>
      <c r="I89" s="59">
        <f>(B89/('Consumidores Inadimplentes'!B125*1000000))</f>
        <v>1.6397070637619703E-2</v>
      </c>
    </row>
    <row r="90" spans="1:16" x14ac:dyDescent="0.35">
      <c r="A90" s="5">
        <v>46082</v>
      </c>
      <c r="B90" s="30">
        <v>1364696</v>
      </c>
      <c r="C90" s="30">
        <v>4389449</v>
      </c>
      <c r="D90" s="30">
        <v>7543984628</v>
      </c>
      <c r="E90" s="34">
        <f t="shared" ref="E90" si="116">IFERROR(C90/B90,"")</f>
        <v>3.2164298862164173</v>
      </c>
      <c r="F90" s="43">
        <f t="shared" ref="F90" si="117">IFERROR(D90/B90,"")</f>
        <v>5527.9598005709695</v>
      </c>
      <c r="G90" s="43">
        <f t="shared" ref="G90" si="118">IFERROR(F90/E90,"")</f>
        <v>1718.6632372309143</v>
      </c>
      <c r="H90" s="27">
        <v>0.51331898729130254</v>
      </c>
      <c r="I90" s="59">
        <f>(B90/('Consumidores Inadimplentes'!B126*1000000))</f>
        <v>1.6475370757593175E-2</v>
      </c>
    </row>
    <row r="91" spans="1:16" x14ac:dyDescent="0.35">
      <c r="A91" s="5">
        <v>46113</v>
      </c>
      <c r="B91" s="30">
        <v>1380622</v>
      </c>
      <c r="C91" s="30">
        <v>4490141</v>
      </c>
      <c r="D91" s="30">
        <v>7769366439</v>
      </c>
      <c r="E91" s="34">
        <f t="shared" ref="E91" si="119">IFERROR(C91/B91,"")</f>
        <v>3.2522594888390883</v>
      </c>
      <c r="F91" s="43">
        <f t="shared" ref="F91" si="120">IFERROR(D91/B91,"")</f>
        <v>5627.4392549155382</v>
      </c>
      <c r="G91" s="43">
        <f t="shared" ref="G91" si="121">IFERROR(F91/E91,"")</f>
        <v>1730.3168072004867</v>
      </c>
      <c r="H91" s="27">
        <v>0.51895883616144978</v>
      </c>
      <c r="I91" s="59">
        <f>(B91/('Consumidores Inadimplentes'!B127*1000000))</f>
        <v>1.6556366201509663E-2</v>
      </c>
    </row>
    <row r="92" spans="1:16" x14ac:dyDescent="0.35">
      <c r="A92" s="5">
        <v>46143</v>
      </c>
      <c r="B92" s="30">
        <v>1379226</v>
      </c>
      <c r="C92" s="30">
        <v>4477740</v>
      </c>
      <c r="D92" s="30">
        <v>7813116553</v>
      </c>
      <c r="E92" s="34">
        <f t="shared" ref="E92" si="122">IFERROR(C92/B92,"")</f>
        <v>3.2465600271456601</v>
      </c>
      <c r="F92" s="43">
        <f t="shared" ref="F92" si="123">IFERROR(D92/B92,"")</f>
        <v>5664.8559068637051</v>
      </c>
      <c r="G92" s="43">
        <f t="shared" ref="G92" si="124">IFERROR(F92/E92,"")</f>
        <v>1744.8794599507787</v>
      </c>
      <c r="H92" s="27">
        <v>0.51808414651828627</v>
      </c>
      <c r="I92" s="59">
        <f>(B92/('Consumidores Inadimplentes'!B128*1000000))</f>
        <v>1.6517113680173248E-2</v>
      </c>
    </row>
    <row r="93" spans="1:16" x14ac:dyDescent="0.35">
      <c r="A93" s="5">
        <v>46174</v>
      </c>
      <c r="B93" s="30">
        <v>1382192</v>
      </c>
      <c r="C93" s="30">
        <v>4483219</v>
      </c>
      <c r="D93" s="30">
        <v>7857520900</v>
      </c>
      <c r="E93" s="34">
        <f t="shared" ref="E93" si="125">IFERROR(C93/B93,"")</f>
        <v>3.2435573350156854</v>
      </c>
      <c r="F93" s="43">
        <f t="shared" ref="F93" si="126">IFERROR(D93/B93,"")</f>
        <v>5684.8259142000534</v>
      </c>
      <c r="G93" s="43">
        <f t="shared" ref="G93" si="127">IFERROR(F93/E93,"")</f>
        <v>1752.6515880665208</v>
      </c>
      <c r="H93" s="27">
        <v>0.51884765753303819</v>
      </c>
      <c r="I93" s="59">
        <f>(B93/('Consumidores Inadimplentes'!B129*1000000))</f>
        <v>1.6506230361792225E-2</v>
      </c>
    </row>
    <row r="94" spans="1:16" x14ac:dyDescent="0.35">
      <c r="A94" s="5">
        <v>46204</v>
      </c>
      <c r="B94" s="30">
        <v>1387182</v>
      </c>
      <c r="C94" s="30">
        <v>4542069</v>
      </c>
      <c r="D94" s="30">
        <v>8014564792</v>
      </c>
      <c r="E94" s="34">
        <f t="shared" ref="E94" si="128">IFERROR(C94/B94,"")</f>
        <v>3.2743136805408373</v>
      </c>
      <c r="F94" s="43">
        <f t="shared" ref="F94" si="129">IFERROR(D94/B94,"")</f>
        <v>5777.5870736500328</v>
      </c>
      <c r="G94" s="43">
        <f t="shared" ref="G94" si="130">IFERROR(F94/E94,"")</f>
        <v>1764.5185029113386</v>
      </c>
      <c r="H94" s="27">
        <v>0.52036919983569441</v>
      </c>
      <c r="I94" s="59">
        <f>(B94/('Consumidores Inadimplentes'!B130*1000000))</f>
        <v>1.6527466940526727E-2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000CE-1B55-4919-8C9C-B4B63CF93B44}">
  <sheetPr codeName="Planilha26"/>
  <dimension ref="A1:P99"/>
  <sheetViews>
    <sheetView zoomScale="90" zoomScaleNormal="90" workbookViewId="0">
      <pane xSplit="1" ySplit="3" topLeftCell="B84" activePane="bottomRight" state="frozen"/>
      <selection activeCell="H93" sqref="H93"/>
      <selection pane="topRight" activeCell="H93" sqref="H93"/>
      <selection pane="bottomLeft" activeCell="H93" sqref="H93"/>
      <selection pane="bottomRight" activeCell="I1" sqref="I1:I104857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40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554649</v>
      </c>
      <c r="C4" s="29">
        <v>2750782</v>
      </c>
      <c r="D4" s="29">
        <v>1921287206.3200023</v>
      </c>
      <c r="E4" s="33">
        <f t="shared" ref="E4:E33" si="0">C4/B4</f>
        <v>4.9595005129370104</v>
      </c>
      <c r="F4" s="45">
        <f>D4/B4</f>
        <v>3463.9694767681945</v>
      </c>
      <c r="G4" s="45">
        <f t="shared" ref="G4" si="1">F4/E4</f>
        <v>698.45127906173673</v>
      </c>
      <c r="H4" s="26">
        <v>0.45778508046919425</v>
      </c>
      <c r="I4" s="58">
        <f>(B4/('Consumidores Inadimplentes'!B40*1000000))</f>
        <v>8.9205727273740515E-3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542567</v>
      </c>
      <c r="C5" s="30">
        <v>2708777</v>
      </c>
      <c r="D5" s="30">
        <v>1909730415.1100011</v>
      </c>
      <c r="E5" s="34">
        <f t="shared" si="0"/>
        <v>4.9925207393741236</v>
      </c>
      <c r="F5" s="43">
        <f t="shared" ref="F5:F44" si="2">D5/B5</f>
        <v>3519.8056924029679</v>
      </c>
      <c r="G5" s="43">
        <f t="shared" ref="G5:G44" si="3">F5/E5</f>
        <v>705.01573777021918</v>
      </c>
      <c r="H5" s="27">
        <v>0.44729124559109101</v>
      </c>
      <c r="I5" s="59">
        <f>(B5/('Consumidores Inadimplentes'!B41*1000000))</f>
        <v>8.7267438678229319E-3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540700</v>
      </c>
      <c r="C6" s="30">
        <v>2710337</v>
      </c>
      <c r="D6" s="30">
        <v>1953706332.4100029</v>
      </c>
      <c r="E6" s="34">
        <f t="shared" si="0"/>
        <v>5.0126447198076569</v>
      </c>
      <c r="F6" s="43">
        <f t="shared" si="2"/>
        <v>3613.2907941742242</v>
      </c>
      <c r="G6" s="43">
        <f t="shared" si="3"/>
        <v>720.83520699086603</v>
      </c>
      <c r="H6" s="27">
        <v>0.44522852206043062</v>
      </c>
      <c r="I6" s="59">
        <f>(B6/('Consumidores Inadimplentes'!B42*1000000))</f>
        <v>8.5879813274064871E-3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526087</v>
      </c>
      <c r="C7" s="30">
        <v>2649628</v>
      </c>
      <c r="D7" s="30">
        <v>1984744498.6500056</v>
      </c>
      <c r="E7" s="34">
        <f t="shared" si="0"/>
        <v>5.0364825589683839</v>
      </c>
      <c r="F7" s="43">
        <f t="shared" si="2"/>
        <v>3772.654520355009</v>
      </c>
      <c r="G7" s="43">
        <f t="shared" si="3"/>
        <v>749.06533998357713</v>
      </c>
      <c r="H7" s="27">
        <v>0.43216172727924351</v>
      </c>
      <c r="I7" s="59">
        <f>(B7/('Consumidores Inadimplentes'!B43*1000000))</f>
        <v>8.323449684776954E-3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538772</v>
      </c>
      <c r="C8" s="30">
        <v>2735509</v>
      </c>
      <c r="D8" s="30">
        <v>2045664931.0700068</v>
      </c>
      <c r="E8" s="34">
        <f t="shared" si="0"/>
        <v>5.0773035718263015</v>
      </c>
      <c r="F8" s="43">
        <f t="shared" si="2"/>
        <v>3796.9028291559453</v>
      </c>
      <c r="G8" s="43">
        <f t="shared" si="3"/>
        <v>747.81875368350347</v>
      </c>
      <c r="H8" s="27">
        <v>0.43965215702315413</v>
      </c>
      <c r="I8" s="59">
        <f>(B8/('Consumidores Inadimplentes'!B44*1000000))</f>
        <v>8.5013844422480861E-3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551959</v>
      </c>
      <c r="C9" s="30">
        <v>2805548</v>
      </c>
      <c r="D9" s="30">
        <v>2077147624.2200031</v>
      </c>
      <c r="E9" s="34">
        <f t="shared" si="0"/>
        <v>5.0828920264005113</v>
      </c>
      <c r="F9" s="43">
        <f t="shared" si="2"/>
        <v>3763.2281097327937</v>
      </c>
      <c r="G9" s="43">
        <f t="shared" si="3"/>
        <v>740.37144408864265</v>
      </c>
      <c r="H9" s="27">
        <v>0.45448057906004691</v>
      </c>
      <c r="I9" s="59">
        <f>(B9/('Consumidores Inadimplentes'!B45*1000000))</f>
        <v>8.6990377597960852E-3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545359</v>
      </c>
      <c r="C10" s="30">
        <v>2780549</v>
      </c>
      <c r="D10" s="30">
        <v>2070686702.5400026</v>
      </c>
      <c r="E10" s="34">
        <f t="shared" si="0"/>
        <v>5.0985662655241777</v>
      </c>
      <c r="F10" s="43">
        <f t="shared" si="2"/>
        <v>3796.9240491859537</v>
      </c>
      <c r="G10" s="43">
        <f t="shared" si="3"/>
        <v>744.70426615031874</v>
      </c>
      <c r="H10" s="27">
        <v>0.44833332375166618</v>
      </c>
      <c r="I10" s="59">
        <f>(B10/('Consumidores Inadimplentes'!B46*1000000))</f>
        <v>8.5932880208941954E-3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572150</v>
      </c>
      <c r="C11" s="30">
        <v>2885476</v>
      </c>
      <c r="D11" s="30">
        <v>2116209866.310004</v>
      </c>
      <c r="E11" s="34">
        <f t="shared" si="0"/>
        <v>5.0432159398759069</v>
      </c>
      <c r="F11" s="43">
        <f t="shared" si="2"/>
        <v>3698.697660246446</v>
      </c>
      <c r="G11" s="43">
        <f t="shared" si="3"/>
        <v>733.40061269267323</v>
      </c>
      <c r="H11" s="27">
        <v>0.46940557002236477</v>
      </c>
      <c r="I11" s="59">
        <f>(B11/('Consumidores Inadimplentes'!B47*1000000))</f>
        <v>9.020472823498174E-3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560599</v>
      </c>
      <c r="C12" s="30">
        <v>2837407</v>
      </c>
      <c r="D12" s="30">
        <v>2085732945.5100055</v>
      </c>
      <c r="E12" s="34">
        <f t="shared" si="0"/>
        <v>5.0613843406784529</v>
      </c>
      <c r="F12" s="43">
        <f t="shared" si="2"/>
        <v>3720.5434642409377</v>
      </c>
      <c r="G12" s="43">
        <f t="shared" si="3"/>
        <v>735.08416152846792</v>
      </c>
      <c r="H12" s="27">
        <v>0.45944636859695681</v>
      </c>
      <c r="I12" s="59">
        <f>(B12/('Consumidores Inadimplentes'!B48*1000000))</f>
        <v>8.8693098533414449E-3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568749</v>
      </c>
      <c r="C13" s="30">
        <v>2885065</v>
      </c>
      <c r="D13" s="30">
        <v>2098082521.8800073</v>
      </c>
      <c r="E13" s="34">
        <f t="shared" si="0"/>
        <v>5.0726506771880038</v>
      </c>
      <c r="F13" s="43">
        <f t="shared" si="2"/>
        <v>3688.9427882598602</v>
      </c>
      <c r="G13" s="43">
        <f t="shared" si="3"/>
        <v>727.22192459442238</v>
      </c>
      <c r="H13" s="27">
        <v>0.46563695563362351</v>
      </c>
      <c r="I13" s="59">
        <f>(B13/('Consumidores Inadimplentes'!B49*1000000))</f>
        <v>8.9073835644349897E-3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578999</v>
      </c>
      <c r="C14" s="30">
        <v>2909947</v>
      </c>
      <c r="D14" s="30">
        <v>2152282829.8000011</v>
      </c>
      <c r="E14" s="34">
        <f t="shared" si="0"/>
        <v>5.0258238787977181</v>
      </c>
      <c r="F14" s="43">
        <f t="shared" si="2"/>
        <v>3717.2479223625623</v>
      </c>
      <c r="G14" s="43">
        <f t="shared" si="3"/>
        <v>739.62956363122805</v>
      </c>
      <c r="H14" s="27">
        <v>0.47353127356415092</v>
      </c>
      <c r="I14" s="59">
        <f>(B14/('Consumidores Inadimplentes'!B50*1000000))</f>
        <v>9.0693956896142295E-3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570242</v>
      </c>
      <c r="C15" s="31">
        <v>2870540</v>
      </c>
      <c r="D15" s="31">
        <v>2161254240.4899983</v>
      </c>
      <c r="E15" s="35">
        <f t="shared" si="0"/>
        <v>5.0338978889664387</v>
      </c>
      <c r="F15" s="43">
        <f t="shared" si="2"/>
        <v>3790.0649908109158</v>
      </c>
      <c r="G15" s="43">
        <f t="shared" si="3"/>
        <v>752.9085957659529</v>
      </c>
      <c r="H15" s="27">
        <v>0.46588018071747778</v>
      </c>
      <c r="I15" s="59">
        <f>(B15/('Consumidores Inadimplentes'!B51*1000000))</f>
        <v>9.0075175007739618E-3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555378</v>
      </c>
      <c r="C16" s="29">
        <v>2821005</v>
      </c>
      <c r="D16" s="29">
        <v>2149898852.1300054</v>
      </c>
      <c r="E16" s="33">
        <f t="shared" si="0"/>
        <v>5.0794323865907547</v>
      </c>
      <c r="F16" s="45">
        <f t="shared" si="2"/>
        <v>3871.055123051337</v>
      </c>
      <c r="G16" s="45">
        <f t="shared" si="3"/>
        <v>762.10387862836308</v>
      </c>
      <c r="H16" s="26">
        <v>0.45326064335527361</v>
      </c>
      <c r="I16" s="59">
        <f>(B16/('Consumidores Inadimplentes'!B52*1000000))</f>
        <v>8.7073918243225877E-3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551623</v>
      </c>
      <c r="C17" s="30">
        <v>2653187</v>
      </c>
      <c r="D17" s="30">
        <v>2134132583.2699997</v>
      </c>
      <c r="E17" s="34">
        <f t="shared" si="0"/>
        <v>4.8097831308701773</v>
      </c>
      <c r="F17" s="43">
        <f t="shared" si="2"/>
        <v>3868.82451107006</v>
      </c>
      <c r="G17" s="43">
        <f t="shared" si="3"/>
        <v>804.36568672694386</v>
      </c>
      <c r="H17" s="27">
        <v>0.44972370375563964</v>
      </c>
      <c r="I17" s="59">
        <f>(B17/('Consumidores Inadimplentes'!B53*1000000))</f>
        <v>8.6339901920020126E-3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615413</v>
      </c>
      <c r="C18" s="30">
        <v>2816406</v>
      </c>
      <c r="D18" s="30">
        <v>2225835762.5699987</v>
      </c>
      <c r="E18" s="34">
        <f t="shared" si="0"/>
        <v>4.5764486613054975</v>
      </c>
      <c r="F18" s="43">
        <f t="shared" si="2"/>
        <v>3616.8162885249399</v>
      </c>
      <c r="G18" s="43">
        <f t="shared" si="3"/>
        <v>790.3106876529871</v>
      </c>
      <c r="H18" s="27">
        <v>0.50120371049052426</v>
      </c>
      <c r="I18" s="59">
        <f>(B18/('Consumidores Inadimplentes'!B54*1000000))</f>
        <v>9.4952613027905284E-3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607405</v>
      </c>
      <c r="C19" s="30">
        <v>2920606</v>
      </c>
      <c r="D19" s="30">
        <v>2258595468.2199988</v>
      </c>
      <c r="E19" s="34">
        <f t="shared" si="0"/>
        <v>4.8083338135181632</v>
      </c>
      <c r="F19" s="43">
        <f t="shared" si="2"/>
        <v>3718.4341061071259</v>
      </c>
      <c r="G19" s="43">
        <f t="shared" si="3"/>
        <v>773.33110601703856</v>
      </c>
      <c r="H19" s="27">
        <v>0.49416308223752992</v>
      </c>
      <c r="I19" s="59">
        <f>(B19/('Consumidores Inadimplentes'!B55*1000000))</f>
        <v>9.2158669643960939E-3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567789</v>
      </c>
      <c r="C20" s="30">
        <v>2785052</v>
      </c>
      <c r="D20" s="30">
        <v>2193078127.0200067</v>
      </c>
      <c r="E20" s="34">
        <f t="shared" si="0"/>
        <v>4.9050826979740716</v>
      </c>
      <c r="F20" s="43">
        <f t="shared" si="2"/>
        <v>3862.4878731712074</v>
      </c>
      <c r="G20" s="43">
        <f t="shared" si="3"/>
        <v>787.44602507242473</v>
      </c>
      <c r="H20" s="27">
        <v>0.46144825064000977</v>
      </c>
      <c r="I20" s="59">
        <f>(B20/('Consumidores Inadimplentes'!B56*1000000))</f>
        <v>8.7041558765158962E-3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544721</v>
      </c>
      <c r="C21" s="30">
        <v>2691549</v>
      </c>
      <c r="D21" s="30">
        <v>2134945419.9799967</v>
      </c>
      <c r="E21" s="34">
        <f t="shared" si="0"/>
        <v>4.9411515252762426</v>
      </c>
      <c r="F21" s="43">
        <f t="shared" si="2"/>
        <v>3919.3374589560467</v>
      </c>
      <c r="G21" s="43">
        <f t="shared" si="3"/>
        <v>793.20325209758266</v>
      </c>
      <c r="H21" s="27">
        <v>0.44177289515130969</v>
      </c>
      <c r="I21" s="59">
        <f>(B21/('Consumidores Inadimplentes'!B57*1000000))</f>
        <v>8.5111737309211243E-3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559059</v>
      </c>
      <c r="C22" s="30">
        <v>2706933</v>
      </c>
      <c r="D22" s="30">
        <v>2156701111.800004</v>
      </c>
      <c r="E22" s="34">
        <f t="shared" si="0"/>
        <v>4.8419451256486346</v>
      </c>
      <c r="F22" s="43">
        <f t="shared" si="2"/>
        <v>3857.7343568389097</v>
      </c>
      <c r="G22" s="43">
        <f t="shared" si="3"/>
        <v>796.73235791207389</v>
      </c>
      <c r="H22" s="27">
        <v>0.45302012607054215</v>
      </c>
      <c r="I22" s="59">
        <f>(B22/('Consumidores Inadimplentes'!B58*1000000))</f>
        <v>8.8036452126207896E-3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560567</v>
      </c>
      <c r="C23" s="30">
        <v>2696026</v>
      </c>
      <c r="D23" s="30">
        <v>2155423413.8500013</v>
      </c>
      <c r="E23" s="34">
        <f t="shared" si="0"/>
        <v>4.8094625620131044</v>
      </c>
      <c r="F23" s="43">
        <f t="shared" si="2"/>
        <v>3845.0772411683197</v>
      </c>
      <c r="G23" s="43">
        <f t="shared" si="3"/>
        <v>799.48168669367487</v>
      </c>
      <c r="H23" s="27">
        <v>0.45386034754827309</v>
      </c>
      <c r="I23" s="59">
        <f>(B23/('Consumidores Inadimplentes'!B59*1000000))</f>
        <v>8.8907718965473836E-3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560539</v>
      </c>
      <c r="C24" s="30">
        <v>2656945</v>
      </c>
      <c r="D24" s="30">
        <v>2159026268.2199998</v>
      </c>
      <c r="E24" s="34">
        <f t="shared" si="0"/>
        <v>4.7399824097877223</v>
      </c>
      <c r="F24" s="43">
        <f t="shared" si="2"/>
        <v>3851.6967922303352</v>
      </c>
      <c r="G24" s="43">
        <f t="shared" si="3"/>
        <v>812.59727552508605</v>
      </c>
      <c r="H24" s="27">
        <v>0.45345622045256717</v>
      </c>
      <c r="I24" s="59">
        <f>(B24/('Consumidores Inadimplentes'!B60*1000000))</f>
        <v>8.9310006237403872E-3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555192</v>
      </c>
      <c r="C25" s="30">
        <v>2620931</v>
      </c>
      <c r="D25" s="30">
        <v>2150011854</v>
      </c>
      <c r="E25" s="34">
        <f t="shared" si="0"/>
        <v>4.7207650686609322</v>
      </c>
      <c r="F25" s="43">
        <f t="shared" si="2"/>
        <v>3872.5555375437684</v>
      </c>
      <c r="G25" s="43">
        <f t="shared" si="3"/>
        <v>820.32371474105946</v>
      </c>
      <c r="H25" s="27">
        <v>0.44875314018564683</v>
      </c>
      <c r="I25" s="59">
        <f>(B25/('Consumidores Inadimplentes'!B61*1000000))</f>
        <v>8.9144814980578121E-3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541372</v>
      </c>
      <c r="C26" s="30">
        <v>2576640</v>
      </c>
      <c r="D26" s="30">
        <v>2114962745.2199984</v>
      </c>
      <c r="E26" s="34">
        <f t="shared" si="0"/>
        <v>4.7594629940225941</v>
      </c>
      <c r="F26" s="43">
        <f t="shared" si="2"/>
        <v>3906.6718360388022</v>
      </c>
      <c r="G26" s="43">
        <f t="shared" si="3"/>
        <v>820.82197948491</v>
      </c>
      <c r="H26" s="27">
        <v>0.43721476398953668</v>
      </c>
      <c r="I26" s="59">
        <f>(B26/('Consumidores Inadimplentes'!B62*1000000))</f>
        <v>8.7390377234245944E-3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560946</v>
      </c>
      <c r="C27" s="31">
        <v>2620084</v>
      </c>
      <c r="D27" s="31">
        <v>2108874407.4900017</v>
      </c>
      <c r="E27" s="35">
        <f t="shared" si="0"/>
        <v>4.6708310603872745</v>
      </c>
      <c r="F27" s="46">
        <f t="shared" si="2"/>
        <v>3759.4962928517211</v>
      </c>
      <c r="G27" s="46">
        <f t="shared" si="3"/>
        <v>804.88809041618572</v>
      </c>
      <c r="H27" s="28">
        <v>0.45264191609421989</v>
      </c>
      <c r="I27" s="59">
        <f>(B27/('Consumidores Inadimplentes'!B63*1000000))</f>
        <v>9.1416928162991636E-3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548554</v>
      </c>
      <c r="C28" s="29">
        <v>2596497</v>
      </c>
      <c r="D28" s="29">
        <v>2138373453.7800002</v>
      </c>
      <c r="E28" s="33">
        <f t="shared" si="0"/>
        <v>4.7333480386616449</v>
      </c>
      <c r="F28" s="45">
        <f t="shared" si="2"/>
        <v>3898.2004575301617</v>
      </c>
      <c r="G28" s="45">
        <f t="shared" si="3"/>
        <v>823.56091833728306</v>
      </c>
      <c r="H28" s="26">
        <v>0.44227062039985066</v>
      </c>
      <c r="I28" s="59">
        <f>(B28/('Consumidores Inadimplentes'!B64*1000000))</f>
        <v>8.8950833581849555E-3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543068</v>
      </c>
      <c r="C29" s="30">
        <v>2585786</v>
      </c>
      <c r="D29" s="30">
        <v>2152909676.679997</v>
      </c>
      <c r="E29" s="34">
        <f t="shared" si="0"/>
        <v>4.7614405562470994</v>
      </c>
      <c r="F29" s="43">
        <f t="shared" si="2"/>
        <v>3964.3464109098622</v>
      </c>
      <c r="G29" s="43">
        <f t="shared" si="3"/>
        <v>832.59391019983764</v>
      </c>
      <c r="H29" s="27">
        <v>0.43747965934026983</v>
      </c>
      <c r="I29" s="59">
        <f>(B29/('Consumidores Inadimplentes'!B65*1000000))</f>
        <v>8.8224809475737163E-3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549873</v>
      </c>
      <c r="C30" s="30">
        <v>2578868</v>
      </c>
      <c r="D30" s="30">
        <v>2175547405.2800035</v>
      </c>
      <c r="E30" s="34">
        <f t="shared" si="0"/>
        <v>4.6899338574543572</v>
      </c>
      <c r="F30" s="43">
        <f t="shared" si="2"/>
        <v>3956.4543181425593</v>
      </c>
      <c r="G30" s="43">
        <f t="shared" si="3"/>
        <v>843.6055685207632</v>
      </c>
      <c r="H30" s="27">
        <v>0.44258934320669674</v>
      </c>
      <c r="I30" s="59">
        <f>(B30/('Consumidores Inadimplentes'!B66*1000000))</f>
        <v>8.789904774233262E-3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549252</v>
      </c>
      <c r="C31" s="30">
        <v>2555231</v>
      </c>
      <c r="D31" s="30">
        <v>2198440099.9400058</v>
      </c>
      <c r="E31" s="34">
        <f t="shared" si="0"/>
        <v>4.6522015395483312</v>
      </c>
      <c r="F31" s="43">
        <f t="shared" si="2"/>
        <v>4002.6073640878972</v>
      </c>
      <c r="G31" s="43">
        <f t="shared" si="3"/>
        <v>860.36843633315573</v>
      </c>
      <c r="H31" s="27">
        <v>0.44171796902959115</v>
      </c>
      <c r="I31" s="59">
        <f>(B31/('Consumidores Inadimplentes'!B67*1000000))</f>
        <v>8.7208366282124552E-3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532829</v>
      </c>
      <c r="C32" s="30">
        <v>2498759</v>
      </c>
      <c r="D32" s="30">
        <v>2186831144.0900021</v>
      </c>
      <c r="E32" s="34">
        <f t="shared" si="0"/>
        <v>4.6896077353147065</v>
      </c>
      <c r="F32" s="43">
        <f t="shared" si="2"/>
        <v>4104.1894192883683</v>
      </c>
      <c r="G32" s="43">
        <f t="shared" si="3"/>
        <v>875.16689048043531</v>
      </c>
      <c r="H32" s="27">
        <v>0.42815014331160289</v>
      </c>
      <c r="I32" s="59">
        <f>(B32/('Consumidores Inadimplentes'!B68*1000000))</f>
        <v>8.5172502895475705E-3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523219</v>
      </c>
      <c r="C33" s="30">
        <v>2443384</v>
      </c>
      <c r="D33" s="30">
        <v>2140067020.7999983</v>
      </c>
      <c r="E33" s="34">
        <f t="shared" si="0"/>
        <v>4.6699068650029911</v>
      </c>
      <c r="F33" s="43">
        <f t="shared" si="2"/>
        <v>4090.1936298184855</v>
      </c>
      <c r="G33" s="43">
        <f t="shared" si="3"/>
        <v>875.86192788362291</v>
      </c>
      <c r="H33" s="27">
        <v>0.4200746986442806</v>
      </c>
      <c r="I33" s="59">
        <f>(B33/('Consumidores Inadimplentes'!B69*1000000))</f>
        <v>8.3702408302158311E-3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536657</v>
      </c>
      <c r="C34" s="30">
        <v>2450189</v>
      </c>
      <c r="D34" s="30">
        <v>2135071201.990006</v>
      </c>
      <c r="E34" s="34">
        <f>C34/B34</f>
        <v>4.5656518036660287</v>
      </c>
      <c r="F34" s="43">
        <f t="shared" si="2"/>
        <v>3978.4652058763904</v>
      </c>
      <c r="G34" s="43">
        <f t="shared" si="3"/>
        <v>871.39041191924628</v>
      </c>
      <c r="H34" s="27">
        <v>0.43086361074491503</v>
      </c>
      <c r="I34" s="59">
        <f>(B34/('Consumidores Inadimplentes'!B70*1000000))</f>
        <v>8.6246339861720308E-3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529108</v>
      </c>
      <c r="C35" s="30">
        <v>2426662</v>
      </c>
      <c r="D35" s="30">
        <v>2150003325.7500038</v>
      </c>
      <c r="E35" s="34">
        <f>C35/B35</f>
        <v>4.5863264210709342</v>
      </c>
      <c r="F35" s="43">
        <f t="shared" si="2"/>
        <v>4063.4489097689011</v>
      </c>
      <c r="G35" s="43">
        <f t="shared" si="3"/>
        <v>885.99208532131945</v>
      </c>
      <c r="H35" s="27">
        <v>0.42449195715832966</v>
      </c>
      <c r="I35" s="59">
        <f>(B35/('Consumidores Inadimplentes'!B71*1000000))</f>
        <v>8.4998969055686338E-3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525003</v>
      </c>
      <c r="C36" s="30">
        <v>2402363</v>
      </c>
      <c r="D36" s="30">
        <v>2151817528.6400032</v>
      </c>
      <c r="E36" s="34">
        <f>C36/B36</f>
        <v>4.5759033757902339</v>
      </c>
      <c r="F36" s="43">
        <f t="shared" si="2"/>
        <v>4098.676633543053</v>
      </c>
      <c r="G36" s="43">
        <f t="shared" si="3"/>
        <v>895.70873703932477</v>
      </c>
      <c r="H36" s="27">
        <v>0.42089031019839451</v>
      </c>
      <c r="I36" s="59">
        <f>(B36/('Consumidores Inadimplentes'!B72*1000000))</f>
        <v>8.4391692882863235E-3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558392</v>
      </c>
      <c r="C37" s="30">
        <v>2486509</v>
      </c>
      <c r="D37" s="30">
        <v>2204187744.7800045</v>
      </c>
      <c r="E37" s="34">
        <f>C37/B37</f>
        <v>4.4529810599005719</v>
      </c>
      <c r="F37" s="43">
        <f t="shared" si="2"/>
        <v>3947.3841759552511</v>
      </c>
      <c r="G37" s="43">
        <f t="shared" si="3"/>
        <v>886.45878409448926</v>
      </c>
      <c r="H37" s="27">
        <v>0.44733019994760781</v>
      </c>
      <c r="I37" s="59">
        <f>(B37/('Consumidores Inadimplentes'!B73*1000000))</f>
        <v>8.8067442837315001E-3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540785</v>
      </c>
      <c r="C38" s="30">
        <v>2427418</v>
      </c>
      <c r="D38" s="30">
        <v>2220502618.7800026</v>
      </c>
      <c r="E38" s="34">
        <f t="shared" ref="E38:E46" si="4">C38/B38</f>
        <v>4.4886932884602935</v>
      </c>
      <c r="F38" s="43">
        <f t="shared" si="2"/>
        <v>4106.0728732860616</v>
      </c>
      <c r="G38" s="43">
        <f t="shared" si="3"/>
        <v>914.75906447921329</v>
      </c>
      <c r="H38" s="27">
        <v>0.43290817817291349</v>
      </c>
      <c r="I38" s="59">
        <f>(B38/('Consumidores Inadimplentes'!B74*1000000))</f>
        <v>8.4143111361860111E-3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534346</v>
      </c>
      <c r="C39" s="31">
        <v>2445489</v>
      </c>
      <c r="D39" s="31">
        <v>2179204647.1300058</v>
      </c>
      <c r="E39" s="35">
        <f t="shared" si="4"/>
        <v>4.5766020518540422</v>
      </c>
      <c r="F39" s="46">
        <f t="shared" si="2"/>
        <v>4078.2651074959031</v>
      </c>
      <c r="G39" s="46">
        <f t="shared" si="3"/>
        <v>891.11202182058707</v>
      </c>
      <c r="H39" s="28">
        <v>0.42744055304110212</v>
      </c>
      <c r="I39" s="59">
        <f>(B39/('Consumidores Inadimplentes'!B75*1000000))</f>
        <v>8.3529602402994344E-3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544453</v>
      </c>
      <c r="C40" s="29">
        <v>2492180</v>
      </c>
      <c r="D40" s="29">
        <v>2273442062.9100041</v>
      </c>
      <c r="E40" s="33">
        <f t="shared" si="4"/>
        <v>4.5774015387921452</v>
      </c>
      <c r="F40" s="45">
        <f t="shared" si="2"/>
        <v>4175.6442941998739</v>
      </c>
      <c r="G40" s="45">
        <f t="shared" si="3"/>
        <v>912.23028148448509</v>
      </c>
      <c r="H40" s="26">
        <v>0.4352065751041948</v>
      </c>
      <c r="I40" s="59">
        <f>(B40/('Consumidores Inadimplentes'!B76*1000000))</f>
        <v>8.3997915252502567E-3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547361</v>
      </c>
      <c r="C41" s="30">
        <v>2496912</v>
      </c>
      <c r="D41" s="30">
        <v>2269407207.6200018</v>
      </c>
      <c r="E41" s="34">
        <f t="shared" si="4"/>
        <v>4.5617280003507741</v>
      </c>
      <c r="F41" s="43">
        <f t="shared" si="2"/>
        <v>4146.0886099301952</v>
      </c>
      <c r="G41" s="43">
        <f t="shared" si="3"/>
        <v>908.88553846511275</v>
      </c>
      <c r="H41" s="27">
        <v>0.43721094814599443</v>
      </c>
      <c r="I41" s="59">
        <f>(B41/('Consumidores Inadimplentes'!B77*1000000))</f>
        <v>8.3990819827530032E-3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557292</v>
      </c>
      <c r="C42" s="30">
        <v>2518809</v>
      </c>
      <c r="D42" s="30">
        <v>2312464948.0499973</v>
      </c>
      <c r="E42" s="34">
        <f t="shared" si="4"/>
        <v>4.5197293339936691</v>
      </c>
      <c r="F42" s="43">
        <f t="shared" si="2"/>
        <v>4149.4673313989742</v>
      </c>
      <c r="G42" s="43">
        <f t="shared" si="3"/>
        <v>918.07872214606084</v>
      </c>
      <c r="H42" s="27">
        <v>0.44481763651819245</v>
      </c>
      <c r="I42" s="59">
        <f>(B42/('Consumidores Inadimplentes'!B78*1000000))</f>
        <v>8.483151470404092E-3</v>
      </c>
    </row>
    <row r="43" spans="1:16" x14ac:dyDescent="0.35">
      <c r="A43" s="5">
        <v>44652</v>
      </c>
      <c r="B43" s="30">
        <v>561350</v>
      </c>
      <c r="C43" s="30">
        <v>2560565</v>
      </c>
      <c r="D43" s="30">
        <v>2364176343.5900016</v>
      </c>
      <c r="E43" s="34">
        <f t="shared" si="4"/>
        <v>4.5614411686113829</v>
      </c>
      <c r="F43" s="43">
        <f t="shared" si="2"/>
        <v>4211.5905292420084</v>
      </c>
      <c r="G43" s="43">
        <f t="shared" si="3"/>
        <v>923.3026084438402</v>
      </c>
      <c r="H43" s="27">
        <v>0.44772857606600236</v>
      </c>
      <c r="I43" s="59">
        <f>(B43/('Consumidores Inadimplentes'!B79*1000000))</f>
        <v>8.488240381040112E-3</v>
      </c>
    </row>
    <row r="44" spans="1:16" x14ac:dyDescent="0.35">
      <c r="A44" s="5">
        <v>44682</v>
      </c>
      <c r="B44" s="30">
        <v>563700</v>
      </c>
      <c r="C44" s="30">
        <v>2627289</v>
      </c>
      <c r="D44" s="30">
        <v>2436809940.8999968</v>
      </c>
      <c r="E44" s="34">
        <f t="shared" si="4"/>
        <v>4.6607929749866948</v>
      </c>
      <c r="F44" s="43">
        <f t="shared" si="2"/>
        <v>4322.8844081958432</v>
      </c>
      <c r="G44" s="43">
        <f t="shared" si="3"/>
        <v>927.49976911561578</v>
      </c>
      <c r="H44" s="27">
        <v>0.44927360659030263</v>
      </c>
      <c r="I44" s="59">
        <f>(B44/('Consumidores Inadimplentes'!B80*1000000))</f>
        <v>8.4665296021085544E-3</v>
      </c>
    </row>
    <row r="45" spans="1:16" x14ac:dyDescent="0.35">
      <c r="A45" s="5">
        <v>44713</v>
      </c>
      <c r="B45" s="30">
        <v>567273</v>
      </c>
      <c r="C45" s="30">
        <v>2688847</v>
      </c>
      <c r="D45" s="30">
        <v>2486111246.8899899</v>
      </c>
      <c r="E45" s="34">
        <f t="shared" si="4"/>
        <v>4.7399523686126432</v>
      </c>
      <c r="F45" s="43">
        <f t="shared" ref="F45:F46" si="5">D45/B45</f>
        <v>4382.5657961686702</v>
      </c>
      <c r="G45" s="43">
        <f t="shared" ref="G45:G46" si="6">F45/E45</f>
        <v>924.60123126752478</v>
      </c>
      <c r="H45" s="27">
        <v>0.4517904032379455</v>
      </c>
      <c r="I45" s="59">
        <f>(B45/('Consumidores Inadimplentes'!B81*1000000))</f>
        <v>8.4897436904755215E-3</v>
      </c>
    </row>
    <row r="46" spans="1:16" x14ac:dyDescent="0.35">
      <c r="A46" s="5">
        <v>44743</v>
      </c>
      <c r="B46" s="30">
        <v>569152</v>
      </c>
      <c r="C46" s="30">
        <v>2706829</v>
      </c>
      <c r="D46" s="30">
        <v>2512067749.6900001</v>
      </c>
      <c r="E46" s="34">
        <f t="shared" si="4"/>
        <v>4.7558982486225121</v>
      </c>
      <c r="F46" s="43">
        <f t="shared" si="5"/>
        <v>4413.7027537283539</v>
      </c>
      <c r="G46" s="43">
        <f t="shared" si="6"/>
        <v>928.0481883746628</v>
      </c>
      <c r="H46" s="27">
        <v>0.45295464023200366</v>
      </c>
      <c r="I46" s="59">
        <f>(B46/('Consumidores Inadimplentes'!B82*1000000))</f>
        <v>8.4153886910437112E-3</v>
      </c>
    </row>
    <row r="47" spans="1:16" x14ac:dyDescent="0.35">
      <c r="A47" s="5">
        <v>44774</v>
      </c>
      <c r="B47" s="30">
        <v>570598</v>
      </c>
      <c r="C47" s="30">
        <v>2719357</v>
      </c>
      <c r="D47" s="30">
        <v>2537916404.8599901</v>
      </c>
      <c r="E47" s="34">
        <f t="shared" ref="E47" si="7">C47/B47</f>
        <v>4.7658018429787701</v>
      </c>
      <c r="F47" s="43">
        <f t="shared" ref="F47" si="8">D47/B47</f>
        <v>4447.8186128587731</v>
      </c>
      <c r="G47" s="43">
        <f t="shared" ref="G47" si="9">F47/E47</f>
        <v>933.2781259908096</v>
      </c>
      <c r="H47" s="27">
        <v>0.4537475656508867</v>
      </c>
      <c r="I47" s="59">
        <f>(B47/('Consumidores Inadimplentes'!B83*1000000))</f>
        <v>8.3940799256610847E-3</v>
      </c>
    </row>
    <row r="48" spans="1:16" x14ac:dyDescent="0.35">
      <c r="A48" s="5">
        <v>44805</v>
      </c>
      <c r="B48" s="30">
        <v>575166</v>
      </c>
      <c r="C48" s="30">
        <v>2739630</v>
      </c>
      <c r="D48" s="30">
        <v>2598550473.3000002</v>
      </c>
      <c r="E48" s="34">
        <f t="shared" ref="E48" si="10">C48/B48</f>
        <v>4.7631987982599808</v>
      </c>
      <c r="F48" s="43">
        <f t="shared" ref="F48" si="11">D48/B48</f>
        <v>4517.9139123313971</v>
      </c>
      <c r="G48" s="43">
        <f t="shared" ref="G48" si="12">F48/E48</f>
        <v>948.50416782558239</v>
      </c>
      <c r="H48" s="27">
        <v>0.457019945745538</v>
      </c>
      <c r="I48" s="59">
        <f>(B48/('Consumidores Inadimplentes'!B84*1000000))</f>
        <v>8.4103291205163636E-3</v>
      </c>
    </row>
    <row r="49" spans="1:16" x14ac:dyDescent="0.35">
      <c r="A49" s="5">
        <v>44835</v>
      </c>
      <c r="B49" s="30">
        <v>589494</v>
      </c>
      <c r="C49" s="30">
        <v>2850915</v>
      </c>
      <c r="D49" s="30">
        <v>2649289677.1799936</v>
      </c>
      <c r="E49" s="34">
        <f t="shared" ref="E49" si="13">C49/B49</f>
        <v>4.8362069842950053</v>
      </c>
      <c r="F49" s="43">
        <f t="shared" ref="F49" si="14">D49/B49</f>
        <v>4494.1758137996203</v>
      </c>
      <c r="G49" s="43">
        <f t="shared" ref="G49" si="15">F49/E49</f>
        <v>929.2769785068981</v>
      </c>
      <c r="H49" s="27">
        <v>0.46803588073419261</v>
      </c>
      <c r="I49" s="59">
        <f>(B49/('Consumidores Inadimplentes'!B85*1000000))</f>
        <v>8.5363840464870583E-3</v>
      </c>
    </row>
    <row r="50" spans="1:16" x14ac:dyDescent="0.35">
      <c r="A50" s="5">
        <v>44866</v>
      </c>
      <c r="B50" s="30">
        <v>590658</v>
      </c>
      <c r="C50" s="30">
        <v>2849728</v>
      </c>
      <c r="D50" s="30">
        <v>2713360093.8599911</v>
      </c>
      <c r="E50" s="34">
        <f t="shared" ref="E50" si="16">C50/B50</f>
        <v>4.8246667276156421</v>
      </c>
      <c r="F50" s="43">
        <f t="shared" ref="F50" si="17">D50/B50</f>
        <v>4593.7921671423919</v>
      </c>
      <c r="G50" s="43">
        <f t="shared" ref="G50" si="18">F50/E50</f>
        <v>952.14704486182222</v>
      </c>
      <c r="H50" s="27">
        <v>0.46859061371726596</v>
      </c>
      <c r="I50" s="59">
        <f>(B50/('Consumidores Inadimplentes'!B86*1000000))</f>
        <v>8.4579380830039769E-3</v>
      </c>
    </row>
    <row r="51" spans="1:16" ht="15" thickBot="1" x14ac:dyDescent="0.4">
      <c r="A51" s="12">
        <v>44896</v>
      </c>
      <c r="B51" s="31">
        <v>584473</v>
      </c>
      <c r="C51" s="31">
        <v>2834799</v>
      </c>
      <c r="D51" s="31">
        <v>2723758163.0499916</v>
      </c>
      <c r="E51" s="35">
        <f t="shared" ref="E51" si="19">C51/B51</f>
        <v>4.8501795634699976</v>
      </c>
      <c r="F51" s="46">
        <f t="shared" ref="F51" si="20">D51/B51</f>
        <v>4660.195018503834</v>
      </c>
      <c r="G51" s="46">
        <f t="shared" ref="G51" si="21">F51/E51</f>
        <v>960.82937910236012</v>
      </c>
      <c r="H51" s="28">
        <v>0.46331846470808796</v>
      </c>
      <c r="I51" s="59">
        <f>(B51/('Consumidores Inadimplentes'!B87*1000000))</f>
        <v>8.418245111330205E-3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592559</v>
      </c>
      <c r="C52" s="29">
        <v>2871958</v>
      </c>
      <c r="D52" s="29">
        <v>2842964273.8099856</v>
      </c>
      <c r="E52" s="33">
        <f t="shared" ref="E52" si="22">C52/B52</f>
        <v>4.8467038725257741</v>
      </c>
      <c r="F52" s="45">
        <f t="shared" ref="F52" si="23">D52/B52</f>
        <v>4797.774185878513</v>
      </c>
      <c r="G52" s="45">
        <f t="shared" ref="G52" si="24">F52/E52</f>
        <v>989.90454380251583</v>
      </c>
      <c r="H52" s="26">
        <v>0.46935849636471505</v>
      </c>
      <c r="I52" s="59">
        <f>(B52/('Consumidores Inadimplentes'!B88*1000000))</f>
        <v>8.4538997394845994E-3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599179</v>
      </c>
      <c r="C53" s="30">
        <v>2896019</v>
      </c>
      <c r="D53" s="30">
        <v>2876108923.9699917</v>
      </c>
      <c r="E53" s="34">
        <f t="shared" ref="E53" si="25">C53/B53</f>
        <v>4.8333119151372124</v>
      </c>
      <c r="F53" s="43">
        <f t="shared" ref="F53" si="26">D53/B53</f>
        <v>4800.0829868369747</v>
      </c>
      <c r="G53" s="43">
        <f t="shared" ref="G53" si="27">F53/E53</f>
        <v>993.1250188517381</v>
      </c>
      <c r="H53" s="27">
        <v>0.47422836257263656</v>
      </c>
      <c r="I53" s="59">
        <f>(B53/('Consumidores Inadimplentes'!B89*1000000))</f>
        <v>8.4957459662508561E-3</v>
      </c>
    </row>
    <row r="54" spans="1:16" x14ac:dyDescent="0.35">
      <c r="A54" s="5">
        <v>44986</v>
      </c>
      <c r="B54" s="30">
        <v>599316</v>
      </c>
      <c r="C54" s="30">
        <v>2893759</v>
      </c>
      <c r="D54" s="30">
        <v>2910450814.5299926</v>
      </c>
      <c r="E54" s="34">
        <f t="shared" ref="E54" si="28">C54/B54</f>
        <v>4.8284360838022016</v>
      </c>
      <c r="F54" s="43">
        <f t="shared" ref="F54" si="29">D54/B54</f>
        <v>4856.2875253288621</v>
      </c>
      <c r="G54" s="43">
        <f t="shared" ref="G54" si="30">F54/E54</f>
        <v>1005.7682117031833</v>
      </c>
      <c r="H54" s="27">
        <v>0.47396316899147317</v>
      </c>
      <c r="I54" s="59">
        <f>(B54/('Consumidores Inadimplentes'!B90*1000000))</f>
        <v>8.476001457103562E-3</v>
      </c>
    </row>
    <row r="55" spans="1:16" x14ac:dyDescent="0.35">
      <c r="A55" s="5">
        <v>45017</v>
      </c>
      <c r="B55" s="30">
        <v>608116</v>
      </c>
      <c r="C55" s="30">
        <v>2937198</v>
      </c>
      <c r="D55" s="30">
        <v>3031080762.9300008</v>
      </c>
      <c r="E55" s="34">
        <f t="shared" ref="E55" si="31">C55/B55</f>
        <v>4.8299962507153245</v>
      </c>
      <c r="F55" s="43">
        <f t="shared" ref="F55" si="32">D55/B55</f>
        <v>4984.379235096595</v>
      </c>
      <c r="G55" s="43">
        <f t="shared" ref="G55" si="33">F55/E55</f>
        <v>1031.9633756151272</v>
      </c>
      <c r="H55" s="27">
        <v>0.48054366937316029</v>
      </c>
      <c r="I55" s="59">
        <f>(B55/('Consumidores Inadimplentes'!B91*1000000))</f>
        <v>8.5123125590778979E-3</v>
      </c>
    </row>
    <row r="56" spans="1:16" x14ac:dyDescent="0.35">
      <c r="A56" s="5">
        <v>45047</v>
      </c>
      <c r="B56" s="30">
        <v>610053</v>
      </c>
      <c r="C56" s="30">
        <v>3079957</v>
      </c>
      <c r="D56" s="30">
        <v>3058118008.8900051</v>
      </c>
      <c r="E56" s="34">
        <f t="shared" ref="E56" si="34">C56/B56</f>
        <v>5.0486711810285332</v>
      </c>
      <c r="F56" s="43">
        <f t="shared" ref="F56" si="35">D56/B56</f>
        <v>5012.8726666207776</v>
      </c>
      <c r="G56" s="43">
        <f t="shared" ref="G56" si="36">F56/E56</f>
        <v>992.90931947751392</v>
      </c>
      <c r="H56" s="27">
        <v>0.48169443801802331</v>
      </c>
      <c r="I56" s="59">
        <f>(B56/('Consumidores Inadimplentes'!B92*1000000))</f>
        <v>8.4843209601792539E-3</v>
      </c>
    </row>
    <row r="57" spans="1:16" x14ac:dyDescent="0.35">
      <c r="A57" s="5">
        <v>45078</v>
      </c>
      <c r="B57" s="30">
        <v>614322</v>
      </c>
      <c r="C57" s="30">
        <v>3109878</v>
      </c>
      <c r="D57" s="30">
        <v>3099950121.5199924</v>
      </c>
      <c r="E57" s="34">
        <f t="shared" ref="E57" si="37">C57/B57</f>
        <v>5.0622930645492099</v>
      </c>
      <c r="F57" s="43">
        <f t="shared" ref="F57" si="38">D57/B57</f>
        <v>5046.1323565166031</v>
      </c>
      <c r="G57" s="43">
        <f t="shared" ref="G57" si="39">F57/E57</f>
        <v>996.8076308845533</v>
      </c>
      <c r="H57" s="27">
        <v>0.48468327874957295</v>
      </c>
      <c r="I57" s="59">
        <f>(B57/('Consumidores Inadimplentes'!B93*1000000))</f>
        <v>8.5975033789091517E-3</v>
      </c>
    </row>
    <row r="58" spans="1:16" x14ac:dyDescent="0.35">
      <c r="A58" s="5">
        <v>45108</v>
      </c>
      <c r="B58" s="30">
        <v>605201</v>
      </c>
      <c r="C58" s="30">
        <v>3057022</v>
      </c>
      <c r="D58" s="30">
        <v>3139282412.4300013</v>
      </c>
      <c r="E58" s="34">
        <f t="shared" ref="E58:E59" si="40">C58/B58</f>
        <v>5.0512507414891914</v>
      </c>
      <c r="F58" s="43">
        <f t="shared" ref="F58:F59" si="41">D58/B58</f>
        <v>5187.1732076285416</v>
      </c>
      <c r="G58" s="43">
        <f t="shared" ref="G58:G59" si="42">F58/E58</f>
        <v>1026.908675315389</v>
      </c>
      <c r="H58" s="27">
        <v>0.4771110077494935</v>
      </c>
      <c r="I58" s="59">
        <f>(B58/('Consumidores Inadimplentes'!B94*1000000))</f>
        <v>8.4739448818402612E-3</v>
      </c>
    </row>
    <row r="59" spans="1:16" x14ac:dyDescent="0.35">
      <c r="A59" s="5">
        <v>45139</v>
      </c>
      <c r="B59" s="30">
        <v>606345</v>
      </c>
      <c r="C59" s="30">
        <v>3055357</v>
      </c>
      <c r="D59" s="30">
        <v>3174733560.4600053</v>
      </c>
      <c r="E59" s="34">
        <f t="shared" si="40"/>
        <v>5.0389745112106148</v>
      </c>
      <c r="F59" s="43">
        <f t="shared" si="41"/>
        <v>5235.8534505273492</v>
      </c>
      <c r="G59" s="43">
        <f t="shared" si="42"/>
        <v>1039.0712314338407</v>
      </c>
      <c r="H59" s="27">
        <v>0.47764574282462019</v>
      </c>
      <c r="I59" s="59">
        <f>(B59/('Consumidores Inadimplentes'!B95*1000000))</f>
        <v>8.4520891740606386E-3</v>
      </c>
    </row>
    <row r="60" spans="1:16" x14ac:dyDescent="0.35">
      <c r="A60" s="5">
        <v>45170</v>
      </c>
      <c r="B60" s="30">
        <v>620339</v>
      </c>
      <c r="C60" s="30">
        <v>3083286</v>
      </c>
      <c r="D60" s="30">
        <v>3255436348.4100008</v>
      </c>
      <c r="E60" s="34">
        <f t="shared" ref="E60" si="43">C60/B60</f>
        <v>4.970324290428298</v>
      </c>
      <c r="F60" s="43">
        <f t="shared" ref="F60" si="44">D60/B60</f>
        <v>5247.8344073321214</v>
      </c>
      <c r="G60" s="43">
        <f t="shared" ref="G60" si="45">F60/E60</f>
        <v>1055.8334025484503</v>
      </c>
      <c r="H60" s="27">
        <v>0.48829403796064452</v>
      </c>
      <c r="I60" s="59">
        <f>(B60/('Consumidores Inadimplentes'!B96*1000000))</f>
        <v>8.6371545357129317E-3</v>
      </c>
    </row>
    <row r="61" spans="1:16" x14ac:dyDescent="0.35">
      <c r="A61" s="5">
        <v>45200</v>
      </c>
      <c r="B61" s="30">
        <v>635574</v>
      </c>
      <c r="C61" s="30">
        <v>3129083</v>
      </c>
      <c r="D61" s="30">
        <v>3388322363.2399907</v>
      </c>
      <c r="E61" s="34">
        <f t="shared" ref="E61" si="46">C61/B61</f>
        <v>4.9232394654281011</v>
      </c>
      <c r="F61" s="43">
        <f t="shared" ref="F61" si="47">D61/B61</f>
        <v>5331.121731285406</v>
      </c>
      <c r="G61" s="43">
        <f t="shared" ref="G61" si="48">F61/E61</f>
        <v>1082.848349896756</v>
      </c>
      <c r="H61" s="27">
        <v>0.49990168302923238</v>
      </c>
      <c r="I61" s="59">
        <f>(B61/('Consumidores Inadimplentes'!B97*1000000))</f>
        <v>8.8332424354206716E-3</v>
      </c>
    </row>
    <row r="62" spans="1:16" x14ac:dyDescent="0.35">
      <c r="A62" s="5">
        <v>45231</v>
      </c>
      <c r="B62" s="30">
        <v>638788</v>
      </c>
      <c r="C62" s="30">
        <v>3187825</v>
      </c>
      <c r="D62" s="30">
        <v>3421090326.909997</v>
      </c>
      <c r="E62" s="34">
        <f t="shared" ref="E62:E63" si="49">C62/B62</f>
        <v>4.9904271839796612</v>
      </c>
      <c r="F62" s="43">
        <f t="shared" ref="F62:F63" si="50">D62/B62</f>
        <v>5355.595795334285</v>
      </c>
      <c r="G62" s="43">
        <f t="shared" ref="G62:G63" si="51">F62/E62</f>
        <v>1073.1738181706955</v>
      </c>
      <c r="H62" s="27">
        <v>0.50204342112708822</v>
      </c>
      <c r="I62" s="59">
        <f>(B62/('Consumidores Inadimplentes'!B98*1000000))</f>
        <v>8.8956636584981361E-3</v>
      </c>
    </row>
    <row r="63" spans="1:16" ht="15" thickBot="1" x14ac:dyDescent="0.4">
      <c r="A63" s="12">
        <v>45261</v>
      </c>
      <c r="B63" s="31">
        <v>620743</v>
      </c>
      <c r="C63" s="31">
        <v>3085319</v>
      </c>
      <c r="D63" s="31">
        <v>3174514158.1400003</v>
      </c>
      <c r="E63" s="35">
        <f t="shared" si="49"/>
        <v>4.9703645470025437</v>
      </c>
      <c r="F63" s="46">
        <f t="shared" si="50"/>
        <v>5114.0555078994048</v>
      </c>
      <c r="G63" s="46">
        <f t="shared" si="51"/>
        <v>1028.9095416519331</v>
      </c>
      <c r="H63" s="28">
        <v>0.48748659053177673</v>
      </c>
      <c r="I63" s="59">
        <f>(B63/('Consumidores Inadimplentes'!B99*1000000))</f>
        <v>8.7302631067269019E-3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613403</v>
      </c>
      <c r="C64" s="29">
        <v>3081456</v>
      </c>
      <c r="D64" s="29">
        <v>3285302085.9899974</v>
      </c>
      <c r="E64" s="33">
        <f t="shared" ref="E64" si="52">C64/B64</f>
        <v>5.0235424345821587</v>
      </c>
      <c r="F64" s="45">
        <f t="shared" ref="F64" si="53">D64/B64</f>
        <v>5355.8624362613118</v>
      </c>
      <c r="G64" s="45">
        <f t="shared" ref="G64" si="54">F64/E64</f>
        <v>1066.1525220512633</v>
      </c>
      <c r="H64" s="26">
        <v>0.48135220542825147</v>
      </c>
      <c r="I64" s="59">
        <f>(B64/('Consumidores Inadimplentes'!B100*1000000))</f>
        <v>8.5112330521282305E-3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616476</v>
      </c>
      <c r="C65" s="30">
        <v>3062840</v>
      </c>
      <c r="D65" s="30">
        <v>3244348509.4199958</v>
      </c>
      <c r="E65" s="34">
        <f t="shared" ref="E65" si="55">C65/B65</f>
        <v>4.9683037133643486</v>
      </c>
      <c r="F65" s="43">
        <f t="shared" ref="F65" si="56">D65/B65</f>
        <v>5262.7328710606671</v>
      </c>
      <c r="G65" s="43">
        <f t="shared" ref="G65" si="57">F65/E65</f>
        <v>1059.2615054720441</v>
      </c>
      <c r="H65" s="27">
        <v>0.48339192025800726</v>
      </c>
      <c r="I65" s="59">
        <f>(B65/('Consumidores Inadimplentes'!B101*1000000))</f>
        <v>8.5575000954687726E-3</v>
      </c>
    </row>
    <row r="66" spans="1:16" x14ac:dyDescent="0.35">
      <c r="A66" s="5">
        <v>45352</v>
      </c>
      <c r="B66" s="30">
        <v>637672</v>
      </c>
      <c r="C66" s="30">
        <v>3103863</v>
      </c>
      <c r="D66" s="30">
        <v>3317667503.2300034</v>
      </c>
      <c r="E66" s="34">
        <f t="shared" ref="E66:E67" si="58">C66/B66</f>
        <v>4.8674914376042855</v>
      </c>
      <c r="F66" s="43">
        <f t="shared" ref="F66:F67" si="59">D66/B66</f>
        <v>5202.7805881864087</v>
      </c>
      <c r="G66" s="43">
        <f t="shared" ref="G66:G67" si="60">F66/E66</f>
        <v>1068.8833570392778</v>
      </c>
      <c r="H66" s="27">
        <v>0.49962782869777655</v>
      </c>
      <c r="I66" s="59">
        <f>(B66/('Consumidores Inadimplentes'!B102*1000000))</f>
        <v>8.7478368319197884E-3</v>
      </c>
    </row>
    <row r="67" spans="1:16" x14ac:dyDescent="0.35">
      <c r="A67" s="5">
        <v>45383</v>
      </c>
      <c r="B67" s="30">
        <v>646159</v>
      </c>
      <c r="C67" s="30">
        <v>3159557</v>
      </c>
      <c r="D67" s="30">
        <v>3411035536.7599888</v>
      </c>
      <c r="E67" s="34">
        <f t="shared" si="58"/>
        <v>4.8897515936480032</v>
      </c>
      <c r="F67" s="43">
        <f t="shared" si="59"/>
        <v>5278.9414629526</v>
      </c>
      <c r="G67" s="43">
        <f t="shared" si="60"/>
        <v>1079.5929735592645</v>
      </c>
      <c r="H67" s="27">
        <v>0.5058887083830812</v>
      </c>
      <c r="I67" s="59">
        <f>(B67/('Consumidores Inadimplentes'!B103*1000000))</f>
        <v>8.8008839688223546E-3</v>
      </c>
    </row>
    <row r="68" spans="1:16" x14ac:dyDescent="0.35">
      <c r="A68" s="5">
        <v>45413</v>
      </c>
      <c r="B68" s="30">
        <v>634300</v>
      </c>
      <c r="C68" s="30">
        <v>3176457</v>
      </c>
      <c r="D68" s="30">
        <v>3419036482.6199713</v>
      </c>
      <c r="E68" s="34">
        <f t="shared" ref="E68" si="61">C68/B68</f>
        <v>5.0078149140785113</v>
      </c>
      <c r="F68" s="43">
        <f t="shared" ref="F68" si="62">D68/B68</f>
        <v>5390.2514309001599</v>
      </c>
      <c r="G68" s="43">
        <f t="shared" ref="G68" si="63">F68/E68</f>
        <v>1076.3679415839633</v>
      </c>
      <c r="H68" s="27">
        <v>0.49622259060580148</v>
      </c>
      <c r="I68" s="59">
        <f>(B68/('Consumidores Inadimplentes'!B104*1000000))</f>
        <v>8.744701359625285E-3</v>
      </c>
    </row>
    <row r="69" spans="1:16" x14ac:dyDescent="0.35">
      <c r="A69" s="5">
        <v>45444</v>
      </c>
      <c r="B69" s="30">
        <v>638328</v>
      </c>
      <c r="C69" s="30">
        <v>3164676</v>
      </c>
      <c r="D69" s="30">
        <v>3476813836.8200002</v>
      </c>
      <c r="E69" s="34">
        <f t="shared" ref="E69" si="64">C69/B69</f>
        <v>4.9577583938038128</v>
      </c>
      <c r="F69" s="43">
        <f t="shared" ref="F69" si="65">D69/B69</f>
        <v>5446.7512576919707</v>
      </c>
      <c r="G69" s="43">
        <f t="shared" ref="G69" si="66">F69/E69</f>
        <v>1098.6318462995896</v>
      </c>
      <c r="H69" s="27">
        <v>0.49899002532753822</v>
      </c>
      <c r="I69" s="59">
        <f>(B69/('Consumidores Inadimplentes'!B105*1000000))</f>
        <v>8.8043866680591974E-3</v>
      </c>
    </row>
    <row r="70" spans="1:16" x14ac:dyDescent="0.35">
      <c r="A70" s="5">
        <v>45474</v>
      </c>
      <c r="B70" s="30">
        <v>632395</v>
      </c>
      <c r="C70" s="30">
        <v>3140434</v>
      </c>
      <c r="D70" s="30">
        <v>3435818747.71</v>
      </c>
      <c r="E70" s="34">
        <f t="shared" ref="E70" si="67">C70/B70</f>
        <v>4.9659374283477886</v>
      </c>
      <c r="F70" s="43">
        <f t="shared" ref="F70" si="68">D70/B70</f>
        <v>5433.0264276441148</v>
      </c>
      <c r="G70" s="43">
        <f t="shared" ref="G70" si="69">F70/E70</f>
        <v>1094.0585752510642</v>
      </c>
      <c r="H70" s="27">
        <v>0.49397176277607452</v>
      </c>
      <c r="I70" s="59">
        <f>(B70/('Consumidores Inadimplentes'!B106*1000000))</f>
        <v>8.7029853760340076E-3</v>
      </c>
    </row>
    <row r="71" spans="1:16" x14ac:dyDescent="0.35">
      <c r="A71" s="5">
        <v>45505</v>
      </c>
      <c r="B71" s="30">
        <v>631852</v>
      </c>
      <c r="C71" s="30">
        <v>3128953</v>
      </c>
      <c r="D71" s="30">
        <v>3437947119.930006</v>
      </c>
      <c r="E71" s="34">
        <f t="shared" ref="E71" si="70">C71/B71</f>
        <v>4.9520346536847235</v>
      </c>
      <c r="F71" s="43">
        <f t="shared" ref="F71" si="71">D71/B71</f>
        <v>5441.06391992113</v>
      </c>
      <c r="G71" s="43">
        <f t="shared" ref="G71" si="72">F71/E71</f>
        <v>1098.7531995303241</v>
      </c>
      <c r="H71" s="27">
        <v>0.49319897278184105</v>
      </c>
      <c r="I71" s="59">
        <f>(B71/('Consumidores Inadimplentes'!B107*1000000))</f>
        <v>8.7197053815668071E-3</v>
      </c>
    </row>
    <row r="72" spans="1:16" x14ac:dyDescent="0.35">
      <c r="A72" s="5">
        <v>45536</v>
      </c>
      <c r="B72" s="30">
        <v>636610</v>
      </c>
      <c r="C72" s="30">
        <v>3160501</v>
      </c>
      <c r="D72" s="30">
        <v>3497324115.6799908</v>
      </c>
      <c r="E72" s="34">
        <f t="shared" ref="E72" si="73">C72/B72</f>
        <v>4.9645795699093638</v>
      </c>
      <c r="F72" s="43">
        <f t="shared" ref="F72" si="74">D72/B72</f>
        <v>5493.6682045208063</v>
      </c>
      <c r="G72" s="43">
        <f t="shared" ref="G72" si="75">F72/E72</f>
        <v>1106.5726970755557</v>
      </c>
      <c r="H72" s="27">
        <v>0.49656171901569068</v>
      </c>
      <c r="I72" s="59">
        <f>(B72/('Consumidores Inadimplentes'!B108*1000000))</f>
        <v>8.7636718222476647E-3</v>
      </c>
    </row>
    <row r="73" spans="1:16" x14ac:dyDescent="0.35">
      <c r="A73" s="5">
        <v>45566</v>
      </c>
      <c r="B73" s="30">
        <v>631562</v>
      </c>
      <c r="C73" s="30">
        <v>3177964</v>
      </c>
      <c r="D73" s="30">
        <v>3566365139.3799944</v>
      </c>
      <c r="E73" s="34">
        <f t="shared" ref="E73" si="76">C73/B73</f>
        <v>5.0319113562880604</v>
      </c>
      <c r="F73" s="43">
        <f t="shared" ref="F73" si="77">D73/B73</f>
        <v>5646.8963290698211</v>
      </c>
      <c r="G73" s="43">
        <f t="shared" ref="G73" si="78">F73/E73</f>
        <v>1122.2169726843961</v>
      </c>
      <c r="H73" s="27">
        <v>0.49227596237712823</v>
      </c>
      <c r="I73" s="59">
        <f>(B73/('Consumidores Inadimplentes'!B109*1000000))</f>
        <v>8.6392274894981792E-3</v>
      </c>
    </row>
    <row r="74" spans="1:16" x14ac:dyDescent="0.35">
      <c r="A74" s="5">
        <v>45597</v>
      </c>
      <c r="B74" s="30">
        <v>638785</v>
      </c>
      <c r="C74" s="30">
        <v>3200931</v>
      </c>
      <c r="D74" s="30">
        <v>3690193407.8599892</v>
      </c>
      <c r="E74" s="34">
        <f t="shared" ref="E74" si="79">C74/B74</f>
        <v>5.0109676964862979</v>
      </c>
      <c r="F74" s="43">
        <f t="shared" ref="F74" si="80">D74/B74</f>
        <v>5776.8942725016859</v>
      </c>
      <c r="G74" s="43">
        <f t="shared" ref="G74" si="81">F74/E74</f>
        <v>1152.8500326498727</v>
      </c>
      <c r="H74" s="27">
        <v>0.49755423141332711</v>
      </c>
      <c r="I74" s="59">
        <f>(B74/('Consumidores Inadimplentes'!B110*1000000))</f>
        <v>8.6569378000675816E-3</v>
      </c>
    </row>
    <row r="75" spans="1:16" ht="15" thickBot="1" x14ac:dyDescent="0.4">
      <c r="A75" s="12">
        <v>45627</v>
      </c>
      <c r="B75" s="31">
        <v>610930</v>
      </c>
      <c r="C75" s="31">
        <v>2968409</v>
      </c>
      <c r="D75" s="31">
        <v>3448929987.9199944</v>
      </c>
      <c r="E75" s="35">
        <f t="shared" ref="E75" si="82">C75/B75</f>
        <v>4.8588365279164556</v>
      </c>
      <c r="F75" s="46">
        <f t="shared" ref="F75" si="83">D75/B75</f>
        <v>5645.3767009640951</v>
      </c>
      <c r="G75" s="46">
        <f t="shared" ref="G75" si="84">F75/E75</f>
        <v>1161.8782950462669</v>
      </c>
      <c r="H75" s="28">
        <v>0.47552146007263624</v>
      </c>
      <c r="I75" s="59">
        <f>(B75/('Consumidores Inadimplentes'!B111*1000000))</f>
        <v>8.3105874650663668E-3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621867</v>
      </c>
      <c r="C76" s="29">
        <v>3008542</v>
      </c>
      <c r="D76" s="29">
        <v>3604338574.4099865</v>
      </c>
      <c r="E76" s="33">
        <f t="shared" ref="E76:E77" si="85">C76/B76</f>
        <v>4.8379187189543744</v>
      </c>
      <c r="F76" s="45">
        <f t="shared" ref="F76:F77" si="86">D76/B76</f>
        <v>5795.9958872395327</v>
      </c>
      <c r="G76" s="45">
        <f t="shared" ref="G76:G77" si="87">F76/E76</f>
        <v>1198.0349865183821</v>
      </c>
      <c r="H76" s="26">
        <v>0.48369212245472581</v>
      </c>
      <c r="I76" s="59">
        <f>(B76/('Consumidores Inadimplentes'!B112*1000000))</f>
        <v>8.3356931607255977E-3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626757</v>
      </c>
      <c r="C77" s="30">
        <v>3018938</v>
      </c>
      <c r="D77" s="30">
        <v>3719686129.01999</v>
      </c>
      <c r="E77" s="34">
        <f t="shared" si="85"/>
        <v>4.8167599245002446</v>
      </c>
      <c r="F77" s="43">
        <f t="shared" si="86"/>
        <v>5934.8138577151749</v>
      </c>
      <c r="G77" s="43">
        <f t="shared" si="87"/>
        <v>1232.1174297120344</v>
      </c>
      <c r="H77" s="27">
        <v>0.48715116712887541</v>
      </c>
      <c r="I77" s="59">
        <f>(B77/('Consumidores Inadimplentes'!B113*1000000))</f>
        <v>8.3563826257606211E-3</v>
      </c>
    </row>
    <row r="78" spans="1:16" x14ac:dyDescent="0.35">
      <c r="A78" s="5">
        <v>45717</v>
      </c>
      <c r="B78" s="30">
        <v>639464</v>
      </c>
      <c r="C78" s="30">
        <v>3061915</v>
      </c>
      <c r="D78" s="30">
        <v>3787453477.8199921</v>
      </c>
      <c r="E78" s="34">
        <f t="shared" ref="E78" si="88">C78/B78</f>
        <v>4.7882523488421551</v>
      </c>
      <c r="F78" s="43">
        <f t="shared" ref="F78" si="89">D78/B78</f>
        <v>5922.8564513717611</v>
      </c>
      <c r="G78" s="43">
        <f t="shared" ref="G78" si="90">F78/E78</f>
        <v>1236.9557867608969</v>
      </c>
      <c r="H78" s="27">
        <v>0.4966764687149996</v>
      </c>
      <c r="I78" s="59">
        <f>(B78/('Consumidores Inadimplentes'!B114*1000000))</f>
        <v>8.4395929545875107E-3</v>
      </c>
    </row>
    <row r="79" spans="1:16" x14ac:dyDescent="0.35">
      <c r="A79" s="5">
        <v>45748</v>
      </c>
      <c r="B79" s="30">
        <v>624807</v>
      </c>
      <c r="C79" s="30">
        <v>3016633</v>
      </c>
      <c r="D79" s="30">
        <v>3917550661</v>
      </c>
      <c r="E79" s="34">
        <f t="shared" ref="E79" si="91">C79/B79</f>
        <v>4.8281037184282507</v>
      </c>
      <c r="F79" s="43">
        <f t="shared" ref="F79" si="92">D79/B79</f>
        <v>6270.0172389233794</v>
      </c>
      <c r="G79" s="43">
        <f t="shared" ref="G79" si="93">F79/E79</f>
        <v>1298.6500714538361</v>
      </c>
      <c r="H79" s="27">
        <v>0.48494912670551082</v>
      </c>
      <c r="I79" s="59">
        <f>(B79/('Consumidores Inadimplentes'!B115*1000000))</f>
        <v>8.1526484373767548E-3</v>
      </c>
    </row>
    <row r="80" spans="1:16" x14ac:dyDescent="0.35">
      <c r="A80" s="5">
        <v>45778</v>
      </c>
      <c r="B80" s="30">
        <v>637145</v>
      </c>
      <c r="C80" s="30">
        <v>3060101</v>
      </c>
      <c r="D80" s="30">
        <v>4005810439</v>
      </c>
      <c r="E80" s="34">
        <f t="shared" ref="E80" si="94">C80/B80</f>
        <v>4.8028329501133964</v>
      </c>
      <c r="F80" s="43">
        <f t="shared" ref="F80" si="95">D80/B80</f>
        <v>6287.1252838835744</v>
      </c>
      <c r="G80" s="43">
        <f t="shared" ref="G80" si="96">F80/E80</f>
        <v>1309.0451717116528</v>
      </c>
      <c r="H80" s="27">
        <v>0.49417594554598282</v>
      </c>
      <c r="I80" s="59">
        <f>(B80/('Consumidores Inadimplentes'!B116*1000000))</f>
        <v>8.266850286510273E-3</v>
      </c>
    </row>
    <row r="81" spans="1:16" x14ac:dyDescent="0.35">
      <c r="A81" s="5">
        <v>45809</v>
      </c>
      <c r="B81" s="30">
        <v>639601</v>
      </c>
      <c r="C81" s="30">
        <v>3072872</v>
      </c>
      <c r="D81" s="30">
        <v>4092380999</v>
      </c>
      <c r="E81" s="34">
        <f t="shared" ref="E81" si="97">C81/B81</f>
        <v>4.804357716764045</v>
      </c>
      <c r="F81" s="43">
        <f t="shared" ref="F81" si="98">D81/B81</f>
        <v>6398.3342724604872</v>
      </c>
      <c r="G81" s="43">
        <f t="shared" ref="G81" si="99">F81/E81</f>
        <v>1331.7772425925975</v>
      </c>
      <c r="H81" s="27">
        <v>0.49573018554975118</v>
      </c>
      <c r="I81" s="59">
        <f>(B81/('Consumidores Inadimplentes'!B117*1000000))</f>
        <v>8.2132172520079372E-3</v>
      </c>
    </row>
    <row r="82" spans="1:16" x14ac:dyDescent="0.35">
      <c r="A82" s="5">
        <v>45839</v>
      </c>
      <c r="B82" s="30">
        <v>641044</v>
      </c>
      <c r="C82" s="30">
        <v>3065472</v>
      </c>
      <c r="D82" s="30">
        <v>4123688459</v>
      </c>
      <c r="E82" s="34">
        <f t="shared" ref="E82" si="100">C82/B82</f>
        <v>4.7819993635382279</v>
      </c>
      <c r="F82" s="43">
        <f t="shared" ref="F82" si="101">D82/B82</f>
        <v>6432.7697615140305</v>
      </c>
      <c r="G82" s="43">
        <f t="shared" ref="G82" si="102">F82/E82</f>
        <v>1345.205064342457</v>
      </c>
      <c r="H82" s="27">
        <v>0.49649764702602056</v>
      </c>
      <c r="I82" s="59">
        <f>(B82/('Consumidores Inadimplentes'!B118*1000000))</f>
        <v>8.2015644977746945E-3</v>
      </c>
    </row>
    <row r="83" spans="1:16" x14ac:dyDescent="0.35">
      <c r="A83" s="5">
        <v>45870</v>
      </c>
      <c r="B83" s="30">
        <v>642787</v>
      </c>
      <c r="C83" s="30">
        <v>3070031</v>
      </c>
      <c r="D83" s="30">
        <v>4196887531</v>
      </c>
      <c r="E83" s="34">
        <f t="shared" ref="E83" si="103">C83/B83</f>
        <v>4.7761249060730853</v>
      </c>
      <c r="F83" s="43">
        <f t="shared" ref="F83" si="104">D83/B83</f>
        <v>6529.2041236054865</v>
      </c>
      <c r="G83" s="43">
        <f t="shared" ref="G83" si="105">F83/E83</f>
        <v>1367.0505382518936</v>
      </c>
      <c r="H83" s="27">
        <v>0.49751431311373012</v>
      </c>
      <c r="I83" s="59">
        <f>(B83/('Consumidores Inadimplentes'!B119*1000000))</f>
        <v>8.1521424480508857E-3</v>
      </c>
    </row>
    <row r="84" spans="1:16" x14ac:dyDescent="0.35">
      <c r="A84" s="5">
        <v>45901</v>
      </c>
      <c r="B84" s="30">
        <v>644718</v>
      </c>
      <c r="C84" s="30">
        <v>3061770</v>
      </c>
      <c r="D84" s="30">
        <v>4244981754</v>
      </c>
      <c r="E84" s="34">
        <f>IFERROR(C84/B84,"")</f>
        <v>4.7490065423952794</v>
      </c>
      <c r="F84" s="43">
        <f>IFERROR(D84/B84,"")</f>
        <v>6584.2457539575444</v>
      </c>
      <c r="G84" s="43">
        <f>IFERROR(F84/E84,"")</f>
        <v>1386.4469747890928</v>
      </c>
      <c r="H84" s="27">
        <v>0.49867464688834007</v>
      </c>
      <c r="I84" s="59">
        <f>(B84/('Consumidores Inadimplentes'!B120*1000000))</f>
        <v>8.1437769639028171E-3</v>
      </c>
    </row>
    <row r="85" spans="1:16" x14ac:dyDescent="0.35">
      <c r="A85" s="5">
        <v>45931</v>
      </c>
      <c r="B85" s="30">
        <v>661378</v>
      </c>
      <c r="C85" s="30">
        <v>3144636</v>
      </c>
      <c r="D85" s="30">
        <v>4339587589</v>
      </c>
      <c r="E85" s="34">
        <f t="shared" ref="E85:E87" si="106">IFERROR(C85/B85,"")</f>
        <v>4.7546728194769106</v>
      </c>
      <c r="F85" s="43">
        <f t="shared" ref="F85:F87" si="107">IFERROR(D85/B85,"")</f>
        <v>6561.4332333400871</v>
      </c>
      <c r="G85" s="43">
        <f t="shared" ref="G85:G87" si="108">IFERROR(F85/E85,"")</f>
        <v>1379.9967910435421</v>
      </c>
      <c r="H85" s="27">
        <v>0.51121834634610497</v>
      </c>
      <c r="I85" s="59">
        <f>(B85/('Consumidores Inadimplentes'!B121*1000000))</f>
        <v>8.2223584676674021E-3</v>
      </c>
    </row>
    <row r="86" spans="1:16" x14ac:dyDescent="0.35">
      <c r="A86" s="5">
        <v>45962</v>
      </c>
      <c r="B86" s="30">
        <v>664423</v>
      </c>
      <c r="C86" s="30">
        <v>3140952</v>
      </c>
      <c r="D86" s="30">
        <v>4391415747</v>
      </c>
      <c r="E86" s="34">
        <f t="shared" si="106"/>
        <v>4.7273378555528636</v>
      </c>
      <c r="F86" s="43">
        <f t="shared" si="107"/>
        <v>6609.3674466416724</v>
      </c>
      <c r="G86" s="43">
        <f t="shared" si="108"/>
        <v>1398.1161593682423</v>
      </c>
      <c r="H86" s="27">
        <v>0.51322806497162055</v>
      </c>
      <c r="I86" s="59">
        <f>(B86/('Consumidores Inadimplentes'!B122*1000000))</f>
        <v>8.2424526049950271E-3</v>
      </c>
    </row>
    <row r="87" spans="1:16" ht="15" thickBot="1" x14ac:dyDescent="0.4">
      <c r="A87" s="12">
        <v>45992</v>
      </c>
      <c r="B87" s="31">
        <v>659189</v>
      </c>
      <c r="C87" s="31">
        <v>3139319</v>
      </c>
      <c r="D87" s="31">
        <v>4436626840</v>
      </c>
      <c r="E87" s="35">
        <f t="shared" si="106"/>
        <v>4.7623959137667651</v>
      </c>
      <c r="F87" s="46">
        <f t="shared" si="107"/>
        <v>6730.4321522355503</v>
      </c>
      <c r="G87" s="46">
        <f t="shared" si="108"/>
        <v>1413.2449872090094</v>
      </c>
      <c r="H87" s="28">
        <v>0.50884432824403325</v>
      </c>
      <c r="I87" s="59">
        <f>(B87/('Consumidores Inadimplentes'!B123*1000000))</f>
        <v>8.1132934987606341E-3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675427</v>
      </c>
      <c r="C88" s="29">
        <v>3257001</v>
      </c>
      <c r="D88" s="29">
        <v>4668555333</v>
      </c>
      <c r="E88" s="33">
        <f t="shared" ref="E88:E89" si="109">IFERROR(C88/B88,"")</f>
        <v>4.8221362190140455</v>
      </c>
      <c r="F88" s="45">
        <f t="shared" ref="F88:F89" si="110">IFERROR(D88/B88,"")</f>
        <v>6912.0057874500135</v>
      </c>
      <c r="G88" s="45">
        <f t="shared" ref="G88:G89" si="111">IFERROR(F88/E88,"")</f>
        <v>1433.3908196528034</v>
      </c>
      <c r="H88" s="26">
        <v>0.52102973700389787</v>
      </c>
      <c r="I88" s="59">
        <f>(B88/('Consumidores Inadimplentes'!B124*1000000))</f>
        <v>8.3058600591325565E-3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675960</v>
      </c>
      <c r="C89" s="30">
        <v>3259413</v>
      </c>
      <c r="D89" s="30">
        <v>4774672218</v>
      </c>
      <c r="E89" s="34">
        <f t="shared" si="109"/>
        <v>4.8219021835611571</v>
      </c>
      <c r="F89" s="43">
        <f t="shared" si="110"/>
        <v>7063.5425439375113</v>
      </c>
      <c r="G89" s="43">
        <f t="shared" si="111"/>
        <v>1464.8871493118547</v>
      </c>
      <c r="H89" s="27">
        <v>0.52109198357383868</v>
      </c>
      <c r="I89" s="59">
        <f>(B89/('Consumidores Inadimplentes'!B125*1000000))</f>
        <v>8.2704533685469938E-3</v>
      </c>
    </row>
    <row r="90" spans="1:16" x14ac:dyDescent="0.35">
      <c r="A90" s="5">
        <v>46082</v>
      </c>
      <c r="B90" s="30">
        <v>693019</v>
      </c>
      <c r="C90" s="30">
        <v>3339912</v>
      </c>
      <c r="D90" s="30">
        <v>4983993613</v>
      </c>
      <c r="E90" s="34">
        <f t="shared" ref="E90" si="112">IFERROR(C90/B90,"")</f>
        <v>4.8193657028162287</v>
      </c>
      <c r="F90" s="43">
        <f t="shared" ref="F90" si="113">IFERROR(D90/B90,"")</f>
        <v>7191.7128000819603</v>
      </c>
      <c r="G90" s="43">
        <f t="shared" ref="G90" si="114">IFERROR(F90/E90,"")</f>
        <v>1492.2529734316354</v>
      </c>
      <c r="H90" s="27">
        <v>0.53388497366855969</v>
      </c>
      <c r="I90" s="59">
        <f>(B90/('Consumidores Inadimplentes'!B126*1000000))</f>
        <v>8.3665116385308273E-3</v>
      </c>
    </row>
    <row r="91" spans="1:16" x14ac:dyDescent="0.35">
      <c r="A91" s="5">
        <v>46113</v>
      </c>
      <c r="B91" s="30">
        <v>693921</v>
      </c>
      <c r="C91" s="30">
        <v>3361071</v>
      </c>
      <c r="D91" s="30">
        <v>5079072645</v>
      </c>
      <c r="E91" s="34">
        <f t="shared" ref="E91" si="115">IFERROR(C91/B91,"")</f>
        <v>4.8435931467703099</v>
      </c>
      <c r="F91" s="43">
        <f t="shared" ref="F91" si="116">IFERROR(D91/B91,"")</f>
        <v>7319.3816659245076</v>
      </c>
      <c r="G91" s="43">
        <f t="shared" ref="G91" si="117">IFERROR(F91/E91,"")</f>
        <v>1511.1470852594307</v>
      </c>
      <c r="H91" s="27">
        <v>0.5342218027342337</v>
      </c>
      <c r="I91" s="59">
        <f>(B91/('Consumidores Inadimplentes'!B127*1000000))</f>
        <v>8.3214740826365128E-3</v>
      </c>
    </row>
    <row r="92" spans="1:16" x14ac:dyDescent="0.35">
      <c r="A92" s="5">
        <v>46143</v>
      </c>
      <c r="B92" s="30">
        <v>699820</v>
      </c>
      <c r="C92" s="30">
        <v>3395771</v>
      </c>
      <c r="D92" s="30">
        <v>5157206485</v>
      </c>
      <c r="E92" s="34">
        <f t="shared" ref="E92" si="118">IFERROR(C92/B92,"")</f>
        <v>4.8523491755022716</v>
      </c>
      <c r="F92" s="43">
        <f t="shared" ref="F92" si="119">IFERROR(D92/B92,"")</f>
        <v>7369.3328070075158</v>
      </c>
      <c r="G92" s="43">
        <f t="shared" ref="G92" si="120">IFERROR(F92/E92,"")</f>
        <v>1518.7144495314908</v>
      </c>
      <c r="H92" s="27">
        <v>0.53840259484477704</v>
      </c>
      <c r="I92" s="59">
        <f>(B92/('Consumidores Inadimplentes'!B128*1000000))</f>
        <v>8.3807921947953723E-3</v>
      </c>
    </row>
    <row r="93" spans="1:16" x14ac:dyDescent="0.35">
      <c r="A93" s="5">
        <v>46174</v>
      </c>
      <c r="B93" s="30">
        <v>700750</v>
      </c>
      <c r="C93" s="30">
        <v>3398512</v>
      </c>
      <c r="D93" s="30">
        <v>5218193682</v>
      </c>
      <c r="E93" s="34">
        <f t="shared" ref="E93" si="121">IFERROR(C93/B93,"")</f>
        <v>4.849820906171959</v>
      </c>
      <c r="F93" s="43">
        <f t="shared" ref="F93" si="122">IFERROR(D93/B93,"")</f>
        <v>7446.5839200856226</v>
      </c>
      <c r="G93" s="43">
        <f t="shared" ref="G93" si="123">IFERROR(F93/E93,"")</f>
        <v>1535.4348261827529</v>
      </c>
      <c r="H93" s="27">
        <v>0.53875706457934658</v>
      </c>
      <c r="I93" s="59">
        <f>(B93/('Consumidores Inadimplentes'!B129*1000000))</f>
        <v>8.3684039019368515E-3</v>
      </c>
    </row>
    <row r="94" spans="1:16" x14ac:dyDescent="0.35">
      <c r="A94" s="5">
        <v>46204</v>
      </c>
      <c r="B94" s="30">
        <v>699886</v>
      </c>
      <c r="C94" s="30">
        <v>3403496</v>
      </c>
      <c r="D94" s="30">
        <v>5242561331</v>
      </c>
      <c r="E94" s="34">
        <f t="shared" ref="E94" si="124">IFERROR(C94/B94,"")</f>
        <v>4.862929105597197</v>
      </c>
      <c r="F94" s="43">
        <f t="shared" ref="F94" si="125">IFERROR(D94/B94,"")</f>
        <v>7490.5932266111913</v>
      </c>
      <c r="G94" s="43">
        <f t="shared" ref="G94" si="126">IFERROR(F94/E94,"")</f>
        <v>1540.3459651487765</v>
      </c>
      <c r="H94" s="27">
        <v>0.53773270331527789</v>
      </c>
      <c r="I94" s="59">
        <f>(B94/('Consumidores Inadimplentes'!B130*1000000))</f>
        <v>8.3387347349788907E-3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60DB-18F8-42BE-B710-1A8C7CBB6D54}">
  <sheetPr codeName="Planilha27"/>
  <dimension ref="A1:P99"/>
  <sheetViews>
    <sheetView zoomScale="90" zoomScaleNormal="90" workbookViewId="0">
      <pane xSplit="1" ySplit="3" topLeftCell="B84" activePane="bottomRight" state="frozen"/>
      <selection activeCell="H93" sqref="H93"/>
      <selection pane="topRight" activeCell="H93" sqref="H93"/>
      <selection pane="bottomLeft" activeCell="H93" sqref="H93"/>
      <selection pane="bottomRight" activeCell="I1" sqref="I1:I104857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41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191893</v>
      </c>
      <c r="C4" s="29">
        <v>944244</v>
      </c>
      <c r="D4" s="29">
        <v>743248873.57000196</v>
      </c>
      <c r="E4" s="33">
        <f t="shared" ref="E4:E33" si="0">C4/B4</f>
        <v>4.9206797538211395</v>
      </c>
      <c r="F4" s="45">
        <f>D4/B4</f>
        <v>3873.2464111249601</v>
      </c>
      <c r="G4" s="45">
        <f t="shared" ref="G4" si="1">F4/E4</f>
        <v>787.13645368146581</v>
      </c>
      <c r="H4" s="26">
        <v>0.4991784414749697</v>
      </c>
      <c r="I4" s="58">
        <f>(B4/('Consumidores Inadimplentes'!B40*1000000))</f>
        <v>3.0862680044027647E-3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203211</v>
      </c>
      <c r="C5" s="30">
        <v>1023880</v>
      </c>
      <c r="D5" s="30">
        <v>752725248.76000559</v>
      </c>
      <c r="E5" s="34">
        <f t="shared" si="0"/>
        <v>5.0385067737474838</v>
      </c>
      <c r="F5" s="43">
        <f t="shared" ref="F5:F46" si="2">D5/B5</f>
        <v>3704.1560189163265</v>
      </c>
      <c r="G5" s="43">
        <f t="shared" ref="G5:G46" si="3">F5/E5</f>
        <v>735.16940340665474</v>
      </c>
      <c r="H5" s="27">
        <v>0.52613568378272435</v>
      </c>
      <c r="I5" s="59">
        <f>(B5/('Consumidores Inadimplentes'!B41*1000000))</f>
        <v>3.2684817693006871E-3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205871</v>
      </c>
      <c r="C6" s="30">
        <v>1106349</v>
      </c>
      <c r="D6" s="30">
        <v>791563244.65000486</v>
      </c>
      <c r="E6" s="34">
        <f t="shared" si="0"/>
        <v>5.3739914801016173</v>
      </c>
      <c r="F6" s="43">
        <f t="shared" si="2"/>
        <v>3844.947781134812</v>
      </c>
      <c r="G6" s="43">
        <f t="shared" si="3"/>
        <v>715.47336749073293</v>
      </c>
      <c r="H6" s="27">
        <v>0.53040084572237933</v>
      </c>
      <c r="I6" s="59">
        <f>(B6/('Consumidores Inadimplentes'!B42*1000000))</f>
        <v>3.2698655517930482E-3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202056</v>
      </c>
      <c r="C7" s="30">
        <v>1073705</v>
      </c>
      <c r="D7" s="30">
        <v>791090626.06000388</v>
      </c>
      <c r="E7" s="34">
        <f t="shared" si="0"/>
        <v>5.3138981272518508</v>
      </c>
      <c r="F7" s="43">
        <f t="shared" si="2"/>
        <v>3915.2048247020821</v>
      </c>
      <c r="G7" s="43">
        <f t="shared" si="3"/>
        <v>736.78582670286892</v>
      </c>
      <c r="H7" s="27">
        <v>0.51752081434447261</v>
      </c>
      <c r="I7" s="59">
        <f>(B7/('Consumidores Inadimplentes'!B43*1000000))</f>
        <v>3.196815259657228E-3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199614</v>
      </c>
      <c r="C8" s="30">
        <v>1024542</v>
      </c>
      <c r="D8" s="30">
        <v>798693870.08000541</v>
      </c>
      <c r="E8" s="34">
        <f t="shared" si="0"/>
        <v>5.1326159487811474</v>
      </c>
      <c r="F8" s="43">
        <f t="shared" si="2"/>
        <v>4001.1916502850772</v>
      </c>
      <c r="G8" s="43">
        <f t="shared" si="3"/>
        <v>779.56186284213379</v>
      </c>
      <c r="H8" s="27">
        <v>0.50700643738663442</v>
      </c>
      <c r="I8" s="59">
        <f>(B8/('Consumidores Inadimplentes'!B44*1000000))</f>
        <v>3.1497467464064754E-3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198464</v>
      </c>
      <c r="C9" s="30">
        <v>1003594</v>
      </c>
      <c r="D9" s="30">
        <v>794814568.14000463</v>
      </c>
      <c r="E9" s="34">
        <f t="shared" si="0"/>
        <v>5.0568062721702676</v>
      </c>
      <c r="F9" s="43">
        <f t="shared" si="2"/>
        <v>4004.8299345977339</v>
      </c>
      <c r="G9" s="43">
        <f t="shared" si="3"/>
        <v>791.96823430590928</v>
      </c>
      <c r="H9" s="27">
        <v>0.50286014726661932</v>
      </c>
      <c r="I9" s="59">
        <f>(B9/('Consumidores Inadimplentes'!B45*1000000))</f>
        <v>3.1278515794835671E-3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191911</v>
      </c>
      <c r="C10" s="30">
        <v>772843</v>
      </c>
      <c r="D10" s="30">
        <v>746963967.21000636</v>
      </c>
      <c r="E10" s="34">
        <f t="shared" si="0"/>
        <v>4.0270906826601918</v>
      </c>
      <c r="F10" s="43">
        <f t="shared" si="2"/>
        <v>3892.2415453517847</v>
      </c>
      <c r="G10" s="43">
        <f t="shared" si="3"/>
        <v>966.514501923426</v>
      </c>
      <c r="H10" s="27">
        <v>0.48350683746280709</v>
      </c>
      <c r="I10" s="59">
        <f>(B10/('Consumidores Inadimplentes'!B46*1000000))</f>
        <v>3.0239649430518719E-3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196653</v>
      </c>
      <c r="C11" s="30">
        <v>890325</v>
      </c>
      <c r="D11" s="30">
        <v>785299698.46000552</v>
      </c>
      <c r="E11" s="34">
        <f t="shared" si="0"/>
        <v>4.5273908864853318</v>
      </c>
      <c r="F11" s="43">
        <f t="shared" si="2"/>
        <v>3993.3268165754171</v>
      </c>
      <c r="G11" s="43">
        <f t="shared" si="3"/>
        <v>882.0371195462393</v>
      </c>
      <c r="H11" s="27">
        <v>0.49284860393019775</v>
      </c>
      <c r="I11" s="59">
        <f>(B11/('Consumidores Inadimplentes'!B47*1000000))</f>
        <v>3.1004160485176729E-3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202272</v>
      </c>
      <c r="C12" s="30">
        <v>1016670</v>
      </c>
      <c r="D12" s="30">
        <v>806678724.72000694</v>
      </c>
      <c r="E12" s="34">
        <f t="shared" si="0"/>
        <v>5.0262517797816804</v>
      </c>
      <c r="F12" s="43">
        <f t="shared" si="2"/>
        <v>3988.0889333175473</v>
      </c>
      <c r="G12" s="43">
        <f t="shared" si="3"/>
        <v>793.45188184957453</v>
      </c>
      <c r="H12" s="27">
        <v>0.50512184036639518</v>
      </c>
      <c r="I12" s="59">
        <f>(B12/('Consumidores Inadimplentes'!B48*1000000))</f>
        <v>3.200171678249659E-3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202068</v>
      </c>
      <c r="C13" s="30">
        <v>1011688</v>
      </c>
      <c r="D13" s="30">
        <v>806362847.54000652</v>
      </c>
      <c r="E13" s="34">
        <f t="shared" si="0"/>
        <v>5.0066710216362811</v>
      </c>
      <c r="F13" s="43">
        <f t="shared" si="2"/>
        <v>3990.5519307362201</v>
      </c>
      <c r="G13" s="43">
        <f t="shared" si="3"/>
        <v>797.0469626406624</v>
      </c>
      <c r="H13" s="27">
        <v>0.50281181259891106</v>
      </c>
      <c r="I13" s="59">
        <f>(B13/('Consumidores Inadimplentes'!B49*1000000))</f>
        <v>3.1646599503440879E-3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204130</v>
      </c>
      <c r="C14" s="30">
        <v>1033073</v>
      </c>
      <c r="D14" s="30">
        <v>822256873.58000839</v>
      </c>
      <c r="E14" s="34">
        <f t="shared" si="0"/>
        <v>5.0608582765884487</v>
      </c>
      <c r="F14" s="43">
        <f t="shared" si="2"/>
        <v>4028.1040198893274</v>
      </c>
      <c r="G14" s="43">
        <f t="shared" si="3"/>
        <v>795.93298206419911</v>
      </c>
      <c r="H14" s="27">
        <v>0.5061304439457992</v>
      </c>
      <c r="I14" s="59">
        <f>(B14/('Consumidores Inadimplentes'!B50*1000000))</f>
        <v>3.1974765796157728E-3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200532</v>
      </c>
      <c r="C15" s="31">
        <v>855236</v>
      </c>
      <c r="D15" s="31">
        <v>798069721.75000787</v>
      </c>
      <c r="E15" s="35">
        <f t="shared" si="0"/>
        <v>4.2648355374703293</v>
      </c>
      <c r="F15" s="43">
        <f t="shared" si="2"/>
        <v>3979.7624406578893</v>
      </c>
      <c r="G15" s="43">
        <f t="shared" si="3"/>
        <v>933.15730599507947</v>
      </c>
      <c r="H15" s="27">
        <v>0.49543555547869228</v>
      </c>
      <c r="I15" s="59">
        <f>(B15/('Consumidores Inadimplentes'!B51*1000000))</f>
        <v>3.1675946343222776E-3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204196</v>
      </c>
      <c r="C16" s="29">
        <v>1017110</v>
      </c>
      <c r="D16" s="29">
        <v>768094738.30000603</v>
      </c>
      <c r="E16" s="33">
        <f t="shared" si="0"/>
        <v>4.9810476209132402</v>
      </c>
      <c r="F16" s="45">
        <f t="shared" si="2"/>
        <v>3761.5562415522636</v>
      </c>
      <c r="G16" s="45">
        <f t="shared" si="3"/>
        <v>755.17371601892228</v>
      </c>
      <c r="H16" s="26">
        <v>0.50268827792657944</v>
      </c>
      <c r="I16" s="59">
        <f>(B16/('Consumidores Inadimplentes'!B52*1000000))</f>
        <v>3.2014494289643721E-3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203857</v>
      </c>
      <c r="C17" s="30">
        <v>1027614</v>
      </c>
      <c r="D17" s="30">
        <v>751669138.69000471</v>
      </c>
      <c r="E17" s="34">
        <f t="shared" si="0"/>
        <v>5.0408570713784666</v>
      </c>
      <c r="F17" s="43">
        <f t="shared" si="2"/>
        <v>3687.2373217010195</v>
      </c>
      <c r="G17" s="43">
        <f t="shared" si="3"/>
        <v>731.47031734679035</v>
      </c>
      <c r="H17" s="27">
        <v>0.50006255166644997</v>
      </c>
      <c r="I17" s="59">
        <f>(B17/('Consumidores Inadimplentes'!B53*1000000))</f>
        <v>3.1907649582612659E-3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204116</v>
      </c>
      <c r="C18" s="30">
        <v>1028573</v>
      </c>
      <c r="D18" s="30">
        <v>763625257.24000502</v>
      </c>
      <c r="E18" s="34">
        <f t="shared" si="0"/>
        <v>5.0391591056066156</v>
      </c>
      <c r="F18" s="43">
        <f t="shared" si="2"/>
        <v>3741.1337535519265</v>
      </c>
      <c r="G18" s="43">
        <f t="shared" si="3"/>
        <v>742.41231029786422</v>
      </c>
      <c r="H18" s="27">
        <v>0.49891108541929935</v>
      </c>
      <c r="I18" s="59">
        <f>(B18/('Consumidores Inadimplentes'!B54*1000000))</f>
        <v>3.1493237160742319E-3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204428</v>
      </c>
      <c r="C19" s="30">
        <v>1012158</v>
      </c>
      <c r="D19" s="30">
        <v>743375081.1200043</v>
      </c>
      <c r="E19" s="34">
        <f t="shared" si="0"/>
        <v>4.9511710724558275</v>
      </c>
      <c r="F19" s="43">
        <f t="shared" si="2"/>
        <v>3636.3662566771886</v>
      </c>
      <c r="G19" s="43">
        <f t="shared" si="3"/>
        <v>734.44569041592752</v>
      </c>
      <c r="H19" s="27">
        <v>0.49789082973686516</v>
      </c>
      <c r="I19" s="59">
        <f>(B19/('Consumidores Inadimplentes'!B55*1000000))</f>
        <v>3.101688744408697E-3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205930</v>
      </c>
      <c r="C20" s="30">
        <v>1003388</v>
      </c>
      <c r="D20" s="30">
        <v>735673775.57000303</v>
      </c>
      <c r="E20" s="34">
        <f t="shared" si="0"/>
        <v>4.872471228087214</v>
      </c>
      <c r="F20" s="43">
        <f t="shared" si="2"/>
        <v>3572.4458581556987</v>
      </c>
      <c r="G20" s="43">
        <f t="shared" si="3"/>
        <v>733.18972876893395</v>
      </c>
      <c r="H20" s="27">
        <v>0.49975974256051331</v>
      </c>
      <c r="I20" s="59">
        <f>(B20/('Consumidores Inadimplentes'!B56*1000000))</f>
        <v>3.1568889493296254E-3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203025</v>
      </c>
      <c r="C21" s="30">
        <v>982101</v>
      </c>
      <c r="D21" s="30">
        <v>726340997.11000443</v>
      </c>
      <c r="E21" s="34">
        <f t="shared" si="0"/>
        <v>4.8373402290358332</v>
      </c>
      <c r="F21" s="43">
        <f t="shared" si="2"/>
        <v>3577.5938781431078</v>
      </c>
      <c r="G21" s="43">
        <f t="shared" si="3"/>
        <v>739.57871655767019</v>
      </c>
      <c r="H21" s="27">
        <v>0.48919918557160585</v>
      </c>
      <c r="I21" s="59">
        <f>(B21/('Consumidores Inadimplentes'!B57*1000000))</f>
        <v>3.172231374814375E-3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199667</v>
      </c>
      <c r="C22" s="30">
        <v>949146</v>
      </c>
      <c r="D22" s="30">
        <v>726715219.31000197</v>
      </c>
      <c r="E22" s="34">
        <f t="shared" si="0"/>
        <v>4.7536448186230071</v>
      </c>
      <c r="F22" s="43">
        <f t="shared" si="2"/>
        <v>3639.6360906409268</v>
      </c>
      <c r="G22" s="43">
        <f t="shared" si="3"/>
        <v>765.65166930061548</v>
      </c>
      <c r="H22" s="27">
        <v>0.48005299006796864</v>
      </c>
      <c r="I22" s="59">
        <f>(B22/('Consumidores Inadimplentes'!B58*1000000))</f>
        <v>3.1442073710795377E-3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198716</v>
      </c>
      <c r="C23" s="30">
        <v>931474</v>
      </c>
      <c r="D23" s="30">
        <v>728543770.0500015</v>
      </c>
      <c r="E23" s="34">
        <f t="shared" si="0"/>
        <v>4.6874635157712516</v>
      </c>
      <c r="F23" s="43">
        <f t="shared" si="2"/>
        <v>3666.2562151512789</v>
      </c>
      <c r="G23" s="43">
        <f t="shared" si="3"/>
        <v>782.14074687001619</v>
      </c>
      <c r="H23" s="27">
        <v>0.4767189407951713</v>
      </c>
      <c r="I23" s="59">
        <f>(B23/('Consumidores Inadimplentes'!B59*1000000))</f>
        <v>3.1516993119365035E-3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198487</v>
      </c>
      <c r="C24" s="30">
        <v>938395</v>
      </c>
      <c r="D24" s="30">
        <v>724825209.10000014</v>
      </c>
      <c r="E24" s="34">
        <f t="shared" si="0"/>
        <v>4.7277403557915632</v>
      </c>
      <c r="F24" s="43">
        <f t="shared" si="2"/>
        <v>3651.7515459450751</v>
      </c>
      <c r="G24" s="43">
        <f t="shared" si="3"/>
        <v>772.409496107716</v>
      </c>
      <c r="H24" s="27">
        <v>0.47512549161354567</v>
      </c>
      <c r="I24" s="59">
        <f>(B24/('Consumidores Inadimplentes'!B60*1000000))</f>
        <v>3.1624695530629594E-3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200187</v>
      </c>
      <c r="C25" s="30">
        <v>940296</v>
      </c>
      <c r="D25" s="30">
        <v>726354893.98000026</v>
      </c>
      <c r="E25" s="34">
        <f t="shared" si="0"/>
        <v>4.697088222511951</v>
      </c>
      <c r="F25" s="43">
        <f t="shared" si="2"/>
        <v>3628.38193279284</v>
      </c>
      <c r="G25" s="43">
        <f t="shared" si="3"/>
        <v>772.47472495894942</v>
      </c>
      <c r="H25" s="27">
        <v>0.4781441452200394</v>
      </c>
      <c r="I25" s="59">
        <f>(B25/('Consumidores Inadimplentes'!B61*1000000))</f>
        <v>3.2143174030816353E-3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196731</v>
      </c>
      <c r="C26" s="30">
        <v>921001</v>
      </c>
      <c r="D26" s="30">
        <v>717972606.80999923</v>
      </c>
      <c r="E26" s="34">
        <f t="shared" si="0"/>
        <v>4.6815245182508098</v>
      </c>
      <c r="F26" s="43">
        <f t="shared" si="2"/>
        <v>3649.5143460359536</v>
      </c>
      <c r="G26" s="43">
        <f t="shared" si="3"/>
        <v>779.55681569292449</v>
      </c>
      <c r="H26" s="27">
        <v>0.46885925714081433</v>
      </c>
      <c r="I26" s="59">
        <f>(B26/('Consumidores Inadimplentes'!B62*1000000))</f>
        <v>3.1757084414543862E-3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193468</v>
      </c>
      <c r="C27" s="31">
        <v>889967</v>
      </c>
      <c r="D27" s="31">
        <v>699188181.65000474</v>
      </c>
      <c r="E27" s="35">
        <f t="shared" si="0"/>
        <v>4.6000733971509504</v>
      </c>
      <c r="F27" s="46">
        <f t="shared" si="2"/>
        <v>3613.9732754254178</v>
      </c>
      <c r="G27" s="46">
        <f t="shared" si="3"/>
        <v>785.6338287262389</v>
      </c>
      <c r="H27" s="28">
        <v>0.46007176879888328</v>
      </c>
      <c r="I27" s="59">
        <f>(B27/('Consumidores Inadimplentes'!B63*1000000))</f>
        <v>3.1529327703268524E-3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192841</v>
      </c>
      <c r="C28" s="29">
        <v>876375</v>
      </c>
      <c r="D28" s="29">
        <v>696072206.55000281</v>
      </c>
      <c r="E28" s="33">
        <f t="shared" si="0"/>
        <v>4.5445470620874193</v>
      </c>
      <c r="F28" s="45">
        <f t="shared" si="2"/>
        <v>3609.5654272172555</v>
      </c>
      <c r="G28" s="45">
        <f t="shared" si="3"/>
        <v>794.26296568250211</v>
      </c>
      <c r="H28" s="26">
        <v>0.45757531896516951</v>
      </c>
      <c r="I28" s="59">
        <f>(B28/('Consumidores Inadimplentes'!B64*1000000))</f>
        <v>3.1270153346356876E-3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193040</v>
      </c>
      <c r="C29" s="30">
        <v>872966</v>
      </c>
      <c r="D29" s="30">
        <v>698883208.89000273</v>
      </c>
      <c r="E29" s="34">
        <f t="shared" si="0"/>
        <v>4.5222026523000416</v>
      </c>
      <c r="F29" s="43">
        <f t="shared" si="2"/>
        <v>3620.4061794964914</v>
      </c>
      <c r="G29" s="43">
        <f t="shared" si="3"/>
        <v>800.5846835844726</v>
      </c>
      <c r="H29" s="27">
        <v>0.45704328226400265</v>
      </c>
      <c r="I29" s="59">
        <f>(B29/('Consumidores Inadimplentes'!B65*1000000))</f>
        <v>3.1360561147400143E-3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198291</v>
      </c>
      <c r="C30" s="30">
        <v>887307</v>
      </c>
      <c r="D30" s="30">
        <v>726308790.71000338</v>
      </c>
      <c r="E30" s="34">
        <f t="shared" si="0"/>
        <v>4.4747719261085983</v>
      </c>
      <c r="F30" s="43">
        <f t="shared" si="2"/>
        <v>3662.8429465280997</v>
      </c>
      <c r="G30" s="43">
        <f t="shared" si="3"/>
        <v>818.55410890481346</v>
      </c>
      <c r="H30" s="27">
        <v>0.46844635537863666</v>
      </c>
      <c r="I30" s="59">
        <f>(B30/('Consumidores Inadimplentes'!B66*1000000))</f>
        <v>3.1697483011304205E-3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200623</v>
      </c>
      <c r="C31" s="30">
        <v>889654</v>
      </c>
      <c r="D31" s="30">
        <v>732128660.89000487</v>
      </c>
      <c r="E31" s="34">
        <f t="shared" si="0"/>
        <v>4.4344566674807977</v>
      </c>
      <c r="F31" s="43">
        <f t="shared" si="2"/>
        <v>3649.2758103009369</v>
      </c>
      <c r="G31" s="43">
        <f t="shared" si="3"/>
        <v>822.9364009940997</v>
      </c>
      <c r="H31" s="27">
        <v>0.47291649478460723</v>
      </c>
      <c r="I31" s="59">
        <f>(B31/('Consumidores Inadimplentes'!B67*1000000))</f>
        <v>3.1854238252420884E-3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200524</v>
      </c>
      <c r="C32" s="30">
        <v>898816</v>
      </c>
      <c r="D32" s="30">
        <v>736486176.85000491</v>
      </c>
      <c r="E32" s="34">
        <f t="shared" si="0"/>
        <v>4.4823362789491537</v>
      </c>
      <c r="F32" s="43">
        <f t="shared" si="2"/>
        <v>3672.8081269573963</v>
      </c>
      <c r="G32" s="43">
        <f t="shared" si="3"/>
        <v>819.3959351524727</v>
      </c>
      <c r="H32" s="27">
        <v>0.47164694454048739</v>
      </c>
      <c r="I32" s="59">
        <f>(B32/('Consumidores Inadimplentes'!B68*1000000))</f>
        <v>3.2053681332308058E-3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200087</v>
      </c>
      <c r="C33" s="30">
        <v>895315</v>
      </c>
      <c r="D33" s="30">
        <v>726470913.17000818</v>
      </c>
      <c r="E33" s="34">
        <f t="shared" si="0"/>
        <v>4.474628536586585</v>
      </c>
      <c r="F33" s="43">
        <f t="shared" si="2"/>
        <v>3630.7751786473295</v>
      </c>
      <c r="G33" s="43">
        <f t="shared" si="3"/>
        <v>811.41376294377756</v>
      </c>
      <c r="H33" s="27">
        <v>0.46958748248613558</v>
      </c>
      <c r="I33" s="59">
        <f>(B33/('Consumidores Inadimplentes'!B69*1000000))</f>
        <v>3.2009089444293782E-3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201023</v>
      </c>
      <c r="C34" s="30">
        <v>894781</v>
      </c>
      <c r="D34" s="30">
        <v>724800669.84000719</v>
      </c>
      <c r="E34" s="34">
        <f>C34/B34</f>
        <v>4.4511374320351402</v>
      </c>
      <c r="F34" s="43">
        <f t="shared" si="2"/>
        <v>3605.5609051700908</v>
      </c>
      <c r="G34" s="43">
        <f t="shared" si="3"/>
        <v>810.03135944997393</v>
      </c>
      <c r="H34" s="27">
        <v>0.47178862532769128</v>
      </c>
      <c r="I34" s="59">
        <f>(B34/('Consumidores Inadimplentes'!B70*1000000))</f>
        <v>3.2306478771398865E-3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200885</v>
      </c>
      <c r="C35" s="30">
        <v>885852</v>
      </c>
      <c r="D35" s="30">
        <v>724950930.20000577</v>
      </c>
      <c r="E35" s="34">
        <f>C35/B35</f>
        <v>4.4097468700998084</v>
      </c>
      <c r="F35" s="43">
        <f t="shared" si="2"/>
        <v>3608.7857739502988</v>
      </c>
      <c r="G35" s="43">
        <f t="shared" si="3"/>
        <v>818.36574303608927</v>
      </c>
      <c r="H35" s="27">
        <v>0.47014177857453787</v>
      </c>
      <c r="I35" s="59">
        <f>(B35/('Consumidores Inadimplentes'!B71*1000000))</f>
        <v>3.2271328157486845E-3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203495</v>
      </c>
      <c r="C36" s="30">
        <v>909678</v>
      </c>
      <c r="D36" s="30">
        <v>725093124.48000538</v>
      </c>
      <c r="E36" s="34">
        <f>C36/B36</f>
        <v>4.4702719968549598</v>
      </c>
      <c r="F36" s="43">
        <f t="shared" si="2"/>
        <v>3563.1987246861368</v>
      </c>
      <c r="G36" s="43">
        <f t="shared" si="3"/>
        <v>797.08767770574354</v>
      </c>
      <c r="H36" s="27">
        <v>0.47491300826859034</v>
      </c>
      <c r="I36" s="59">
        <f>(B36/('Consumidores Inadimplentes'!B72*1000000))</f>
        <v>3.2710836972737779E-3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206508</v>
      </c>
      <c r="C37" s="30">
        <v>916232</v>
      </c>
      <c r="D37" s="30">
        <v>731903820.89000654</v>
      </c>
      <c r="E37" s="34">
        <f>C37/B37</f>
        <v>4.4367869525635815</v>
      </c>
      <c r="F37" s="43">
        <f t="shared" si="2"/>
        <v>3544.1911252348896</v>
      </c>
      <c r="G37" s="43">
        <f t="shared" si="3"/>
        <v>798.81931747636679</v>
      </c>
      <c r="H37" s="27">
        <v>0.48059204784789211</v>
      </c>
      <c r="I37" s="59">
        <f>(B37/('Consumidores Inadimplentes'!B73*1000000))</f>
        <v>3.2569649073497199E-3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210523</v>
      </c>
      <c r="C38" s="30">
        <v>924392</v>
      </c>
      <c r="D38" s="30">
        <v>740210851.79001081</v>
      </c>
      <c r="E38" s="34">
        <f t="shared" ref="E38:E46" si="4">C38/B38</f>
        <v>4.390931157165725</v>
      </c>
      <c r="F38" s="43">
        <f t="shared" si="2"/>
        <v>3516.0569238991029</v>
      </c>
      <c r="G38" s="43">
        <f t="shared" si="3"/>
        <v>800.75428150612606</v>
      </c>
      <c r="H38" s="27">
        <v>0.4885612572637989</v>
      </c>
      <c r="I38" s="59">
        <f>(B38/('Consumidores Inadimplentes'!B74*1000000))</f>
        <v>3.2756197441188039E-3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211045</v>
      </c>
      <c r="C39" s="31">
        <v>934607</v>
      </c>
      <c r="D39" s="31">
        <v>724772993.07001114</v>
      </c>
      <c r="E39" s="35">
        <f t="shared" si="4"/>
        <v>4.4284726006301973</v>
      </c>
      <c r="F39" s="46">
        <f t="shared" si="2"/>
        <v>3434.2106805184258</v>
      </c>
      <c r="G39" s="46">
        <f t="shared" si="3"/>
        <v>775.48423355486443</v>
      </c>
      <c r="H39" s="28">
        <v>0.48839781818350125</v>
      </c>
      <c r="I39" s="59">
        <f>(B39/('Consumidores Inadimplentes'!B75*1000000))</f>
        <v>3.2990805469003117E-3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212787</v>
      </c>
      <c r="C40" s="29">
        <v>935962</v>
      </c>
      <c r="D40" s="29">
        <v>742420369.13001227</v>
      </c>
      <c r="E40" s="33">
        <f t="shared" si="4"/>
        <v>4.3985863798070373</v>
      </c>
      <c r="F40" s="45">
        <f t="shared" si="2"/>
        <v>3489.0306697778165</v>
      </c>
      <c r="G40" s="45">
        <f t="shared" si="3"/>
        <v>793.21635828165267</v>
      </c>
      <c r="H40" s="26">
        <v>0.49104730080561598</v>
      </c>
      <c r="I40" s="59">
        <f>(B40/('Consumidores Inadimplentes'!B76*1000000))</f>
        <v>3.2828663618042811E-3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213161</v>
      </c>
      <c r="C41" s="30">
        <v>929300</v>
      </c>
      <c r="D41" s="30">
        <v>745801464.06001151</v>
      </c>
      <c r="E41" s="34">
        <f t="shared" si="4"/>
        <v>4.3596155018976264</v>
      </c>
      <c r="F41" s="43">
        <f t="shared" si="2"/>
        <v>3498.7707134983016</v>
      </c>
      <c r="G41" s="43">
        <f t="shared" si="3"/>
        <v>802.54112133865442</v>
      </c>
      <c r="H41" s="27">
        <v>0.49052934854896874</v>
      </c>
      <c r="I41" s="59">
        <f>(B41/('Consumidores Inadimplentes'!B77*1000000))</f>
        <v>3.2708883433887562E-3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213969</v>
      </c>
      <c r="C42" s="30">
        <v>932938</v>
      </c>
      <c r="D42" s="30">
        <v>750113850.76000512</v>
      </c>
      <c r="E42" s="34">
        <f t="shared" si="4"/>
        <v>4.360154975720782</v>
      </c>
      <c r="F42" s="43">
        <f t="shared" si="2"/>
        <v>3505.7127469867369</v>
      </c>
      <c r="G42" s="43">
        <f t="shared" si="3"/>
        <v>804.0339773489826</v>
      </c>
      <c r="H42" s="27">
        <v>0.49100684755470703</v>
      </c>
      <c r="I42" s="59">
        <f>(B42/('Consumidores Inadimplentes'!B78*1000000))</f>
        <v>3.2570563312785635E-3</v>
      </c>
    </row>
    <row r="43" spans="1:16" x14ac:dyDescent="0.35">
      <c r="A43" s="5">
        <v>44652</v>
      </c>
      <c r="B43" s="30">
        <v>216278</v>
      </c>
      <c r="C43" s="30">
        <v>942267</v>
      </c>
      <c r="D43" s="30">
        <v>756913849.02001095</v>
      </c>
      <c r="E43" s="34">
        <f t="shared" si="4"/>
        <v>4.3567399365631267</v>
      </c>
      <c r="F43" s="43">
        <f t="shared" si="2"/>
        <v>3499.7265048687846</v>
      </c>
      <c r="G43" s="43">
        <f t="shared" si="3"/>
        <v>803.29020226752186</v>
      </c>
      <c r="H43" s="27">
        <v>0.49491306675941987</v>
      </c>
      <c r="I43" s="59">
        <f>(B43/('Consumidores Inadimplentes'!B79*1000000))</f>
        <v>3.270365463847142E-3</v>
      </c>
    </row>
    <row r="44" spans="1:16" x14ac:dyDescent="0.35">
      <c r="A44" s="5">
        <v>44682</v>
      </c>
      <c r="B44" s="30">
        <v>218922</v>
      </c>
      <c r="C44" s="30">
        <v>969415</v>
      </c>
      <c r="D44" s="30">
        <v>779910451.22000754</v>
      </c>
      <c r="E44" s="34">
        <f t="shared" si="4"/>
        <v>4.4281296534838894</v>
      </c>
      <c r="F44" s="43">
        <f t="shared" si="2"/>
        <v>3562.5037740382763</v>
      </c>
      <c r="G44" s="43">
        <f t="shared" si="3"/>
        <v>804.51659116065616</v>
      </c>
      <c r="H44" s="27">
        <v>0.49955731210865478</v>
      </c>
      <c r="I44" s="59">
        <f>(B44/('Consumidores Inadimplentes'!B80*1000000))</f>
        <v>3.2881135241312914E-3</v>
      </c>
    </row>
    <row r="45" spans="1:16" x14ac:dyDescent="0.35">
      <c r="A45" s="5">
        <v>44713</v>
      </c>
      <c r="B45" s="30">
        <v>217136</v>
      </c>
      <c r="C45" s="30">
        <v>943357</v>
      </c>
      <c r="D45" s="30">
        <v>771961227.03001106</v>
      </c>
      <c r="E45" s="34">
        <f t="shared" si="4"/>
        <v>4.3445444329820946</v>
      </c>
      <c r="F45" s="43">
        <f t="shared" si="2"/>
        <v>3555.1968675392891</v>
      </c>
      <c r="G45" s="43">
        <f t="shared" si="3"/>
        <v>818.31292610327898</v>
      </c>
      <c r="H45" s="27">
        <v>0.4940916796559453</v>
      </c>
      <c r="I45" s="59">
        <f>(B45/('Consumidores Inadimplentes'!B81*1000000))</f>
        <v>3.249632868081317E-3</v>
      </c>
    </row>
    <row r="46" spans="1:16" x14ac:dyDescent="0.35">
      <c r="A46" s="5">
        <v>44743</v>
      </c>
      <c r="B46" s="30">
        <v>214162</v>
      </c>
      <c r="C46" s="30">
        <v>923962</v>
      </c>
      <c r="D46" s="30">
        <v>761965357.89001</v>
      </c>
      <c r="E46" s="34">
        <f t="shared" si="4"/>
        <v>4.3143134636396745</v>
      </c>
      <c r="F46" s="43">
        <f t="shared" si="2"/>
        <v>3557.892426714403</v>
      </c>
      <c r="G46" s="43">
        <f t="shared" si="3"/>
        <v>824.67174828619579</v>
      </c>
      <c r="H46" s="27">
        <v>0.48595649668029645</v>
      </c>
      <c r="I46" s="59">
        <f>(B46/('Consumidores Inadimplentes'!B82*1000000))</f>
        <v>3.1665644201396169E-3</v>
      </c>
    </row>
    <row r="47" spans="1:16" x14ac:dyDescent="0.35">
      <c r="A47" s="5">
        <v>44774</v>
      </c>
      <c r="B47" s="30">
        <v>214557</v>
      </c>
      <c r="C47" s="30">
        <v>919011</v>
      </c>
      <c r="D47" s="30">
        <v>764578504.49000502</v>
      </c>
      <c r="E47" s="34">
        <f t="shared" ref="E47" si="5">C47/B47</f>
        <v>4.283295348089319</v>
      </c>
      <c r="F47" s="43">
        <f t="shared" ref="F47" si="6">D47/B47</f>
        <v>3563.5216026044595</v>
      </c>
      <c r="G47" s="43">
        <f t="shared" ref="G47" si="7">F47/E47</f>
        <v>831.95794662958872</v>
      </c>
      <c r="H47" s="27">
        <v>0.48525620148727133</v>
      </c>
      <c r="I47" s="59">
        <f>(B47/('Consumidores Inadimplentes'!B83*1000000))</f>
        <v>3.1563528203920545E-3</v>
      </c>
    </row>
    <row r="48" spans="1:16" x14ac:dyDescent="0.35">
      <c r="A48" s="5">
        <v>44805</v>
      </c>
      <c r="B48" s="30">
        <v>214223</v>
      </c>
      <c r="C48" s="30">
        <v>908650</v>
      </c>
      <c r="D48" s="30">
        <v>770412496.03000498</v>
      </c>
      <c r="E48" s="34">
        <f t="shared" ref="E48" si="8">C48/B48</f>
        <v>4.241608043954197</v>
      </c>
      <c r="F48" s="43">
        <f t="shared" ref="F48" si="9">D48/B48</f>
        <v>3596.3108351110991</v>
      </c>
      <c r="G48" s="43">
        <f t="shared" ref="G48" si="10">F48/E48</f>
        <v>847.86496013867281</v>
      </c>
      <c r="H48" s="27">
        <v>0.48291167632611748</v>
      </c>
      <c r="I48" s="59">
        <f>(B48/('Consumidores Inadimplentes'!B84*1000000))</f>
        <v>3.1324625154900967E-3</v>
      </c>
    </row>
    <row r="49" spans="1:16" x14ac:dyDescent="0.35">
      <c r="A49" s="5">
        <v>44835</v>
      </c>
      <c r="B49" s="30">
        <v>218771</v>
      </c>
      <c r="C49" s="30">
        <v>929027</v>
      </c>
      <c r="D49" s="30">
        <v>798253410.450001</v>
      </c>
      <c r="E49" s="34">
        <f t="shared" ref="E49" si="11">C49/B49</f>
        <v>4.24657290043013</v>
      </c>
      <c r="F49" s="43">
        <f t="shared" ref="F49" si="12">D49/B49</f>
        <v>3648.8081621878632</v>
      </c>
      <c r="G49" s="43">
        <f t="shared" ref="G49" si="13">F49/E49</f>
        <v>859.23596456292557</v>
      </c>
      <c r="H49" s="27">
        <v>0.49154732107148152</v>
      </c>
      <c r="I49" s="59">
        <f>(B49/('Consumidores Inadimplentes'!B85*1000000))</f>
        <v>3.1679936932929261E-3</v>
      </c>
    </row>
    <row r="50" spans="1:16" x14ac:dyDescent="0.35">
      <c r="A50" s="5">
        <v>44866</v>
      </c>
      <c r="B50" s="30">
        <v>223772</v>
      </c>
      <c r="C50" s="30">
        <v>947476</v>
      </c>
      <c r="D50" s="30">
        <v>831471789.5399859</v>
      </c>
      <c r="E50" s="34">
        <f t="shared" ref="E50" si="14">C50/B50</f>
        <v>4.2341132938884218</v>
      </c>
      <c r="F50" s="43">
        <f t="shared" ref="F50" si="15">D50/B50</f>
        <v>3715.7096935272775</v>
      </c>
      <c r="G50" s="43">
        <f t="shared" ref="G50" si="16">F50/E50</f>
        <v>877.56501435391078</v>
      </c>
      <c r="H50" s="27">
        <v>0.50113542203211425</v>
      </c>
      <c r="I50" s="59">
        <f>(B50/('Consumidores Inadimplentes'!B86*1000000))</f>
        <v>3.2043072653040604E-3</v>
      </c>
    </row>
    <row r="51" spans="1:16" ht="15" thickBot="1" x14ac:dyDescent="0.4">
      <c r="A51" s="12">
        <v>44896</v>
      </c>
      <c r="B51" s="31">
        <v>222993</v>
      </c>
      <c r="C51" s="31">
        <v>954201</v>
      </c>
      <c r="D51" s="31">
        <v>825428559.65999663</v>
      </c>
      <c r="E51" s="35">
        <f t="shared" ref="E51" si="17">C51/B51</f>
        <v>4.2790625714708534</v>
      </c>
      <c r="F51" s="46">
        <f t="shared" ref="F51" si="18">D51/B51</f>
        <v>3701.5895550981268</v>
      </c>
      <c r="G51" s="46">
        <f t="shared" ref="G51" si="19">F51/E51</f>
        <v>865.04683987964438</v>
      </c>
      <c r="H51" s="28">
        <v>0.49775334319942677</v>
      </c>
      <c r="I51" s="59">
        <f>(B51/('Consumidores Inadimplentes'!B87*1000000))</f>
        <v>3.2117988891032716E-3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223502</v>
      </c>
      <c r="C52" s="29">
        <v>967698</v>
      </c>
      <c r="D52" s="29">
        <v>854854899.12999713</v>
      </c>
      <c r="E52" s="33">
        <f t="shared" ref="E52" si="20">C52/B52</f>
        <v>4.3297062218682605</v>
      </c>
      <c r="F52" s="45">
        <f t="shared" ref="F52" si="21">D52/B52</f>
        <v>3824.8199082334704</v>
      </c>
      <c r="G52" s="45">
        <f t="shared" ref="G52" si="22">F52/E52</f>
        <v>883.39016834797337</v>
      </c>
      <c r="H52" s="26">
        <v>0.49725345015162203</v>
      </c>
      <c r="I52" s="59">
        <f>(B52/('Consumidores Inadimplentes'!B88*1000000))</f>
        <v>3.1886504121518481E-3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223502</v>
      </c>
      <c r="C53" s="30">
        <v>961514</v>
      </c>
      <c r="D53" s="30">
        <v>856986511.07999861</v>
      </c>
      <c r="E53" s="34">
        <f t="shared" ref="E53" si="23">C53/B53</f>
        <v>4.3020375656593677</v>
      </c>
      <c r="F53" s="43">
        <f t="shared" ref="F53" si="24">D53/B53</f>
        <v>3834.35723653479</v>
      </c>
      <c r="G53" s="43">
        <f t="shared" ref="G53" si="25">F53/E53</f>
        <v>891.28864590635044</v>
      </c>
      <c r="H53" s="27">
        <v>0.49562259397896008</v>
      </c>
      <c r="I53" s="59">
        <f>(B53/('Consumidores Inadimplentes'!B89*1000000))</f>
        <v>3.1690299809389159E-3</v>
      </c>
    </row>
    <row r="54" spans="1:16" x14ac:dyDescent="0.35">
      <c r="A54" s="5">
        <v>44986</v>
      </c>
      <c r="B54" s="30">
        <v>226310</v>
      </c>
      <c r="C54" s="30">
        <v>971077</v>
      </c>
      <c r="D54" s="30">
        <v>878338988.13000393</v>
      </c>
      <c r="E54" s="34">
        <f t="shared" ref="E54" si="26">C54/B54</f>
        <v>4.2909151164332107</v>
      </c>
      <c r="F54" s="43">
        <f t="shared" ref="F54" si="27">D54/B54</f>
        <v>3881.1320230215365</v>
      </c>
      <c r="G54" s="43">
        <f t="shared" ref="G54" si="28">F54/E54</f>
        <v>904.49983691303987</v>
      </c>
      <c r="H54" s="27">
        <v>0.50020334367733776</v>
      </c>
      <c r="I54" s="59">
        <f>(B54/('Consumidores Inadimplentes'!B90*1000000))</f>
        <v>3.2006552298905868E-3</v>
      </c>
    </row>
    <row r="55" spans="1:16" x14ac:dyDescent="0.35">
      <c r="A55" s="5">
        <v>45017</v>
      </c>
      <c r="B55" s="30">
        <v>229936</v>
      </c>
      <c r="C55" s="30">
        <v>992065</v>
      </c>
      <c r="D55" s="30">
        <v>919924756.86000681</v>
      </c>
      <c r="E55" s="34">
        <f t="shared" ref="E55" si="29">C55/B55</f>
        <v>4.3145266508941615</v>
      </c>
      <c r="F55" s="43">
        <f t="shared" ref="F55" si="30">D55/B55</f>
        <v>4000.7861181372505</v>
      </c>
      <c r="G55" s="43">
        <f t="shared" ref="G55" si="31">F55/E55</f>
        <v>927.28274544511385</v>
      </c>
      <c r="H55" s="27">
        <v>0.50655175756294002</v>
      </c>
      <c r="I55" s="59">
        <f>(B55/('Consumidores Inadimplentes'!B91*1000000))</f>
        <v>3.2186081283573126E-3</v>
      </c>
    </row>
    <row r="56" spans="1:16" x14ac:dyDescent="0.35">
      <c r="A56" s="5">
        <v>45047</v>
      </c>
      <c r="B56" s="30">
        <v>231257</v>
      </c>
      <c r="C56" s="30">
        <v>1006799</v>
      </c>
      <c r="D56" s="30">
        <v>920230003.74000597</v>
      </c>
      <c r="E56" s="34">
        <f t="shared" ref="E56" si="32">C56/B56</f>
        <v>4.3535936209498525</v>
      </c>
      <c r="F56" s="43">
        <f t="shared" ref="F56" si="33">D56/B56</f>
        <v>3979.2525360962304</v>
      </c>
      <c r="G56" s="43">
        <f t="shared" ref="G56" si="34">F56/E56</f>
        <v>914.01561159675953</v>
      </c>
      <c r="H56" s="27">
        <v>0.50779176007922411</v>
      </c>
      <c r="I56" s="59">
        <f>(B56/('Consumidores Inadimplentes'!B92*1000000))</f>
        <v>3.2162100871369762E-3</v>
      </c>
    </row>
    <row r="57" spans="1:16" x14ac:dyDescent="0.35">
      <c r="A57" s="5">
        <v>45078</v>
      </c>
      <c r="B57" s="30">
        <v>233372</v>
      </c>
      <c r="C57" s="30">
        <v>1002307</v>
      </c>
      <c r="D57" s="30">
        <v>916804780.45000553</v>
      </c>
      <c r="E57" s="34">
        <f t="shared" ref="E57:E58" si="35">C57/B57</f>
        <v>4.2948897039919096</v>
      </c>
      <c r="F57" s="43">
        <f t="shared" ref="F57:F58" si="36">D57/B57</f>
        <v>3928.5123341703611</v>
      </c>
      <c r="G57" s="43">
        <f t="shared" ref="G57:G58" si="37">F57/E57</f>
        <v>914.69458005382137</v>
      </c>
      <c r="H57" s="27">
        <v>0.5107558298589453</v>
      </c>
      <c r="I57" s="59">
        <f>(B57/('Consumidores Inadimplentes'!B93*1000000))</f>
        <v>3.2660665881130528E-3</v>
      </c>
    </row>
    <row r="58" spans="1:16" x14ac:dyDescent="0.35">
      <c r="A58" s="5">
        <v>45108</v>
      </c>
      <c r="B58" s="30">
        <v>230756</v>
      </c>
      <c r="C58" s="30">
        <v>997410</v>
      </c>
      <c r="D58" s="30">
        <v>929060656.70999289</v>
      </c>
      <c r="E58" s="34">
        <f t="shared" si="35"/>
        <v>4.3223578151814035</v>
      </c>
      <c r="F58" s="43">
        <f t="shared" si="36"/>
        <v>4026.1603456031171</v>
      </c>
      <c r="G58" s="43">
        <f t="shared" si="37"/>
        <v>931.47317222605841</v>
      </c>
      <c r="H58" s="27">
        <v>0.50337355127078065</v>
      </c>
      <c r="I58" s="59">
        <f>(B58/('Consumidores Inadimplentes'!B94*1000000))</f>
        <v>3.2310151919014199E-3</v>
      </c>
    </row>
    <row r="59" spans="1:16" x14ac:dyDescent="0.35">
      <c r="A59" s="5">
        <v>45139</v>
      </c>
      <c r="B59" s="30">
        <v>233208</v>
      </c>
      <c r="C59" s="30">
        <v>1004030</v>
      </c>
      <c r="D59" s="30">
        <v>942335274.72999489</v>
      </c>
      <c r="E59" s="34">
        <f t="shared" ref="E59" si="38">C59/B59</f>
        <v>4.3052982745017321</v>
      </c>
      <c r="F59" s="43">
        <f t="shared" ref="F59" si="39">D59/B59</f>
        <v>4040.750208955074</v>
      </c>
      <c r="G59" s="43">
        <f t="shared" ref="G59" si="40">F59/E59</f>
        <v>938.55290651673249</v>
      </c>
      <c r="H59" s="27">
        <v>0.50715141603909197</v>
      </c>
      <c r="I59" s="59">
        <f>(B59/('Consumidores Inadimplentes'!B95*1000000))</f>
        <v>3.2507810109827467E-3</v>
      </c>
    </row>
    <row r="60" spans="1:16" x14ac:dyDescent="0.35">
      <c r="A60" s="5">
        <v>45170</v>
      </c>
      <c r="B60" s="30">
        <v>234999</v>
      </c>
      <c r="C60" s="30">
        <v>1005498</v>
      </c>
      <c r="D60" s="30">
        <v>951755707.9499948</v>
      </c>
      <c r="E60" s="34">
        <f t="shared" ref="E60" si="41">C60/B60</f>
        <v>4.2787331009919187</v>
      </c>
      <c r="F60" s="43">
        <f t="shared" ref="F60" si="42">D60/B60</f>
        <v>4050.0415233681624</v>
      </c>
      <c r="G60" s="43">
        <f t="shared" ref="G60" si="43">F60/E60</f>
        <v>946.55156743225234</v>
      </c>
      <c r="H60" s="27">
        <v>0.50946856782356265</v>
      </c>
      <c r="I60" s="59">
        <f>(B60/('Consumidores Inadimplentes'!B96*1000000))</f>
        <v>3.2719572342509553E-3</v>
      </c>
    </row>
    <row r="61" spans="1:16" x14ac:dyDescent="0.35">
      <c r="A61" s="5">
        <v>45200</v>
      </c>
      <c r="B61" s="30">
        <v>236002</v>
      </c>
      <c r="C61" s="30">
        <v>1000689</v>
      </c>
      <c r="D61" s="30">
        <v>986854594.23999763</v>
      </c>
      <c r="E61" s="34">
        <f t="shared" ref="E61" si="44">C61/B61</f>
        <v>4.2401716934602245</v>
      </c>
      <c r="F61" s="43">
        <f t="shared" ref="F61" si="45">D61/B61</f>
        <v>4181.551826848915</v>
      </c>
      <c r="G61" s="43">
        <f t="shared" ref="G61" si="46">F61/E61</f>
        <v>986.17511958260536</v>
      </c>
      <c r="H61" s="27">
        <v>0.5100628495846049</v>
      </c>
      <c r="I61" s="59">
        <f>(B61/('Consumidores Inadimplentes'!B97*1000000))</f>
        <v>3.2799687860802194E-3</v>
      </c>
    </row>
    <row r="62" spans="1:16" x14ac:dyDescent="0.35">
      <c r="A62" s="5">
        <v>45231</v>
      </c>
      <c r="B62" s="30">
        <v>237796</v>
      </c>
      <c r="C62" s="30">
        <v>995778</v>
      </c>
      <c r="D62" s="30">
        <v>983857299.34999728</v>
      </c>
      <c r="E62" s="34">
        <f t="shared" ref="E62" si="47">C62/B62</f>
        <v>4.1875304883177176</v>
      </c>
      <c r="F62" s="43">
        <f t="shared" ref="F62" si="48">D62/B62</f>
        <v>4137.4005422715154</v>
      </c>
      <c r="G62" s="43">
        <f t="shared" ref="G62" si="49">F62/E62</f>
        <v>988.02875676104247</v>
      </c>
      <c r="H62" s="27">
        <v>0.51235335308375973</v>
      </c>
      <c r="I62" s="59">
        <f>(B62/('Consumidores Inadimplentes'!B98*1000000))</f>
        <v>3.3115106034180713E-3</v>
      </c>
    </row>
    <row r="63" spans="1:16" ht="15" thickBot="1" x14ac:dyDescent="0.4">
      <c r="A63" s="12">
        <v>45261</v>
      </c>
      <c r="B63" s="31">
        <v>235995</v>
      </c>
      <c r="C63" s="31">
        <v>994984</v>
      </c>
      <c r="D63" s="31">
        <v>967339920.62999511</v>
      </c>
      <c r="E63" s="35">
        <f t="shared" ref="E63" si="50">C63/B63</f>
        <v>4.2161232229496388</v>
      </c>
      <c r="F63" s="46">
        <f t="shared" ref="F63" si="51">D63/B63</f>
        <v>4098.9848116697176</v>
      </c>
      <c r="G63" s="46">
        <f t="shared" ref="G63" si="52">F63/E63</f>
        <v>972.21655888938415</v>
      </c>
      <c r="H63" s="28">
        <v>0.50690348439090815</v>
      </c>
      <c r="I63" s="59">
        <f>(B63/('Consumidores Inadimplentes'!B99*1000000))</f>
        <v>3.3190844550353609E-3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237081</v>
      </c>
      <c r="C64" s="29">
        <v>990926</v>
      </c>
      <c r="D64" s="29">
        <v>989227352.43999588</v>
      </c>
      <c r="E64" s="33">
        <f t="shared" ref="E64" si="53">C64/B64</f>
        <v>4.1796938599044209</v>
      </c>
      <c r="F64" s="45">
        <f t="shared" ref="F64" si="54">D64/B64</f>
        <v>4172.5290193646724</v>
      </c>
      <c r="G64" s="45">
        <f t="shared" ref="G64" si="55">F64/E64</f>
        <v>998.2857977689514</v>
      </c>
      <c r="H64" s="26">
        <v>0.50766374592080576</v>
      </c>
      <c r="I64" s="59">
        <f>(B64/('Consumidores Inadimplentes'!B100*1000000))</f>
        <v>3.2896018494066922E-3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237885</v>
      </c>
      <c r="C65" s="30">
        <v>982078</v>
      </c>
      <c r="D65" s="30">
        <v>991304530.73999643</v>
      </c>
      <c r="E65" s="34">
        <f t="shared" ref="E65" si="56">C65/B65</f>
        <v>4.12837295331778</v>
      </c>
      <c r="F65" s="43">
        <f t="shared" ref="F65" si="57">D65/B65</f>
        <v>4167.1586301784328</v>
      </c>
      <c r="G65" s="43">
        <f t="shared" ref="G65" si="58">F65/E65</f>
        <v>1009.3949062498054</v>
      </c>
      <c r="H65" s="27">
        <v>0.50781300032020493</v>
      </c>
      <c r="I65" s="59">
        <f>(B65/('Consumidores Inadimplentes'!B101*1000000))</f>
        <v>3.3021576025840244E-3</v>
      </c>
    </row>
    <row r="66" spans="1:16" x14ac:dyDescent="0.35">
      <c r="A66" s="5">
        <v>45352</v>
      </c>
      <c r="B66" s="30">
        <v>238289</v>
      </c>
      <c r="C66" s="30">
        <v>973220</v>
      </c>
      <c r="D66" s="30">
        <v>1006019536.2699928</v>
      </c>
      <c r="E66" s="34">
        <f t="shared" ref="E66" si="59">C66/B66</f>
        <v>4.084200277813915</v>
      </c>
      <c r="F66" s="43">
        <f t="shared" ref="F66" si="60">D66/B66</f>
        <v>4221.846313803796</v>
      </c>
      <c r="G66" s="43">
        <f t="shared" ref="G66" si="61">F66/E66</f>
        <v>1033.7020779165994</v>
      </c>
      <c r="H66" s="27">
        <v>0.50710468800875075</v>
      </c>
      <c r="I66" s="59">
        <f>(B66/('Consumidores Inadimplentes'!B102*1000000))</f>
        <v>3.2689427963613492E-3</v>
      </c>
    </row>
    <row r="67" spans="1:16" x14ac:dyDescent="0.35">
      <c r="A67" s="5">
        <v>45383</v>
      </c>
      <c r="B67" s="30">
        <v>238524</v>
      </c>
      <c r="C67" s="30">
        <v>961493</v>
      </c>
      <c r="D67" s="30">
        <v>1021204209.0299958</v>
      </c>
      <c r="E67" s="34">
        <f t="shared" ref="E67" si="62">C67/B67</f>
        <v>4.0310115543928493</v>
      </c>
      <c r="F67" s="43">
        <f t="shared" ref="F67" si="63">D67/B67</f>
        <v>4281.3478267595538</v>
      </c>
      <c r="G67" s="43">
        <f t="shared" ref="G67" si="64">F67/E67</f>
        <v>1062.1025936018211</v>
      </c>
      <c r="H67" s="27">
        <v>0.50603789916750819</v>
      </c>
      <c r="I67" s="59">
        <f>(B67/('Consumidores Inadimplentes'!B103*1000000))</f>
        <v>3.2487701135159972E-3</v>
      </c>
    </row>
    <row r="68" spans="1:16" x14ac:dyDescent="0.35">
      <c r="A68" s="5">
        <v>45413</v>
      </c>
      <c r="B68" s="30">
        <v>239042</v>
      </c>
      <c r="C68" s="30">
        <v>954205</v>
      </c>
      <c r="D68" s="30">
        <v>1015577248.6999929</v>
      </c>
      <c r="E68" s="34">
        <f t="shared" ref="E68" si="65">C68/B68</f>
        <v>3.9917880539821455</v>
      </c>
      <c r="F68" s="43">
        <f t="shared" ref="F68" si="66">D68/B68</f>
        <v>4248.5305875117883</v>
      </c>
      <c r="G68" s="43">
        <f t="shared" ref="G68" si="67">F68/E68</f>
        <v>1064.3176767046839</v>
      </c>
      <c r="H68" s="27">
        <v>0.50557087746607565</v>
      </c>
      <c r="I68" s="59">
        <f>(B68/('Consumidores Inadimplentes'!B104*1000000))</f>
        <v>3.2955240460468978E-3</v>
      </c>
    </row>
    <row r="69" spans="1:16" x14ac:dyDescent="0.35">
      <c r="A69" s="5">
        <v>45444</v>
      </c>
      <c r="B69" s="30">
        <v>240068</v>
      </c>
      <c r="C69" s="30">
        <v>946692</v>
      </c>
      <c r="D69" s="30">
        <v>1040064704.0599999</v>
      </c>
      <c r="E69" s="34">
        <f t="shared" ref="E69" si="68">C69/B69</f>
        <v>3.9434326940700135</v>
      </c>
      <c r="F69" s="43">
        <f t="shared" ref="F69" si="69">D69/B69</f>
        <v>4332.3754272122897</v>
      </c>
      <c r="G69" s="43">
        <f t="shared" ref="G69" si="70">F69/E69</f>
        <v>1098.6304986838379</v>
      </c>
      <c r="H69" s="27">
        <v>0.50617356835624527</v>
      </c>
      <c r="I69" s="59">
        <f>(B69/('Consumidores Inadimplentes'!B105*1000000))</f>
        <v>3.3112310577440365E-3</v>
      </c>
    </row>
    <row r="70" spans="1:16" x14ac:dyDescent="0.35">
      <c r="A70" s="5">
        <v>45474</v>
      </c>
      <c r="B70" s="30">
        <v>239327</v>
      </c>
      <c r="C70" s="30">
        <v>925351</v>
      </c>
      <c r="D70" s="30">
        <v>1013135623.34</v>
      </c>
      <c r="E70" s="34">
        <f t="shared" ref="E70" si="71">C70/B70</f>
        <v>3.8664713968754048</v>
      </c>
      <c r="F70" s="43">
        <f t="shared" ref="F70" si="72">D70/B70</f>
        <v>4233.2692230295788</v>
      </c>
      <c r="G70" s="43">
        <f t="shared" ref="G70" si="73">F70/E70</f>
        <v>1094.8662975886989</v>
      </c>
      <c r="H70" s="27">
        <v>0.50305308051094166</v>
      </c>
      <c r="I70" s="59">
        <f>(B70/('Consumidores Inadimplentes'!B106*1000000))</f>
        <v>3.2936050745026304E-3</v>
      </c>
    </row>
    <row r="71" spans="1:16" x14ac:dyDescent="0.35">
      <c r="A71" s="5">
        <v>45505</v>
      </c>
      <c r="B71" s="30">
        <v>239143</v>
      </c>
      <c r="C71" s="30">
        <v>913966</v>
      </c>
      <c r="D71" s="30">
        <v>1010557997.1199945</v>
      </c>
      <c r="E71" s="34">
        <f t="shared" ref="E71" si="74">C71/B71</f>
        <v>3.8218388161058447</v>
      </c>
      <c r="F71" s="43">
        <f t="shared" ref="F71" si="75">D71/B71</f>
        <v>4225.7477623011946</v>
      </c>
      <c r="G71" s="43">
        <f t="shared" ref="G71" si="76">F71/E71</f>
        <v>1105.6844533822862</v>
      </c>
      <c r="H71" s="27">
        <v>0.50114418873665634</v>
      </c>
      <c r="I71" s="59">
        <f>(B71/('Consumidores Inadimplentes'!B107*1000000))</f>
        <v>3.3002293322867238E-3</v>
      </c>
    </row>
    <row r="72" spans="1:16" x14ac:dyDescent="0.35">
      <c r="A72" s="5">
        <v>45536</v>
      </c>
      <c r="B72" s="30">
        <v>239587</v>
      </c>
      <c r="C72" s="30">
        <v>905599</v>
      </c>
      <c r="D72" s="30">
        <v>1030258136.369993</v>
      </c>
      <c r="E72" s="34">
        <f t="shared" ref="E72" si="77">C72/B72</f>
        <v>3.7798336303722655</v>
      </c>
      <c r="F72" s="43">
        <f t="shared" ref="F72" si="78">D72/B72</f>
        <v>4300.1420626744894</v>
      </c>
      <c r="G72" s="43">
        <f t="shared" ref="G72" si="79">F72/E72</f>
        <v>1137.6537919873949</v>
      </c>
      <c r="H72" s="27">
        <v>0.50055364738720221</v>
      </c>
      <c r="I72" s="59">
        <f>(B72/('Consumidores Inadimplentes'!B108*1000000))</f>
        <v>3.2981917357202233E-3</v>
      </c>
    </row>
    <row r="73" spans="1:16" x14ac:dyDescent="0.35">
      <c r="A73" s="5">
        <v>45566</v>
      </c>
      <c r="B73" s="30">
        <v>239873</v>
      </c>
      <c r="C73" s="30">
        <v>899878</v>
      </c>
      <c r="D73" s="30">
        <v>1042576519.019991</v>
      </c>
      <c r="E73" s="34">
        <f t="shared" ref="E73" si="80">C73/B73</f>
        <v>3.7514768231522515</v>
      </c>
      <c r="F73" s="43">
        <f t="shared" ref="F73" si="81">D73/B73</f>
        <v>4346.368782730824</v>
      </c>
      <c r="G73" s="43">
        <f t="shared" ref="G73" si="82">F73/E73</f>
        <v>1158.5754057994427</v>
      </c>
      <c r="H73" s="27">
        <v>0.49963340817916341</v>
      </c>
      <c r="I73" s="59">
        <f>(B73/('Consumidores Inadimplentes'!B109*1000000))</f>
        <v>3.2812572884188674E-3</v>
      </c>
    </row>
    <row r="74" spans="1:16" x14ac:dyDescent="0.35">
      <c r="A74" s="5">
        <v>45597</v>
      </c>
      <c r="B74" s="30">
        <v>241406</v>
      </c>
      <c r="C74" s="30">
        <v>893259</v>
      </c>
      <c r="D74" s="30">
        <v>1071616376.7199935</v>
      </c>
      <c r="E74" s="34">
        <f t="shared" ref="E74" si="83">C74/B74</f>
        <v>3.7002352882695542</v>
      </c>
      <c r="F74" s="43">
        <f t="shared" ref="F74" si="84">D74/B74</f>
        <v>4439.062727189852</v>
      </c>
      <c r="G74" s="43">
        <f t="shared" ref="G74" si="85">F74/E74</f>
        <v>1199.6703942753372</v>
      </c>
      <c r="H74" s="27">
        <v>0.50130410585684737</v>
      </c>
      <c r="I74" s="59">
        <f>(B74/('Consumidores Inadimplentes'!B110*1000000))</f>
        <v>3.2715807768859862E-3</v>
      </c>
    </row>
    <row r="75" spans="1:16" ht="15" thickBot="1" x14ac:dyDescent="0.4">
      <c r="A75" s="12">
        <v>45627</v>
      </c>
      <c r="B75" s="31">
        <v>240123</v>
      </c>
      <c r="C75" s="31">
        <v>877482</v>
      </c>
      <c r="D75" s="31">
        <v>1050753822.3799927</v>
      </c>
      <c r="E75" s="35">
        <f t="shared" ref="E75:E77" si="86">C75/B75</f>
        <v>3.6543021701378042</v>
      </c>
      <c r="F75" s="46">
        <f t="shared" ref="F75:F77" si="87">D75/B75</f>
        <v>4375.8982787154609</v>
      </c>
      <c r="G75" s="46">
        <f t="shared" ref="G75:G77" si="88">F75/E75</f>
        <v>1197.4648168053507</v>
      </c>
      <c r="H75" s="28">
        <v>0.49712951250364895</v>
      </c>
      <c r="I75" s="59">
        <f>(B75/('Consumidores Inadimplentes'!B111*1000000))</f>
        <v>3.2664350971046297E-3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244158</v>
      </c>
      <c r="C76" s="29">
        <v>891013</v>
      </c>
      <c r="D76" s="29">
        <v>1110172338.8599913</v>
      </c>
      <c r="E76" s="33">
        <f t="shared" si="86"/>
        <v>3.6493295325158299</v>
      </c>
      <c r="F76" s="45">
        <f t="shared" si="87"/>
        <v>4546.9423031806919</v>
      </c>
      <c r="G76" s="45">
        <f t="shared" si="88"/>
        <v>1245.9664885472955</v>
      </c>
      <c r="H76" s="26">
        <v>0.50395264259441963</v>
      </c>
      <c r="I76" s="59">
        <f>(B76/('Consumidores Inadimplentes'!B112*1000000))</f>
        <v>3.272767602616702E-3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245429</v>
      </c>
      <c r="C77" s="30">
        <v>891476</v>
      </c>
      <c r="D77" s="30">
        <v>1140244884.5999923</v>
      </c>
      <c r="E77" s="34">
        <f t="shared" si="86"/>
        <v>3.6323172893178883</v>
      </c>
      <c r="F77" s="43">
        <f t="shared" si="87"/>
        <v>4645.9256428539102</v>
      </c>
      <c r="G77" s="43">
        <f t="shared" si="88"/>
        <v>1279.0528119657649</v>
      </c>
      <c r="H77" s="27">
        <v>0.50504158795616083</v>
      </c>
      <c r="I77" s="59">
        <f>(B77/('Consumidores Inadimplentes'!B113*1000000))</f>
        <v>3.2722388923582878E-3</v>
      </c>
    </row>
    <row r="78" spans="1:16" x14ac:dyDescent="0.35">
      <c r="A78" s="5">
        <v>45717</v>
      </c>
      <c r="B78" s="30">
        <v>247632</v>
      </c>
      <c r="C78" s="30">
        <v>888030</v>
      </c>
      <c r="D78" s="30">
        <v>1130665603.4899938</v>
      </c>
      <c r="E78" s="34">
        <f t="shared" ref="E78" si="89">C78/B78</f>
        <v>3.5860874200426438</v>
      </c>
      <c r="F78" s="43">
        <f t="shared" ref="F78" si="90">D78/B78</f>
        <v>4565.9107203026824</v>
      </c>
      <c r="G78" s="43">
        <f t="shared" ref="G78" si="91">F78/E78</f>
        <v>1273.2290615069242</v>
      </c>
      <c r="H78" s="27">
        <v>0.50803185662058858</v>
      </c>
      <c r="I78" s="59">
        <f>(B78/('Consumidores Inadimplentes'!B114*1000000))</f>
        <v>3.2682266437679282E-3</v>
      </c>
    </row>
    <row r="79" spans="1:16" x14ac:dyDescent="0.35">
      <c r="A79" s="5">
        <v>45748</v>
      </c>
      <c r="B79" s="30">
        <v>246228</v>
      </c>
      <c r="C79" s="30">
        <v>893071</v>
      </c>
      <c r="D79" s="30">
        <v>1190071718</v>
      </c>
      <c r="E79" s="34">
        <f t="shared" ref="E79" si="92">C79/B79</f>
        <v>3.6270083012492487</v>
      </c>
      <c r="F79" s="43">
        <f t="shared" ref="F79" si="93">D79/B79</f>
        <v>4833.2103497571361</v>
      </c>
      <c r="G79" s="43">
        <f t="shared" ref="G79" si="94">F79/E79</f>
        <v>1332.5611491135644</v>
      </c>
      <c r="H79" s="27">
        <v>0.50362128386324823</v>
      </c>
      <c r="I79" s="59">
        <f>(B79/('Consumidores Inadimplentes'!B115*1000000))</f>
        <v>3.2128486387610952E-3</v>
      </c>
    </row>
    <row r="80" spans="1:16" x14ac:dyDescent="0.35">
      <c r="A80" s="5">
        <v>45778</v>
      </c>
      <c r="B80" s="30">
        <v>252179</v>
      </c>
      <c r="C80" s="30">
        <v>901396</v>
      </c>
      <c r="D80" s="30">
        <v>1210493130</v>
      </c>
      <c r="E80" s="34">
        <f t="shared" ref="E80" si="95">C80/B80</f>
        <v>3.5744292744439465</v>
      </c>
      <c r="F80" s="43">
        <f t="shared" ref="F80" si="96">D80/B80</f>
        <v>4800.1345472858566</v>
      </c>
      <c r="G80" s="43">
        <f t="shared" ref="G80" si="97">F80/E80</f>
        <v>1342.9093650293546</v>
      </c>
      <c r="H80" s="27">
        <v>0.51423123980424146</v>
      </c>
      <c r="I80" s="59">
        <f>(B80/('Consumidores Inadimplentes'!B116*1000000))</f>
        <v>3.2719805356737856E-3</v>
      </c>
    </row>
    <row r="81" spans="1:16" x14ac:dyDescent="0.35">
      <c r="A81" s="5">
        <v>45809</v>
      </c>
      <c r="B81" s="30">
        <v>252450</v>
      </c>
      <c r="C81" s="30">
        <v>898857</v>
      </c>
      <c r="D81" s="30">
        <v>1249086968</v>
      </c>
      <c r="E81" s="34">
        <f t="shared" ref="E81" si="98">C81/B81</f>
        <v>3.5605347593582888</v>
      </c>
      <c r="F81" s="43">
        <f t="shared" ref="F81" si="99">D81/B81</f>
        <v>4947.8588552188548</v>
      </c>
      <c r="G81" s="43">
        <f t="shared" ref="G81" si="100">F81/E81</f>
        <v>1389.6392507373253</v>
      </c>
      <c r="H81" s="27">
        <v>0.51322450141291753</v>
      </c>
      <c r="I81" s="59">
        <f>(B81/('Consumidores Inadimplentes'!B117*1000000))</f>
        <v>3.2417502400237078E-3</v>
      </c>
    </row>
    <row r="82" spans="1:16" x14ac:dyDescent="0.35">
      <c r="A82" s="5">
        <v>45839</v>
      </c>
      <c r="B82" s="30">
        <v>254454</v>
      </c>
      <c r="C82" s="30">
        <v>897940</v>
      </c>
      <c r="D82" s="30">
        <v>1264135824</v>
      </c>
      <c r="E82" s="34">
        <f t="shared" ref="E82" si="101">C82/B82</f>
        <v>3.5288893080871198</v>
      </c>
      <c r="F82" s="43">
        <f t="shared" ref="F82" si="102">D82/B82</f>
        <v>4968.0328232214861</v>
      </c>
      <c r="G82" s="43">
        <f t="shared" ref="G82" si="103">F82/E82</f>
        <v>1407.8176982871908</v>
      </c>
      <c r="H82" s="27">
        <v>0.51573321334541322</v>
      </c>
      <c r="I82" s="59">
        <f>(B82/('Consumidores Inadimplentes'!B118*1000000))</f>
        <v>3.2555033550220611E-3</v>
      </c>
    </row>
    <row r="83" spans="1:16" x14ac:dyDescent="0.35">
      <c r="A83" s="5">
        <v>45870</v>
      </c>
      <c r="B83" s="30">
        <v>256073</v>
      </c>
      <c r="C83" s="30">
        <v>903494</v>
      </c>
      <c r="D83" s="30">
        <v>1310966302</v>
      </c>
      <c r="E83" s="34">
        <f t="shared" ref="E83" si="104">C83/B83</f>
        <v>3.5282673300191743</v>
      </c>
      <c r="F83" s="43">
        <f t="shared" ref="F83" si="105">D83/B83</f>
        <v>5119.502259121422</v>
      </c>
      <c r="G83" s="43">
        <f t="shared" ref="G83" si="106">F83/E83</f>
        <v>1450.9961350047702</v>
      </c>
      <c r="H83" s="27">
        <v>0.51744358744829566</v>
      </c>
      <c r="I83" s="59">
        <f>(B83/('Consumidores Inadimplentes'!B119*1000000))</f>
        <v>3.2476443566838388E-3</v>
      </c>
    </row>
    <row r="84" spans="1:16" x14ac:dyDescent="0.35">
      <c r="A84" s="5">
        <v>45901</v>
      </c>
      <c r="B84" s="30">
        <v>256571</v>
      </c>
      <c r="C84" s="30">
        <v>899296</v>
      </c>
      <c r="D84" s="30">
        <v>1332317106</v>
      </c>
      <c r="E84" s="34">
        <f>IFERROR(C84/B84,"")</f>
        <v>3.5050570797167255</v>
      </c>
      <c r="F84" s="43">
        <f>IFERROR(D84/B84,"")</f>
        <v>5192.7813587661894</v>
      </c>
      <c r="G84" s="43">
        <f>IFERROR(F84/E84,"")</f>
        <v>1481.511210991709</v>
      </c>
      <c r="H84" s="27">
        <v>0.51688007671480141</v>
      </c>
      <c r="I84" s="59">
        <f>(B84/('Consumidores Inadimplentes'!B120*1000000))</f>
        <v>3.2408851612728503E-3</v>
      </c>
    </row>
    <row r="85" spans="1:16" x14ac:dyDescent="0.35">
      <c r="A85" s="5">
        <v>45931</v>
      </c>
      <c r="B85" s="30">
        <v>259352</v>
      </c>
      <c r="C85" s="30">
        <v>913095</v>
      </c>
      <c r="D85" s="30">
        <v>1354475388</v>
      </c>
      <c r="E85" s="34">
        <f t="shared" ref="E85:E87" si="107">IFERROR(C85/B85,"")</f>
        <v>3.5206784601622507</v>
      </c>
      <c r="F85" s="43">
        <f t="shared" ref="F85:F87" si="108">IFERROR(D85/B85,"")</f>
        <v>5222.5368919460807</v>
      </c>
      <c r="G85" s="43">
        <f t="shared" ref="G85:G87" si="109">IFERROR(F85/E85,"")</f>
        <v>1483.3893384587582</v>
      </c>
      <c r="H85" s="27">
        <v>0.52090116109750928</v>
      </c>
      <c r="I85" s="59">
        <f>(B85/('Consumidores Inadimplentes'!B121*1000000))</f>
        <v>3.2243060901730571E-3</v>
      </c>
    </row>
    <row r="86" spans="1:16" x14ac:dyDescent="0.35">
      <c r="A86" s="5">
        <v>45962</v>
      </c>
      <c r="B86" s="30">
        <v>258492</v>
      </c>
      <c r="C86" s="30">
        <v>900085</v>
      </c>
      <c r="D86" s="30">
        <v>1380178837</v>
      </c>
      <c r="E86" s="34">
        <f t="shared" si="107"/>
        <v>3.4820613403896448</v>
      </c>
      <c r="F86" s="43">
        <f t="shared" si="108"/>
        <v>5339.3483628120021</v>
      </c>
      <c r="G86" s="43">
        <f t="shared" si="109"/>
        <v>1533.3872212068859</v>
      </c>
      <c r="H86" s="27">
        <v>0.51760201680806883</v>
      </c>
      <c r="I86" s="59">
        <f>(B86/('Consumidores Inadimplentes'!B122*1000000))</f>
        <v>3.2067042513133567E-3</v>
      </c>
    </row>
    <row r="87" spans="1:16" ht="15" thickBot="1" x14ac:dyDescent="0.4">
      <c r="A87" s="12">
        <v>45992</v>
      </c>
      <c r="B87" s="31">
        <v>258613</v>
      </c>
      <c r="C87" s="31">
        <v>900300</v>
      </c>
      <c r="D87" s="31">
        <v>1393207763</v>
      </c>
      <c r="E87" s="35">
        <f t="shared" si="107"/>
        <v>3.4812635095683513</v>
      </c>
      <c r="F87" s="46">
        <f t="shared" si="108"/>
        <v>5387.2301972445312</v>
      </c>
      <c r="G87" s="46">
        <f t="shared" si="109"/>
        <v>1547.4927946240141</v>
      </c>
      <c r="H87" s="28">
        <v>0.51627605206420191</v>
      </c>
      <c r="I87" s="59">
        <f>(B87/('Consumidores Inadimplentes'!B123*1000000))</f>
        <v>3.1830069549021356E-3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255000</v>
      </c>
      <c r="C88" s="29">
        <v>826078</v>
      </c>
      <c r="D88" s="29">
        <v>1290540517</v>
      </c>
      <c r="E88" s="33">
        <f t="shared" ref="E88:E89" si="110">IFERROR(C88/B88,"")</f>
        <v>3.2395215686274508</v>
      </c>
      <c r="F88" s="45">
        <f t="shared" ref="F88:F89" si="111">IFERROR(D88/B88,"")</f>
        <v>5060.943203921569</v>
      </c>
      <c r="G88" s="45">
        <f t="shared" ref="G88:G89" si="112">IFERROR(F88/E88,"")</f>
        <v>1562.2501955021198</v>
      </c>
      <c r="H88" s="26">
        <v>0.50752227624736035</v>
      </c>
      <c r="I88" s="59">
        <f>(B88/('Consumidores Inadimplentes'!B124*1000000))</f>
        <v>3.1357856808786173E-3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256601</v>
      </c>
      <c r="C89" s="30">
        <v>836283</v>
      </c>
      <c r="D89" s="30">
        <v>1340851227</v>
      </c>
      <c r="E89" s="34">
        <f t="shared" si="110"/>
        <v>3.2590792709303549</v>
      </c>
      <c r="F89" s="43">
        <f t="shared" si="111"/>
        <v>5225.432585999275</v>
      </c>
      <c r="G89" s="43">
        <f t="shared" si="112"/>
        <v>1603.3462679499644</v>
      </c>
      <c r="H89" s="27">
        <v>0.50916230626211634</v>
      </c>
      <c r="I89" s="59">
        <f>(B89/('Consumidores Inadimplentes'!B125*1000000))</f>
        <v>3.139544654746623E-3</v>
      </c>
    </row>
    <row r="90" spans="1:16" x14ac:dyDescent="0.35">
      <c r="A90" s="5">
        <v>46082</v>
      </c>
      <c r="B90" s="30">
        <v>259959</v>
      </c>
      <c r="C90" s="30">
        <v>851069</v>
      </c>
      <c r="D90" s="30">
        <v>1405799903</v>
      </c>
      <c r="E90" s="34">
        <f t="shared" ref="E90" si="113">IFERROR(C90/B90,"")</f>
        <v>3.2738585700052703</v>
      </c>
      <c r="F90" s="43">
        <f t="shared" ref="F90" si="114">IFERROR(D90/B90,"")</f>
        <v>5407.7754684392539</v>
      </c>
      <c r="G90" s="43">
        <f t="shared" ref="G90" si="115">IFERROR(F90/E90,"")</f>
        <v>1651.8048513105282</v>
      </c>
      <c r="H90" s="27">
        <v>0.5142631622677043</v>
      </c>
      <c r="I90" s="59">
        <f>(B90/('Consumidores Inadimplentes'!B126*1000000))</f>
        <v>3.1383699422971598E-3</v>
      </c>
    </row>
    <row r="91" spans="1:16" x14ac:dyDescent="0.35">
      <c r="A91" s="5">
        <v>46113</v>
      </c>
      <c r="B91" s="30">
        <v>261224</v>
      </c>
      <c r="C91" s="30">
        <v>854556</v>
      </c>
      <c r="D91" s="30">
        <v>1430608494</v>
      </c>
      <c r="E91" s="34">
        <f t="shared" ref="E91" si="116">IFERROR(C91/B91,"")</f>
        <v>3.2713533212874775</v>
      </c>
      <c r="F91" s="43">
        <f t="shared" ref="F91" si="117">IFERROR(D91/B91,"")</f>
        <v>5476.5584096407683</v>
      </c>
      <c r="G91" s="43">
        <f t="shared" ref="G91" si="118">IFERROR(F91/E91,"")</f>
        <v>1674.0956637130862</v>
      </c>
      <c r="H91" s="27">
        <v>0.51520118019931638</v>
      </c>
      <c r="I91" s="59">
        <f>(B91/('Consumidores Inadimplentes'!B127*1000000))</f>
        <v>3.1325882135900779E-3</v>
      </c>
    </row>
    <row r="92" spans="1:16" x14ac:dyDescent="0.35">
      <c r="A92" s="5">
        <v>46143</v>
      </c>
      <c r="B92" s="30">
        <v>260311</v>
      </c>
      <c r="C92" s="30">
        <v>845905</v>
      </c>
      <c r="D92" s="30">
        <v>1424385630</v>
      </c>
      <c r="E92" s="34">
        <f t="shared" ref="E92" si="119">IFERROR(C92/B92,"")</f>
        <v>3.2495937551620946</v>
      </c>
      <c r="F92" s="43">
        <f t="shared" ref="F92" si="120">IFERROR(D92/B92,"")</f>
        <v>5471.8610815524507</v>
      </c>
      <c r="G92" s="43">
        <f t="shared" ref="G92" si="121">IFERROR(F92/E92,"")</f>
        <v>1683.8600433854865</v>
      </c>
      <c r="H92" s="27">
        <v>0.51184589036382189</v>
      </c>
      <c r="I92" s="59">
        <f>(B92/('Consumidores Inadimplentes'!B128*1000000))</f>
        <v>3.1173907533642627E-3</v>
      </c>
    </row>
    <row r="93" spans="1:16" x14ac:dyDescent="0.35">
      <c r="A93" s="5">
        <v>46174</v>
      </c>
      <c r="B93" s="30">
        <v>261108</v>
      </c>
      <c r="C93" s="30">
        <v>841636</v>
      </c>
      <c r="D93" s="30">
        <v>1441094654</v>
      </c>
      <c r="E93" s="34">
        <f t="shared" ref="E93" si="122">IFERROR(C93/B93,"")</f>
        <v>3.2233252140876574</v>
      </c>
      <c r="F93" s="43">
        <f t="shared" ref="F93" si="123">IFERROR(D93/B93,"")</f>
        <v>5519.1516690411627</v>
      </c>
      <c r="G93" s="43">
        <f t="shared" ref="G93" si="124">IFERROR(F93/E93,"")</f>
        <v>1712.2540551972584</v>
      </c>
      <c r="H93" s="27">
        <v>0.51185804068862495</v>
      </c>
      <c r="I93" s="59">
        <f>(B93/('Consumidores Inadimplentes'!B129*1000000))</f>
        <v>3.1181693985400322E-3</v>
      </c>
    </row>
    <row r="94" spans="1:16" x14ac:dyDescent="0.35">
      <c r="A94" s="5">
        <v>46204</v>
      </c>
      <c r="B94" s="30">
        <v>263030</v>
      </c>
      <c r="C94" s="30">
        <v>845398</v>
      </c>
      <c r="D94" s="30">
        <v>1458223038</v>
      </c>
      <c r="E94" s="34">
        <f t="shared" ref="E94" si="125">IFERROR(C94/B94,"")</f>
        <v>3.2140744401779267</v>
      </c>
      <c r="F94" s="43">
        <f t="shared" ref="F94" si="126">IFERROR(D94/B94,"")</f>
        <v>5543.9419001634797</v>
      </c>
      <c r="G94" s="43">
        <f t="shared" ref="G94" si="127">IFERROR(F94/E94,"")</f>
        <v>1724.8953013846733</v>
      </c>
      <c r="H94" s="27">
        <v>0.51406481168416174</v>
      </c>
      <c r="I94" s="59">
        <f>(B94/('Consumidores Inadimplentes'!B130*1000000))</f>
        <v>3.1338495088364358E-3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9009-3A73-433F-93FD-57362A3A8B32}">
  <sheetPr codeName="Planilha21"/>
  <dimension ref="A1:P99"/>
  <sheetViews>
    <sheetView zoomScale="90" zoomScaleNormal="90" workbookViewId="0">
      <pane xSplit="1" ySplit="3" topLeftCell="B84" activePane="bottomRight" state="frozen"/>
      <selection activeCell="H93" sqref="H93"/>
      <selection pane="topRight" activeCell="H93" sqref="H93"/>
      <selection pane="bottomLeft" activeCell="H93" sqref="H93"/>
      <selection pane="bottomRight" activeCell="I1" sqref="I1:I104857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42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2999975</v>
      </c>
      <c r="C4" s="29">
        <v>10750593</v>
      </c>
      <c r="D4" s="29">
        <v>13713561745.650227</v>
      </c>
      <c r="E4" s="33">
        <f t="shared" ref="E4:E33" si="0">C4/B4</f>
        <v>3.5835608630071918</v>
      </c>
      <c r="F4" s="45">
        <f>D4/B4</f>
        <v>4571.2253420945926</v>
      </c>
      <c r="G4" s="45">
        <f t="shared" ref="G4" si="1">F4/E4</f>
        <v>1275.6097961898683</v>
      </c>
      <c r="H4" s="26">
        <v>0.3505239812275045</v>
      </c>
      <c r="I4" s="58">
        <f>(B4/('Consumidores Inadimplentes'!B40*1000000))</f>
        <v>4.8249424713294305E-2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2995883</v>
      </c>
      <c r="C5" s="30">
        <v>10730294</v>
      </c>
      <c r="D5" s="30">
        <v>13732689518.240177</v>
      </c>
      <c r="E5" s="34">
        <f t="shared" si="0"/>
        <v>3.5816799254176481</v>
      </c>
      <c r="F5" s="43">
        <f t="shared" ref="F5:F45" si="2">D5/B5</f>
        <v>4583.8537480402865</v>
      </c>
      <c r="G5" s="43">
        <f t="shared" ref="G5:G45" si="3">F5/E5</f>
        <v>1279.8055224060197</v>
      </c>
      <c r="H5" s="27">
        <v>0.34977579462887687</v>
      </c>
      <c r="I5" s="59">
        <f>(B5/('Consumidores Inadimplentes'!B41*1000000))</f>
        <v>4.8186313577797707E-2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3037580</v>
      </c>
      <c r="C6" s="30">
        <v>10823296</v>
      </c>
      <c r="D6" s="30">
        <v>13988356286.320181</v>
      </c>
      <c r="E6" s="34">
        <f t="shared" si="0"/>
        <v>3.5631311767920515</v>
      </c>
      <c r="F6" s="43">
        <f t="shared" si="2"/>
        <v>4605.098890011187</v>
      </c>
      <c r="G6" s="43">
        <f t="shared" si="3"/>
        <v>1292.4303545167925</v>
      </c>
      <c r="H6" s="27">
        <v>0.35425227258852382</v>
      </c>
      <c r="I6" s="59">
        <f>(B6/('Consumidores Inadimplentes'!B42*1000000))</f>
        <v>4.8246125985765491E-2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3099923</v>
      </c>
      <c r="C7" s="30">
        <v>10900238</v>
      </c>
      <c r="D7" s="30">
        <v>13958668957.920172</v>
      </c>
      <c r="E7" s="34">
        <f t="shared" si="0"/>
        <v>3.5162931466362228</v>
      </c>
      <c r="F7" s="43">
        <f t="shared" si="2"/>
        <v>4502.9082844703471</v>
      </c>
      <c r="G7" s="43">
        <f t="shared" si="3"/>
        <v>1280.5838696292844</v>
      </c>
      <c r="H7" s="27">
        <v>0.36107228633327682</v>
      </c>
      <c r="I7" s="59">
        <f>(B7/('Consumidores Inadimplentes'!B43*1000000))</f>
        <v>4.9045220880163984E-2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3114335</v>
      </c>
      <c r="C8" s="30">
        <v>10988588</v>
      </c>
      <c r="D8" s="30">
        <v>14051817906.440096</v>
      </c>
      <c r="E8" s="34">
        <f t="shared" si="0"/>
        <v>3.5283898488762446</v>
      </c>
      <c r="F8" s="43">
        <f t="shared" si="2"/>
        <v>4511.9802161424814</v>
      </c>
      <c r="G8" s="43">
        <f t="shared" si="3"/>
        <v>1278.7646516950217</v>
      </c>
      <c r="H8" s="27">
        <v>0.35984187194951273</v>
      </c>
      <c r="I8" s="59">
        <f>(B8/('Consumidores Inadimplentes'!B44*1000000))</f>
        <v>4.9141676102226348E-2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3114947</v>
      </c>
      <c r="C9" s="30">
        <v>11040913</v>
      </c>
      <c r="D9" s="30">
        <v>14152869601.470156</v>
      </c>
      <c r="E9" s="34">
        <f t="shared" si="0"/>
        <v>3.544494657533499</v>
      </c>
      <c r="F9" s="43">
        <f t="shared" si="2"/>
        <v>4543.534641671321</v>
      </c>
      <c r="G9" s="43">
        <f t="shared" si="3"/>
        <v>1281.8568175901898</v>
      </c>
      <c r="H9" s="27">
        <v>0.36152492401366959</v>
      </c>
      <c r="I9" s="59">
        <f>(B9/('Consumidores Inadimplentes'!B45*1000000))</f>
        <v>4.9092489791385835E-2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3104686</v>
      </c>
      <c r="C10" s="30">
        <v>10984114</v>
      </c>
      <c r="D10" s="30">
        <v>14203042109.130209</v>
      </c>
      <c r="E10" s="34">
        <f t="shared" si="0"/>
        <v>3.5379146232501451</v>
      </c>
      <c r="F10" s="43">
        <f t="shared" si="2"/>
        <v>4574.7112941953583</v>
      </c>
      <c r="G10" s="43">
        <f t="shared" si="3"/>
        <v>1293.0530499893036</v>
      </c>
      <c r="H10" s="27">
        <v>0.35949680669700707</v>
      </c>
      <c r="I10" s="59">
        <f>(B10/('Consumidores Inadimplentes'!B46*1000000))</f>
        <v>4.8920914502993289E-2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3101923</v>
      </c>
      <c r="C11" s="30">
        <v>10986433</v>
      </c>
      <c r="D11" s="30">
        <v>14455080968.820194</v>
      </c>
      <c r="E11" s="34">
        <f t="shared" si="0"/>
        <v>3.5418135782222833</v>
      </c>
      <c r="F11" s="43">
        <f t="shared" si="2"/>
        <v>4660.0386175995327</v>
      </c>
      <c r="G11" s="43">
        <f t="shared" si="3"/>
        <v>1315.7210323696686</v>
      </c>
      <c r="H11" s="27">
        <v>0.35835425132832349</v>
      </c>
      <c r="I11" s="59">
        <f>(B11/('Consumidores Inadimplentes'!B47*1000000))</f>
        <v>4.8904679056338246E-2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3101921</v>
      </c>
      <c r="C12" s="30">
        <v>10915535</v>
      </c>
      <c r="D12" s="30">
        <v>14336849152.250217</v>
      </c>
      <c r="E12" s="34">
        <f t="shared" si="0"/>
        <v>3.518959702713254</v>
      </c>
      <c r="F12" s="43">
        <f t="shared" si="2"/>
        <v>4621.9259459703253</v>
      </c>
      <c r="G12" s="43">
        <f t="shared" si="3"/>
        <v>1313.4353151036773</v>
      </c>
      <c r="H12" s="27">
        <v>0.35816207142570955</v>
      </c>
      <c r="I12" s="59">
        <f>(B12/('Consumidores Inadimplentes'!B48*1000000))</f>
        <v>4.9075896477850912E-2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3118393</v>
      </c>
      <c r="C13" s="30">
        <v>10949210</v>
      </c>
      <c r="D13" s="30">
        <v>14351767922.570263</v>
      </c>
      <c r="E13" s="34">
        <f t="shared" si="0"/>
        <v>3.5111706574508088</v>
      </c>
      <c r="F13" s="43">
        <f t="shared" si="2"/>
        <v>4602.2960937156613</v>
      </c>
      <c r="G13" s="43">
        <f t="shared" si="3"/>
        <v>1310.7583033451967</v>
      </c>
      <c r="H13" s="27">
        <v>0.35987111821222678</v>
      </c>
      <c r="I13" s="59">
        <f>(B13/('Consumidores Inadimplentes'!B49*1000000))</f>
        <v>4.8838279373940217E-2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3062352</v>
      </c>
      <c r="C14" s="30">
        <v>10734981</v>
      </c>
      <c r="D14" s="30">
        <v>14356580413.220335</v>
      </c>
      <c r="E14" s="34">
        <f t="shared" si="0"/>
        <v>3.505469325538018</v>
      </c>
      <c r="F14" s="43">
        <f t="shared" si="2"/>
        <v>4688.0895511751542</v>
      </c>
      <c r="G14" s="43">
        <f t="shared" si="3"/>
        <v>1337.3643058353186</v>
      </c>
      <c r="H14" s="27">
        <v>0.3532145344799606</v>
      </c>
      <c r="I14" s="59">
        <f>(B14/('Consumidores Inadimplentes'!B50*1000000))</f>
        <v>4.7968445591238529E-2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3080437</v>
      </c>
      <c r="C15" s="31">
        <v>10770128</v>
      </c>
      <c r="D15" s="31">
        <v>14422508229.330311</v>
      </c>
      <c r="E15" s="35">
        <f t="shared" si="0"/>
        <v>3.4962987394320999</v>
      </c>
      <c r="F15" s="43">
        <f t="shared" si="2"/>
        <v>4681.9682497419399</v>
      </c>
      <c r="G15" s="43">
        <f t="shared" si="3"/>
        <v>1339.1213390713938</v>
      </c>
      <c r="H15" s="27">
        <v>0.35511013999960345</v>
      </c>
      <c r="I15" s="59">
        <f>(B15/('Consumidores Inadimplentes'!B51*1000000))</f>
        <v>4.8658447093570173E-2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3109611</v>
      </c>
      <c r="C16" s="29">
        <v>10902503</v>
      </c>
      <c r="D16" s="29">
        <v>14450986181.720264</v>
      </c>
      <c r="E16" s="33">
        <f t="shared" si="0"/>
        <v>3.5060665144289751</v>
      </c>
      <c r="F16" s="45">
        <f t="shared" si="2"/>
        <v>4647.2006246827223</v>
      </c>
      <c r="G16" s="45">
        <f t="shared" si="3"/>
        <v>1325.4741761337066</v>
      </c>
      <c r="H16" s="26">
        <v>0.35828127907438956</v>
      </c>
      <c r="I16" s="59">
        <f>(B16/('Consumidores Inadimplentes'!B52*1000000))</f>
        <v>4.8753464123936462E-2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3129776</v>
      </c>
      <c r="C17" s="30">
        <v>10916255</v>
      </c>
      <c r="D17" s="30">
        <v>14448535553.030293</v>
      </c>
      <c r="E17" s="34">
        <f t="shared" si="0"/>
        <v>3.4878710169673486</v>
      </c>
      <c r="F17" s="43">
        <f t="shared" si="2"/>
        <v>4616.4759244847846</v>
      </c>
      <c r="G17" s="43">
        <f t="shared" si="3"/>
        <v>1323.5798864198657</v>
      </c>
      <c r="H17" s="27">
        <v>0.36041146043072597</v>
      </c>
      <c r="I17" s="59">
        <f>(B17/('Consumidores Inadimplentes'!B53*1000000))</f>
        <v>4.8987180170448459E-2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3258666</v>
      </c>
      <c r="C18" s="30">
        <v>11278833</v>
      </c>
      <c r="D18" s="30">
        <v>14693866546.790257</v>
      </c>
      <c r="E18" s="34">
        <f t="shared" si="0"/>
        <v>3.4611810477047968</v>
      </c>
      <c r="F18" s="43">
        <f t="shared" si="2"/>
        <v>4509.1661884925479</v>
      </c>
      <c r="G18" s="43">
        <f t="shared" si="3"/>
        <v>1302.782526063668</v>
      </c>
      <c r="H18" s="27">
        <v>0.37505287130155535</v>
      </c>
      <c r="I18" s="59">
        <f>(B18/('Consumidores Inadimplentes'!B54*1000000))</f>
        <v>5.027824431482468E-2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3247395</v>
      </c>
      <c r="C19" s="30">
        <v>11110919</v>
      </c>
      <c r="D19" s="30">
        <v>14507358072.760263</v>
      </c>
      <c r="E19" s="34">
        <f t="shared" si="0"/>
        <v>3.4214867609268351</v>
      </c>
      <c r="F19" s="43">
        <f t="shared" si="2"/>
        <v>4467.3832634343107</v>
      </c>
      <c r="G19" s="43">
        <f t="shared" si="3"/>
        <v>1305.6848018386474</v>
      </c>
      <c r="H19" s="27">
        <v>0.37355542395856628</v>
      </c>
      <c r="I19" s="59">
        <f>(B19/('Consumidores Inadimplentes'!B55*1000000))</f>
        <v>4.927117870423367E-2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3190156</v>
      </c>
      <c r="C20" s="30">
        <v>10892909</v>
      </c>
      <c r="D20" s="30">
        <v>14152215630.330259</v>
      </c>
      <c r="E20" s="34">
        <f t="shared" si="0"/>
        <v>3.4145380351305703</v>
      </c>
      <c r="F20" s="43">
        <f t="shared" si="2"/>
        <v>4436.2142886837692</v>
      </c>
      <c r="G20" s="43">
        <f t="shared" si="3"/>
        <v>1299.2136104625733</v>
      </c>
      <c r="H20" s="27">
        <v>0.36677452069570621</v>
      </c>
      <c r="I20" s="59">
        <f>(B20/('Consumidores Inadimplentes'!B56*1000000))</f>
        <v>4.8904813397939104E-2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3122994</v>
      </c>
      <c r="C21" s="30">
        <v>10663231</v>
      </c>
      <c r="D21" s="30">
        <v>13900704678.170284</v>
      </c>
      <c r="E21" s="34">
        <f t="shared" si="0"/>
        <v>3.414425708150576</v>
      </c>
      <c r="F21" s="43">
        <f t="shared" si="2"/>
        <v>4451.0827360444127</v>
      </c>
      <c r="G21" s="43">
        <f t="shared" si="3"/>
        <v>1303.6109485174131</v>
      </c>
      <c r="H21" s="27">
        <v>0.35866820485816614</v>
      </c>
      <c r="I21" s="59">
        <f>(B21/('Consumidores Inadimplentes'!B57*1000000))</f>
        <v>4.8796254402940741E-2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3134897</v>
      </c>
      <c r="C22" s="30">
        <v>10739892</v>
      </c>
      <c r="D22" s="30">
        <v>14037095580.030266</v>
      </c>
      <c r="E22" s="34">
        <f t="shared" si="0"/>
        <v>3.4259154288003719</v>
      </c>
      <c r="F22" s="43">
        <f t="shared" si="2"/>
        <v>4477.6895636540103</v>
      </c>
      <c r="G22" s="43">
        <f t="shared" si="3"/>
        <v>1307.0052827375048</v>
      </c>
      <c r="H22" s="27">
        <v>0.35990259464428975</v>
      </c>
      <c r="I22" s="59">
        <f>(B22/('Consumidores Inadimplentes'!B58*1000000))</f>
        <v>4.936602570767893E-2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3115303</v>
      </c>
      <c r="C23" s="30">
        <v>10708281</v>
      </c>
      <c r="D23" s="30">
        <v>13916450112.650293</v>
      </c>
      <c r="E23" s="34">
        <f t="shared" si="0"/>
        <v>3.4373160491932886</v>
      </c>
      <c r="F23" s="43">
        <f t="shared" si="2"/>
        <v>4467.1257057982139</v>
      </c>
      <c r="G23" s="43">
        <f t="shared" si="3"/>
        <v>1299.5970233364528</v>
      </c>
      <c r="H23" s="27">
        <v>0.35752134533386493</v>
      </c>
      <c r="I23" s="59">
        <f>(B23/('Consumidores Inadimplentes'!B59*1000000))</f>
        <v>4.9409701894028289E-2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3120556</v>
      </c>
      <c r="C24" s="30">
        <v>10702094</v>
      </c>
      <c r="D24" s="30">
        <v>13849655425.160259</v>
      </c>
      <c r="E24" s="34">
        <f t="shared" si="0"/>
        <v>3.4295471704401397</v>
      </c>
      <c r="F24" s="43">
        <f t="shared" si="2"/>
        <v>4438.2012132325972</v>
      </c>
      <c r="G24" s="43">
        <f t="shared" si="3"/>
        <v>1294.1070621469275</v>
      </c>
      <c r="H24" s="27">
        <v>0.35799227356290853</v>
      </c>
      <c r="I24" s="59">
        <f>(B24/('Consumidores Inadimplentes'!B60*1000000))</f>
        <v>4.9719444289187377E-2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3015955</v>
      </c>
      <c r="C25" s="30">
        <v>10314079</v>
      </c>
      <c r="D25" s="30">
        <v>13636652397.510225</v>
      </c>
      <c r="E25" s="34">
        <f t="shared" si="0"/>
        <v>3.4198384922851965</v>
      </c>
      <c r="F25" s="43">
        <f t="shared" si="2"/>
        <v>4521.5039340806561</v>
      </c>
      <c r="G25" s="43">
        <f t="shared" si="3"/>
        <v>1322.1396110607864</v>
      </c>
      <c r="H25" s="27">
        <v>0.34586493153641434</v>
      </c>
      <c r="I25" s="59">
        <f>(B25/('Consumidores Inadimplentes'!B61*1000000))</f>
        <v>4.8425904995884221E-2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2977147</v>
      </c>
      <c r="C26" s="30">
        <v>10145817</v>
      </c>
      <c r="D26" s="30">
        <v>13240055657.500183</v>
      </c>
      <c r="E26" s="34">
        <f t="shared" si="0"/>
        <v>3.4078992404473141</v>
      </c>
      <c r="F26" s="43">
        <f t="shared" si="2"/>
        <v>4447.2293969697103</v>
      </c>
      <c r="G26" s="43">
        <f t="shared" si="3"/>
        <v>1304.9767857532008</v>
      </c>
      <c r="H26" s="27">
        <v>0.34128873986186342</v>
      </c>
      <c r="I26" s="59">
        <f>(B26/('Consumidores Inadimplentes'!B62*1000000))</f>
        <v>4.8058266665398953E-2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2919138</v>
      </c>
      <c r="C27" s="31">
        <v>9943158</v>
      </c>
      <c r="D27" s="31">
        <v>12967956439.870188</v>
      </c>
      <c r="E27" s="35">
        <f t="shared" si="0"/>
        <v>3.4061966237978472</v>
      </c>
      <c r="F27" s="46">
        <f t="shared" si="2"/>
        <v>4442.3923911340225</v>
      </c>
      <c r="G27" s="46">
        <f t="shared" si="3"/>
        <v>1304.2090289493729</v>
      </c>
      <c r="H27" s="28">
        <v>0.33451556094198065</v>
      </c>
      <c r="I27" s="59">
        <f>(B27/('Consumidores Inadimplentes'!B63*1000000))</f>
        <v>4.7572962253739054E-2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2955133</v>
      </c>
      <c r="C28" s="29">
        <v>9990101</v>
      </c>
      <c r="D28" s="29">
        <v>13029863336.510212</v>
      </c>
      <c r="E28" s="33">
        <f t="shared" si="0"/>
        <v>3.380592683984105</v>
      </c>
      <c r="F28" s="45">
        <f t="shared" si="2"/>
        <v>4409.2307644055991</v>
      </c>
      <c r="G28" s="45">
        <f t="shared" si="3"/>
        <v>1304.2774378867853</v>
      </c>
      <c r="H28" s="26">
        <v>0.33851561569267141</v>
      </c>
      <c r="I28" s="59">
        <f>(B28/('Consumidores Inadimplentes'!B64*1000000))</f>
        <v>4.7918991329063645E-2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2980435</v>
      </c>
      <c r="C29" s="30">
        <v>10031418</v>
      </c>
      <c r="D29" s="30">
        <v>13097514806.63019</v>
      </c>
      <c r="E29" s="34">
        <f t="shared" si="0"/>
        <v>3.3657563409368096</v>
      </c>
      <c r="F29" s="43">
        <f t="shared" si="2"/>
        <v>4394.4977181620097</v>
      </c>
      <c r="G29" s="43">
        <f t="shared" si="3"/>
        <v>1305.6493914051023</v>
      </c>
      <c r="H29" s="27">
        <v>0.34128823459156793</v>
      </c>
      <c r="I29" s="59">
        <f>(B29/('Consumidores Inadimplentes'!B65*1000000))</f>
        <v>4.8419039610107517E-2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3034970</v>
      </c>
      <c r="C30" s="30">
        <v>10088586</v>
      </c>
      <c r="D30" s="30">
        <v>13298831460.730215</v>
      </c>
      <c r="E30" s="34">
        <f t="shared" si="0"/>
        <v>3.3241139121638765</v>
      </c>
      <c r="F30" s="43">
        <f t="shared" si="2"/>
        <v>4381.8658704139461</v>
      </c>
      <c r="G30" s="43">
        <f t="shared" si="3"/>
        <v>1318.2056891550722</v>
      </c>
      <c r="H30" s="27">
        <v>0.34740499638569317</v>
      </c>
      <c r="I30" s="59">
        <f>(B30/('Consumidores Inadimplentes'!B66*1000000))</f>
        <v>4.8515015817570104E-2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3092615</v>
      </c>
      <c r="C31" s="30">
        <v>10264302</v>
      </c>
      <c r="D31" s="30">
        <v>13433890698.990219</v>
      </c>
      <c r="E31" s="34">
        <f t="shared" si="0"/>
        <v>3.3189718086473743</v>
      </c>
      <c r="F31" s="43">
        <f t="shared" si="2"/>
        <v>4343.8613273848241</v>
      </c>
      <c r="G31" s="43">
        <f t="shared" si="3"/>
        <v>1308.7972956164208</v>
      </c>
      <c r="H31" s="27">
        <v>0.35387307545403346</v>
      </c>
      <c r="I31" s="59">
        <f>(B31/('Consumidores Inadimplentes'!B67*1000000))</f>
        <v>4.9103490144704547E-2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3144336</v>
      </c>
      <c r="C32" s="30">
        <v>10327048</v>
      </c>
      <c r="D32" s="30">
        <v>13475996086.090174</v>
      </c>
      <c r="E32" s="34">
        <f t="shared" si="0"/>
        <v>3.2843334809002602</v>
      </c>
      <c r="F32" s="43">
        <f t="shared" si="2"/>
        <v>4285.8002726458535</v>
      </c>
      <c r="G32" s="43">
        <f t="shared" si="3"/>
        <v>1304.9223830556584</v>
      </c>
      <c r="H32" s="27">
        <v>0.3596587450303424</v>
      </c>
      <c r="I32" s="59">
        <f>(B32/('Consumidores Inadimplentes'!B68*1000000))</f>
        <v>5.0262085409080302E-2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3144447</v>
      </c>
      <c r="C33" s="30">
        <v>10279286</v>
      </c>
      <c r="D33" s="30">
        <v>13243966600.320215</v>
      </c>
      <c r="E33" s="34">
        <f t="shared" si="0"/>
        <v>3.2690282265848336</v>
      </c>
      <c r="F33" s="43">
        <f t="shared" si="2"/>
        <v>4211.8587466477302</v>
      </c>
      <c r="G33" s="43">
        <f t="shared" si="3"/>
        <v>1288.4130863097121</v>
      </c>
      <c r="H33" s="27">
        <v>0.35953893628192629</v>
      </c>
      <c r="I33" s="59">
        <f>(B33/('Consumidores Inadimplentes'!B69*1000000))</f>
        <v>5.0303560589064385E-2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3104653</v>
      </c>
      <c r="C34" s="30">
        <v>10120573</v>
      </c>
      <c r="D34" s="30">
        <v>13054137881.580162</v>
      </c>
      <c r="E34" s="34">
        <f>C34/B34</f>
        <v>3.2598081009375282</v>
      </c>
      <c r="F34" s="43">
        <f t="shared" si="2"/>
        <v>4204.701099150263</v>
      </c>
      <c r="G34" s="43">
        <f t="shared" si="3"/>
        <v>1289.8615406044858</v>
      </c>
      <c r="H34" s="27">
        <v>0.35498885404794267</v>
      </c>
      <c r="I34" s="59">
        <f>(B34/('Consumidores Inadimplentes'!B70*1000000))</f>
        <v>4.9894990243434731E-2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3106871</v>
      </c>
      <c r="C35" s="30">
        <v>10080925</v>
      </c>
      <c r="D35" s="30">
        <v>12947213420.670256</v>
      </c>
      <c r="E35" s="34">
        <f>C35/B35</f>
        <v>3.2447195264946629</v>
      </c>
      <c r="F35" s="43">
        <f t="shared" si="2"/>
        <v>4167.2838752140842</v>
      </c>
      <c r="G35" s="43">
        <f t="shared" si="3"/>
        <v>1284.3279183874752</v>
      </c>
      <c r="H35" s="27">
        <v>0.35515417897907509</v>
      </c>
      <c r="I35" s="59">
        <f>(B35/('Consumidores Inadimplentes'!B71*1000000))</f>
        <v>4.991057250863893E-2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3099990</v>
      </c>
      <c r="C36" s="30">
        <v>10169900</v>
      </c>
      <c r="D36" s="30">
        <v>13011509235.750214</v>
      </c>
      <c r="E36" s="34">
        <f>C36/B36</f>
        <v>3.2806234858822125</v>
      </c>
      <c r="F36" s="43">
        <f t="shared" si="2"/>
        <v>4197.2745833858216</v>
      </c>
      <c r="G36" s="43">
        <f t="shared" si="3"/>
        <v>1279.4136850657542</v>
      </c>
      <c r="H36" s="27">
        <v>0.3542795507812232</v>
      </c>
      <c r="I36" s="59">
        <f>(B36/('Consumidores Inadimplentes'!B72*1000000))</f>
        <v>4.9830839827571881E-2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3123445</v>
      </c>
      <c r="C37" s="30">
        <v>10196880</v>
      </c>
      <c r="D37" s="30">
        <v>13189836074.760208</v>
      </c>
      <c r="E37" s="34">
        <f>C37/B37</f>
        <v>3.2646260779363812</v>
      </c>
      <c r="F37" s="43">
        <f t="shared" si="2"/>
        <v>4222.8488335028178</v>
      </c>
      <c r="G37" s="43">
        <f t="shared" si="3"/>
        <v>1293.5168477769876</v>
      </c>
      <c r="H37" s="27">
        <v>0.35687137745179864</v>
      </c>
      <c r="I37" s="59">
        <f>(B37/('Consumidores Inadimplentes'!B73*1000000))</f>
        <v>4.9261775597250208E-2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3173342</v>
      </c>
      <c r="C38" s="30">
        <v>10331981</v>
      </c>
      <c r="D38" s="30">
        <v>13350026074.550179</v>
      </c>
      <c r="E38" s="34">
        <f t="shared" ref="E38:E45" si="4">C38/B38</f>
        <v>3.2558674734711861</v>
      </c>
      <c r="F38" s="43">
        <f t="shared" si="2"/>
        <v>4206.9295003659163</v>
      </c>
      <c r="G38" s="43">
        <f t="shared" si="3"/>
        <v>1292.1071065219901</v>
      </c>
      <c r="H38" s="27">
        <v>0.36248227335162875</v>
      </c>
      <c r="I38" s="59">
        <f>(B38/('Consumidores Inadimplentes'!B74*1000000))</f>
        <v>4.9375420785574275E-2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3128175</v>
      </c>
      <c r="C39" s="31">
        <v>10353990</v>
      </c>
      <c r="D39" s="31">
        <v>13046198317.460136</v>
      </c>
      <c r="E39" s="35">
        <f t="shared" si="4"/>
        <v>3.3099139274497111</v>
      </c>
      <c r="F39" s="46">
        <f t="shared" si="2"/>
        <v>4170.5461866615951</v>
      </c>
      <c r="G39" s="46">
        <f t="shared" si="3"/>
        <v>1260.0165074005417</v>
      </c>
      <c r="H39" s="28">
        <v>0.35723417548558234</v>
      </c>
      <c r="I39" s="59">
        <f>(B39/('Consumidores Inadimplentes'!B75*1000000))</f>
        <v>4.8900003742329279E-2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3139862</v>
      </c>
      <c r="C40" s="29">
        <v>10487313</v>
      </c>
      <c r="D40" s="29">
        <v>13379476875.750198</v>
      </c>
      <c r="E40" s="33">
        <f t="shared" si="4"/>
        <v>3.340055390969412</v>
      </c>
      <c r="F40" s="45">
        <f t="shared" si="2"/>
        <v>4261.1671709617167</v>
      </c>
      <c r="G40" s="45">
        <f t="shared" si="3"/>
        <v>1275.7773965314279</v>
      </c>
      <c r="H40" s="26">
        <v>0.35847969614199526</v>
      </c>
      <c r="I40" s="59">
        <f>(B40/('Consumidores Inadimplentes'!B76*1000000))</f>
        <v>4.8441621624006698E-2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3170382</v>
      </c>
      <c r="C41" s="30">
        <v>10633665</v>
      </c>
      <c r="D41" s="30">
        <v>13535443579.770199</v>
      </c>
      <c r="E41" s="34">
        <f t="shared" si="4"/>
        <v>3.3540642736427344</v>
      </c>
      <c r="F41" s="43">
        <f t="shared" si="2"/>
        <v>4269.3415429970892</v>
      </c>
      <c r="G41" s="43">
        <f t="shared" si="3"/>
        <v>1272.8860256337018</v>
      </c>
      <c r="H41" s="27">
        <v>0.36187423703102556</v>
      </c>
      <c r="I41" s="59">
        <f>(B41/('Consumidores Inadimplentes'!B77*1000000))</f>
        <v>4.8648512288315085E-2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3233293</v>
      </c>
      <c r="C42" s="30">
        <v>10813876</v>
      </c>
      <c r="D42" s="30">
        <v>13724531755.37015</v>
      </c>
      <c r="E42" s="34">
        <f t="shared" si="4"/>
        <v>3.3445394525024486</v>
      </c>
      <c r="F42" s="43">
        <f t="shared" si="2"/>
        <v>4244.7534929157828</v>
      </c>
      <c r="G42" s="43">
        <f t="shared" si="3"/>
        <v>1269.1593426233248</v>
      </c>
      <c r="H42" s="27">
        <v>0.36896330933634502</v>
      </c>
      <c r="I42" s="59">
        <f>(B42/('Consumidores Inadimplentes'!B78*1000000))</f>
        <v>4.9217491489555308E-2</v>
      </c>
    </row>
    <row r="43" spans="1:16" x14ac:dyDescent="0.35">
      <c r="A43" s="5">
        <v>44652</v>
      </c>
      <c r="B43" s="30">
        <v>3239312</v>
      </c>
      <c r="C43" s="30">
        <v>10855724</v>
      </c>
      <c r="D43" s="30">
        <v>13953919679.540234</v>
      </c>
      <c r="E43" s="34">
        <f t="shared" si="4"/>
        <v>3.3512437208888799</v>
      </c>
      <c r="F43" s="43">
        <f t="shared" si="2"/>
        <v>4307.6800504367084</v>
      </c>
      <c r="G43" s="43">
        <f t="shared" si="3"/>
        <v>1285.3974253159195</v>
      </c>
      <c r="H43" s="27">
        <v>0.36955831026240676</v>
      </c>
      <c r="I43" s="59">
        <f>(B43/('Consumidores Inadimplentes'!B79*1000000))</f>
        <v>4.8982023559611301E-2</v>
      </c>
    </row>
    <row r="44" spans="1:16" x14ac:dyDescent="0.35">
      <c r="A44" s="5">
        <v>44682</v>
      </c>
      <c r="B44" s="30">
        <v>3261679</v>
      </c>
      <c r="C44" s="30">
        <v>10998923</v>
      </c>
      <c r="D44" s="30">
        <v>14208587806.920164</v>
      </c>
      <c r="E44" s="34">
        <f t="shared" si="4"/>
        <v>3.3721659918097395</v>
      </c>
      <c r="F44" s="43">
        <f t="shared" si="2"/>
        <v>4356.2189310843169</v>
      </c>
      <c r="G44" s="43">
        <f t="shared" si="3"/>
        <v>1291.8162811868185</v>
      </c>
      <c r="H44" s="27">
        <v>0.37201757847697303</v>
      </c>
      <c r="I44" s="59">
        <f>(B44/('Consumidores Inadimplentes'!B80*1000000))</f>
        <v>4.8989004445761625E-2</v>
      </c>
    </row>
    <row r="45" spans="1:16" x14ac:dyDescent="0.35">
      <c r="A45" s="5">
        <v>44713</v>
      </c>
      <c r="B45" s="30">
        <v>3268601</v>
      </c>
      <c r="C45" s="30">
        <v>11118441</v>
      </c>
      <c r="D45" s="30">
        <v>14294228411.130501</v>
      </c>
      <c r="E45" s="34">
        <f t="shared" si="4"/>
        <v>3.4015901604386709</v>
      </c>
      <c r="F45" s="43">
        <f t="shared" si="2"/>
        <v>4373.1946515131403</v>
      </c>
      <c r="G45" s="43">
        <f t="shared" si="3"/>
        <v>1285.6324381386296</v>
      </c>
      <c r="H45" s="27">
        <v>0.37271445071387121</v>
      </c>
      <c r="I45" s="59">
        <f>(B45/('Consumidores Inadimplentes'!B81*1000000))</f>
        <v>4.8917513642341488E-2</v>
      </c>
    </row>
    <row r="46" spans="1:16" x14ac:dyDescent="0.35">
      <c r="A46" s="5">
        <v>44743</v>
      </c>
      <c r="B46" s="30">
        <v>3297682</v>
      </c>
      <c r="C46" s="30">
        <v>11490074</v>
      </c>
      <c r="D46" s="30">
        <v>14556990179.39049</v>
      </c>
      <c r="E46" s="34">
        <f t="shared" ref="E46" si="5">C46/B46</f>
        <v>3.4842880544576462</v>
      </c>
      <c r="F46" s="43">
        <f t="shared" ref="F46" si="6">D46/B46</f>
        <v>4414.3098635315628</v>
      </c>
      <c r="G46" s="43">
        <f t="shared" ref="G46" si="7">F46/E46</f>
        <v>1266.9187491212408</v>
      </c>
      <c r="H46" s="27">
        <v>0.37593706904286062</v>
      </c>
      <c r="I46" s="59">
        <f>(B46/('Consumidores Inadimplentes'!B82*1000000))</f>
        <v>4.8758988476643159E-2</v>
      </c>
    </row>
    <row r="47" spans="1:16" x14ac:dyDescent="0.35">
      <c r="A47" s="5">
        <v>44774</v>
      </c>
      <c r="B47" s="30">
        <v>3329920</v>
      </c>
      <c r="C47" s="30">
        <v>11667824</v>
      </c>
      <c r="D47" s="30">
        <v>14643410560.1404</v>
      </c>
      <c r="E47" s="34">
        <f t="shared" ref="E47" si="8">C47/B47</f>
        <v>3.5039352296751876</v>
      </c>
      <c r="F47" s="43">
        <f t="shared" ref="F47" si="9">D47/B47</f>
        <v>4397.5262349066643</v>
      </c>
      <c r="G47" s="43">
        <f t="shared" ref="G47" si="10">F47/E47</f>
        <v>1255.0249781056348</v>
      </c>
      <c r="H47" s="27">
        <v>0.37949198819603408</v>
      </c>
      <c r="I47" s="59">
        <f>(B47/('Consumidores Inadimplentes'!B83*1000000))</f>
        <v>4.8986527513341024E-2</v>
      </c>
    </row>
    <row r="48" spans="1:16" x14ac:dyDescent="0.35">
      <c r="A48" s="5">
        <v>44805</v>
      </c>
      <c r="B48" s="30">
        <v>3329703</v>
      </c>
      <c r="C48" s="30">
        <v>11759812</v>
      </c>
      <c r="D48" s="30">
        <v>15063857433.130337</v>
      </c>
      <c r="E48" s="34">
        <f t="shared" ref="E48" si="11">C48/B48</f>
        <v>3.5317900725680338</v>
      </c>
      <c r="F48" s="43">
        <f t="shared" ref="F48" si="12">D48/B48</f>
        <v>4524.0844102703268</v>
      </c>
      <c r="G48" s="43">
        <f t="shared" ref="G48" si="13">F48/E48</f>
        <v>1280.960735862983</v>
      </c>
      <c r="H48" s="27">
        <v>0.37934707292247938</v>
      </c>
      <c r="I48" s="59">
        <f>(B48/('Consumidores Inadimplentes'!B84*1000000))</f>
        <v>4.8688375362192303E-2</v>
      </c>
    </row>
    <row r="49" spans="1:16" x14ac:dyDescent="0.35">
      <c r="A49" s="5">
        <v>44835</v>
      </c>
      <c r="B49" s="30">
        <v>3397805</v>
      </c>
      <c r="C49" s="30">
        <v>11941539</v>
      </c>
      <c r="D49" s="30">
        <v>15220830506.030397</v>
      </c>
      <c r="E49" s="34">
        <f t="shared" ref="E49" si="14">C49/B49</f>
        <v>3.5144862639262699</v>
      </c>
      <c r="F49" s="43">
        <f t="shared" ref="F49" si="15">D49/B49</f>
        <v>4479.6068361870084</v>
      </c>
      <c r="G49" s="43">
        <f t="shared" ref="G49" si="16">F49/E49</f>
        <v>1274.6121338321968</v>
      </c>
      <c r="H49" s="27">
        <v>0.38698320171011291</v>
      </c>
      <c r="I49" s="59">
        <f>(B49/('Consumidores Inadimplentes'!B85*1000000))</f>
        <v>4.9203161346975471E-2</v>
      </c>
    </row>
    <row r="50" spans="1:16" x14ac:dyDescent="0.35">
      <c r="A50" s="5">
        <v>44866</v>
      </c>
      <c r="B50" s="30">
        <v>3426969</v>
      </c>
      <c r="C50" s="30">
        <v>12234984</v>
      </c>
      <c r="D50" s="30">
        <v>15744097228.400301</v>
      </c>
      <c r="E50" s="34">
        <f t="shared" ref="E50" si="17">C50/B50</f>
        <v>3.5702056248539162</v>
      </c>
      <c r="F50" s="43">
        <f t="shared" ref="F50" si="18">D50/B50</f>
        <v>4594.1755610862838</v>
      </c>
      <c r="G50" s="43">
        <f t="shared" ref="G50" si="19">F50/E50</f>
        <v>1286.8097930001625</v>
      </c>
      <c r="H50" s="27">
        <v>0.39018112332874988</v>
      </c>
      <c r="I50" s="59">
        <f>(B50/('Consumidores Inadimplentes'!B86*1000000))</f>
        <v>4.9072545558299478E-2</v>
      </c>
    </row>
    <row r="51" spans="1:16" ht="15" thickBot="1" x14ac:dyDescent="0.4">
      <c r="A51" s="12">
        <v>44896</v>
      </c>
      <c r="B51" s="31">
        <v>3452482</v>
      </c>
      <c r="C51" s="31">
        <v>12411942</v>
      </c>
      <c r="D51" s="31">
        <v>15836074990.700373</v>
      </c>
      <c r="E51" s="35">
        <f t="shared" ref="E51" si="20">C51/B51</f>
        <v>3.5950779757866949</v>
      </c>
      <c r="F51" s="46">
        <f t="shared" ref="F51" si="21">D51/B51</f>
        <v>4586.8667789434885</v>
      </c>
      <c r="G51" s="46">
        <f t="shared" ref="G51" si="22">F51/E51</f>
        <v>1275.8740727841277</v>
      </c>
      <c r="H51" s="28">
        <v>0.39296141821511155</v>
      </c>
      <c r="I51" s="59">
        <f>(B51/('Consumidores Inadimplentes'!B87*1000000))</f>
        <v>4.9726573714193006E-2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3465117</v>
      </c>
      <c r="C52" s="29">
        <v>12601478</v>
      </c>
      <c r="D52" s="29">
        <v>16405582273.410332</v>
      </c>
      <c r="E52" s="33">
        <f t="shared" ref="E52" si="23">C52/B52</f>
        <v>3.636667391028932</v>
      </c>
      <c r="F52" s="45">
        <f t="shared" ref="F52" si="24">D52/B52</f>
        <v>4734.4959126662479</v>
      </c>
      <c r="G52" s="45">
        <f t="shared" ref="G52" si="25">F52/E52</f>
        <v>1301.8776268474485</v>
      </c>
      <c r="H52" s="26">
        <v>0.39427464278387414</v>
      </c>
      <c r="I52" s="59">
        <f>(B52/('Consumidores Inadimplentes'!B88*1000000))</f>
        <v>4.9436008403523794E-2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3519043</v>
      </c>
      <c r="C53" s="30">
        <v>13139146</v>
      </c>
      <c r="D53" s="30">
        <v>16768081963.760195</v>
      </c>
      <c r="E53" s="34">
        <f t="shared" ref="E53" si="26">C53/B53</f>
        <v>3.7337270388568711</v>
      </c>
      <c r="F53" s="43">
        <f t="shared" ref="F53" si="27">D53/B53</f>
        <v>4764.9551209690235</v>
      </c>
      <c r="G53" s="43">
        <f t="shared" ref="G53" si="28">F53/E53</f>
        <v>1276.192681302133</v>
      </c>
      <c r="H53" s="27">
        <v>0.40028375551435608</v>
      </c>
      <c r="I53" s="59">
        <f>(B53/('Consumidores Inadimplentes'!B89*1000000))</f>
        <v>4.9896433907585733E-2</v>
      </c>
    </row>
    <row r="54" spans="1:16" x14ac:dyDescent="0.35">
      <c r="A54" s="5">
        <v>44986</v>
      </c>
      <c r="B54" s="30">
        <v>3544370</v>
      </c>
      <c r="C54" s="30">
        <v>13392674</v>
      </c>
      <c r="D54" s="30">
        <v>17218856665.090183</v>
      </c>
      <c r="E54" s="34">
        <f t="shared" ref="E54" si="29">C54/B54</f>
        <v>3.7785767287275314</v>
      </c>
      <c r="F54" s="43">
        <f t="shared" ref="F54" si="30">D54/B54</f>
        <v>4858.0866741029249</v>
      </c>
      <c r="G54" s="43">
        <f t="shared" ref="G54" si="31">F54/E54</f>
        <v>1285.692212405841</v>
      </c>
      <c r="H54" s="27">
        <v>0.4030369713705329</v>
      </c>
      <c r="I54" s="59">
        <f>(B54/('Consumidores Inadimplentes'!B90*1000000))</f>
        <v>5.0127287248320003E-2</v>
      </c>
    </row>
    <row r="55" spans="1:16" x14ac:dyDescent="0.35">
      <c r="A55" s="5">
        <v>45017</v>
      </c>
      <c r="B55" s="30">
        <v>3570505</v>
      </c>
      <c r="C55" s="30">
        <v>13571836</v>
      </c>
      <c r="D55" s="30">
        <v>17785112001.090034</v>
      </c>
      <c r="E55" s="34">
        <f t="shared" ref="E55:E56" si="32">C55/B55</f>
        <v>3.8010970436954996</v>
      </c>
      <c r="F55" s="43">
        <f t="shared" ref="F55:F56" si="33">D55/B55</f>
        <v>4981.1194778021691</v>
      </c>
      <c r="G55" s="43">
        <f t="shared" ref="G55:G56" si="34">F55/E55</f>
        <v>1310.4425960562767</v>
      </c>
      <c r="H55" s="27">
        <v>0.40588024793161076</v>
      </c>
      <c r="I55" s="59">
        <f>(B55/('Consumidores Inadimplentes'!B91*1000000))</f>
        <v>4.9979369978343659E-2</v>
      </c>
    </row>
    <row r="56" spans="1:16" x14ac:dyDescent="0.35">
      <c r="A56" s="5">
        <v>45047</v>
      </c>
      <c r="B56" s="30">
        <v>3582451</v>
      </c>
      <c r="C56" s="30">
        <v>13673662</v>
      </c>
      <c r="D56" s="30">
        <v>17822972458.350182</v>
      </c>
      <c r="E56" s="34">
        <f t="shared" si="32"/>
        <v>3.8168455060515831</v>
      </c>
      <c r="F56" s="43">
        <f t="shared" si="33"/>
        <v>4975.0778052093892</v>
      </c>
      <c r="G56" s="43">
        <f t="shared" si="34"/>
        <v>1303.4527589134632</v>
      </c>
      <c r="H56" s="27">
        <v>0.40710924165960111</v>
      </c>
      <c r="I56" s="59">
        <f>(B56/('Consumidores Inadimplentes'!B92*1000000))</f>
        <v>4.9822989327345538E-2</v>
      </c>
    </row>
    <row r="57" spans="1:16" x14ac:dyDescent="0.35">
      <c r="A57" s="5">
        <v>45078</v>
      </c>
      <c r="B57" s="30">
        <v>3548855</v>
      </c>
      <c r="C57" s="30">
        <v>13558873</v>
      </c>
      <c r="D57" s="30">
        <v>17876192229.640339</v>
      </c>
      <c r="E57" s="34">
        <f t="shared" ref="E57" si="35">C57/B57</f>
        <v>3.820633133785404</v>
      </c>
      <c r="F57" s="43">
        <f t="shared" ref="F57" si="36">D57/B57</f>
        <v>5037.1717722026788</v>
      </c>
      <c r="G57" s="43">
        <f t="shared" ref="G57" si="37">F57/E57</f>
        <v>1318.4128378251155</v>
      </c>
      <c r="H57" s="27">
        <v>0.40316366330221232</v>
      </c>
      <c r="I57" s="59">
        <f>(B57/('Consumidores Inadimplentes'!B93*1000000))</f>
        <v>4.9666612710856262E-2</v>
      </c>
    </row>
    <row r="58" spans="1:16" x14ac:dyDescent="0.35">
      <c r="A58" s="5">
        <v>45108</v>
      </c>
      <c r="B58" s="30">
        <v>3522023</v>
      </c>
      <c r="C58" s="30">
        <v>13438862</v>
      </c>
      <c r="D58" s="30">
        <v>18134335826.950096</v>
      </c>
      <c r="E58" s="34">
        <f t="shared" ref="E58" si="38">C58/B58</f>
        <v>3.8156655990037542</v>
      </c>
      <c r="F58" s="43">
        <f t="shared" ref="F58" si="39">D58/B58</f>
        <v>5148.8408300996607</v>
      </c>
      <c r="G58" s="43">
        <f t="shared" ref="G58" si="40">F58/E58</f>
        <v>1349.3951963306192</v>
      </c>
      <c r="H58" s="27">
        <v>0.39998875677787427</v>
      </c>
      <c r="I58" s="59">
        <f>(B58/('Consumidores Inadimplentes'!B94*1000000))</f>
        <v>4.9314903271101142E-2</v>
      </c>
    </row>
    <row r="59" spans="1:16" x14ac:dyDescent="0.35">
      <c r="A59" s="5">
        <v>45139</v>
      </c>
      <c r="B59" s="30">
        <v>3547700</v>
      </c>
      <c r="C59" s="30">
        <v>13669330</v>
      </c>
      <c r="D59" s="30">
        <v>18379777095.600063</v>
      </c>
      <c r="E59" s="34">
        <f t="shared" ref="E59" si="41">C59/B59</f>
        <v>3.8530118104687543</v>
      </c>
      <c r="F59" s="43">
        <f t="shared" ref="F59" si="42">D59/B59</f>
        <v>5180.7585465513048</v>
      </c>
      <c r="G59" s="43">
        <f t="shared" ref="G59" si="43">F59/E59</f>
        <v>1344.5997057353993</v>
      </c>
      <c r="H59" s="27">
        <v>0.40276542050483216</v>
      </c>
      <c r="I59" s="59">
        <f>(B59/('Consumidores Inadimplentes'!B95*1000000))</f>
        <v>4.945283091773648E-2</v>
      </c>
    </row>
    <row r="60" spans="1:16" x14ac:dyDescent="0.35">
      <c r="A60" s="5">
        <v>45170</v>
      </c>
      <c r="B60" s="30">
        <v>3580585</v>
      </c>
      <c r="C60" s="30">
        <v>13851684</v>
      </c>
      <c r="D60" s="30">
        <v>18786921313.760262</v>
      </c>
      <c r="E60" s="34">
        <f t="shared" ref="E60" si="44">C60/B60</f>
        <v>3.8685533229905169</v>
      </c>
      <c r="F60" s="43">
        <f t="shared" ref="F60" si="45">D60/B60</f>
        <v>5246.8860015221708</v>
      </c>
      <c r="G60" s="43">
        <f t="shared" ref="G60" si="46">F60/E60</f>
        <v>1356.2915031674315</v>
      </c>
      <c r="H60" s="27">
        <v>0.40635814822658189</v>
      </c>
      <c r="I60" s="59">
        <f>(B60/('Consumidores Inadimplentes'!B96*1000000))</f>
        <v>4.9853492966354988E-2</v>
      </c>
    </row>
    <row r="61" spans="1:16" x14ac:dyDescent="0.35">
      <c r="A61" s="5">
        <v>45200</v>
      </c>
      <c r="B61" s="30">
        <v>3591738</v>
      </c>
      <c r="C61" s="30">
        <v>13940295</v>
      </c>
      <c r="D61" s="30">
        <v>19476162528.2103</v>
      </c>
      <c r="E61" s="34">
        <f t="shared" ref="E61:E62" si="47">C61/B61</f>
        <v>3.8812115471674158</v>
      </c>
      <c r="F61" s="43">
        <f t="shared" ref="F61:F62" si="48">D61/B61</f>
        <v>5422.48976072595</v>
      </c>
      <c r="G61" s="43">
        <f t="shared" ref="G61:G62" si="49">F61/E61</f>
        <v>1397.1126527961067</v>
      </c>
      <c r="H61" s="27">
        <v>0.40748284748728564</v>
      </c>
      <c r="I61" s="59">
        <f>(B61/('Consumidores Inadimplentes'!B97*1000000))</f>
        <v>4.9918172421327768E-2</v>
      </c>
    </row>
    <row r="62" spans="1:16" x14ac:dyDescent="0.35">
      <c r="A62" s="5">
        <v>45231</v>
      </c>
      <c r="B62" s="30">
        <v>3577797</v>
      </c>
      <c r="C62" s="30">
        <v>13897811</v>
      </c>
      <c r="D62" s="30">
        <v>19609469356.620293</v>
      </c>
      <c r="E62" s="34">
        <f t="shared" si="47"/>
        <v>3.8844604654763812</v>
      </c>
      <c r="F62" s="43">
        <f t="shared" si="48"/>
        <v>5480.8781371945624</v>
      </c>
      <c r="G62" s="43">
        <f t="shared" si="49"/>
        <v>1410.9753943711203</v>
      </c>
      <c r="H62" s="27">
        <v>0.40576079191580655</v>
      </c>
      <c r="I62" s="59">
        <f>(B62/('Consumidores Inadimplentes'!B98*1000000))</f>
        <v>4.9823851967137234E-2</v>
      </c>
    </row>
    <row r="63" spans="1:16" ht="15" thickBot="1" x14ac:dyDescent="0.4">
      <c r="A63" s="12">
        <v>45261</v>
      </c>
      <c r="B63" s="31">
        <v>3513406</v>
      </c>
      <c r="C63" s="31">
        <v>13683736</v>
      </c>
      <c r="D63" s="31">
        <v>19105125064.670204</v>
      </c>
      <c r="E63" s="35">
        <f t="shared" ref="E63" si="50">C63/B63</f>
        <v>3.8947209630768547</v>
      </c>
      <c r="F63" s="46">
        <f t="shared" ref="F63" si="51">D63/B63</f>
        <v>5437.7789144409171</v>
      </c>
      <c r="G63" s="46">
        <f t="shared" ref="G63" si="52">F63/E63</f>
        <v>1396.1921703743924</v>
      </c>
      <c r="H63" s="28">
        <v>0.39832028710211548</v>
      </c>
      <c r="I63" s="59">
        <f>(B63/('Consumidores Inadimplentes'!B99*1000000))</f>
        <v>4.9413297903887654E-2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3564546</v>
      </c>
      <c r="C64" s="29">
        <v>13941153</v>
      </c>
      <c r="D64" s="29">
        <v>19841806483.650299</v>
      </c>
      <c r="E64" s="33">
        <f t="shared" ref="E64" si="53">C64/B64</f>
        <v>3.9110599217964923</v>
      </c>
      <c r="F64" s="45">
        <f t="shared" ref="F64" si="54">D64/B64</f>
        <v>5566.4329997846289</v>
      </c>
      <c r="G64" s="45">
        <f t="shared" ref="G64" si="55">F64/E64</f>
        <v>1423.254337976945</v>
      </c>
      <c r="H64" s="26">
        <v>0.40397828190010254</v>
      </c>
      <c r="I64" s="59">
        <f>(B64/('Consumidores Inadimplentes'!B100*1000000))</f>
        <v>4.9459623984609589E-2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3583791</v>
      </c>
      <c r="C65" s="30">
        <v>14032227</v>
      </c>
      <c r="D65" s="30">
        <v>19897926241.440239</v>
      </c>
      <c r="E65" s="34">
        <f t="shared" ref="E65" si="56">C65/B65</f>
        <v>3.9154702380802897</v>
      </c>
      <c r="F65" s="43">
        <f t="shared" ref="F65" si="57">D65/B65</f>
        <v>5552.2005165592072</v>
      </c>
      <c r="G65" s="43">
        <f t="shared" ref="G65" si="58">F65/E65</f>
        <v>1418.0162736421125</v>
      </c>
      <c r="H65" s="27">
        <v>0.40601883248729814</v>
      </c>
      <c r="I65" s="59">
        <f>(B65/('Consumidores Inadimplentes'!B101*1000000))</f>
        <v>4.9747746586469105E-2</v>
      </c>
    </row>
    <row r="66" spans="1:16" x14ac:dyDescent="0.35">
      <c r="A66" s="5">
        <v>45352</v>
      </c>
      <c r="B66" s="30">
        <v>3614103</v>
      </c>
      <c r="C66" s="30">
        <v>14181665</v>
      </c>
      <c r="D66" s="30">
        <v>20361769985.460297</v>
      </c>
      <c r="E66" s="34">
        <f t="shared" ref="E66" si="59">C66/B66</f>
        <v>3.9239792003714338</v>
      </c>
      <c r="F66" s="43">
        <f t="shared" ref="F66" si="60">D66/B66</f>
        <v>5633.9761167460629</v>
      </c>
      <c r="G66" s="43">
        <f t="shared" ref="G66" si="61">F66/E66</f>
        <v>1435.7813405873214</v>
      </c>
      <c r="H66" s="27">
        <v>0.4093113063533067</v>
      </c>
      <c r="I66" s="59">
        <f>(B66/('Consumidores Inadimplentes'!B102*1000000))</f>
        <v>4.9579695106185942E-2</v>
      </c>
    </row>
    <row r="67" spans="1:16" x14ac:dyDescent="0.35">
      <c r="A67" s="5">
        <v>45383</v>
      </c>
      <c r="B67" s="30">
        <v>3616074</v>
      </c>
      <c r="C67" s="30">
        <v>13417071</v>
      </c>
      <c r="D67" s="30">
        <v>20700798224.950356</v>
      </c>
      <c r="E67" s="34">
        <f t="shared" ref="E67" si="62">C67/B67</f>
        <v>3.7103972429767755</v>
      </c>
      <c r="F67" s="43">
        <f t="shared" ref="F67" si="63">D67/B67</f>
        <v>5724.6611172642915</v>
      </c>
      <c r="G67" s="43">
        <f t="shared" ref="G67" si="64">F67/E67</f>
        <v>1542.8701409532941</v>
      </c>
      <c r="H67" s="27">
        <v>0.40939279098502918</v>
      </c>
      <c r="I67" s="59">
        <f>(B67/('Consumidores Inadimplentes'!B103*1000000))</f>
        <v>4.9252038115503036E-2</v>
      </c>
    </row>
    <row r="68" spans="1:16" x14ac:dyDescent="0.35">
      <c r="A68" s="5">
        <v>45413</v>
      </c>
      <c r="B68" s="30">
        <v>3361568</v>
      </c>
      <c r="C68" s="30">
        <v>12367223</v>
      </c>
      <c r="D68" s="30">
        <v>18968164053.319996</v>
      </c>
      <c r="E68" s="34">
        <f t="shared" ref="E68" si="65">C68/B68</f>
        <v>3.6790042622966426</v>
      </c>
      <c r="F68" s="43">
        <f t="shared" ref="F68" si="66">D68/B68</f>
        <v>5642.6536822459029</v>
      </c>
      <c r="G68" s="43">
        <f t="shared" ref="G68" si="67">F68/E68</f>
        <v>1533.7448070047735</v>
      </c>
      <c r="H68" s="27">
        <v>0.3804472516000757</v>
      </c>
      <c r="I68" s="59">
        <f>(B68/('Consumidores Inadimplentes'!B104*1000000))</f>
        <v>4.6343856629470048E-2</v>
      </c>
    </row>
    <row r="69" spans="1:16" x14ac:dyDescent="0.35">
      <c r="A69" s="5">
        <v>45444</v>
      </c>
      <c r="B69" s="30">
        <v>3189950</v>
      </c>
      <c r="C69" s="30">
        <v>11690478</v>
      </c>
      <c r="D69" s="30">
        <v>17698607679.419998</v>
      </c>
      <c r="E69" s="34">
        <f t="shared" ref="E69" si="68">C69/B69</f>
        <v>3.6647840875248829</v>
      </c>
      <c r="F69" s="43">
        <f t="shared" ref="F69" si="69">D69/B69</f>
        <v>5548.2398405680333</v>
      </c>
      <c r="G69" s="43">
        <f t="shared" ref="G69" si="70">F69/E69</f>
        <v>1513.9336201154476</v>
      </c>
      <c r="H69" s="27">
        <v>0.36089934811957747</v>
      </c>
      <c r="I69" s="59">
        <f>(B69/('Consumidores Inadimplentes'!B105*1000000))</f>
        <v>4.3998623359425615E-2</v>
      </c>
    </row>
    <row r="70" spans="1:16" x14ac:dyDescent="0.35">
      <c r="A70" s="5">
        <v>45474</v>
      </c>
      <c r="B70" s="30">
        <v>3486075</v>
      </c>
      <c r="C70" s="30">
        <v>12465888</v>
      </c>
      <c r="D70" s="30">
        <v>19096874097.419998</v>
      </c>
      <c r="E70" s="34">
        <f t="shared" ref="E70" si="71">C70/B70</f>
        <v>3.575909296271595</v>
      </c>
      <c r="F70" s="43">
        <f t="shared" ref="F70" si="72">D70/B70</f>
        <v>5478.0445335857657</v>
      </c>
      <c r="G70" s="43">
        <f t="shared" ref="G70" si="73">F70/E70</f>
        <v>1531.9305048641538</v>
      </c>
      <c r="H70" s="27">
        <v>0.39426531607500243</v>
      </c>
      <c r="I70" s="59">
        <f>(B70/('Consumidores Inadimplentes'!B106*1000000))</f>
        <v>4.7975173340645882E-2</v>
      </c>
    </row>
    <row r="71" spans="1:16" x14ac:dyDescent="0.35">
      <c r="A71" s="5">
        <v>45505</v>
      </c>
      <c r="B71" s="30">
        <v>3456214</v>
      </c>
      <c r="C71" s="30">
        <v>12520403</v>
      </c>
      <c r="D71" s="30">
        <v>18979537678.730354</v>
      </c>
      <c r="E71" s="34">
        <f t="shared" ref="E71" si="74">C71/B71</f>
        <v>3.6225774792880303</v>
      </c>
      <c r="F71" s="43">
        <f t="shared" ref="F71" si="75">D71/B71</f>
        <v>5491.4243385190712</v>
      </c>
      <c r="G71" s="43">
        <f t="shared" ref="G71" si="76">F71/E71</f>
        <v>1515.8887200939421</v>
      </c>
      <c r="H71" s="27">
        <v>0.39078500975488689</v>
      </c>
      <c r="I71" s="59">
        <f>(B71/('Consumidores Inadimplentes'!B107*1000000))</f>
        <v>4.7696561561325339E-2</v>
      </c>
    </row>
    <row r="72" spans="1:16" x14ac:dyDescent="0.35">
      <c r="A72" s="5">
        <v>45536</v>
      </c>
      <c r="B72" s="30">
        <v>3472959</v>
      </c>
      <c r="C72" s="30">
        <v>12597818</v>
      </c>
      <c r="D72" s="30">
        <v>19252601864.670364</v>
      </c>
      <c r="E72" s="34">
        <f t="shared" ref="E72" si="77">C72/B72</f>
        <v>3.6274018783406312</v>
      </c>
      <c r="F72" s="43">
        <f t="shared" ref="F72" si="78">D72/B72</f>
        <v>5543.5730351755847</v>
      </c>
      <c r="G72" s="43">
        <f t="shared" ref="G72" si="79">F72/E72</f>
        <v>1528.2489288756483</v>
      </c>
      <c r="H72" s="27">
        <v>0.39257472261436827</v>
      </c>
      <c r="I72" s="59">
        <f>(B72/('Consumidores Inadimplentes'!B108*1000000))</f>
        <v>4.7809291289991403E-2</v>
      </c>
    </row>
    <row r="73" spans="1:16" x14ac:dyDescent="0.35">
      <c r="A73" s="5">
        <v>45566</v>
      </c>
      <c r="B73" s="30">
        <v>3486846</v>
      </c>
      <c r="C73" s="30">
        <v>12644231</v>
      </c>
      <c r="D73" s="30">
        <v>19482040855.000328</v>
      </c>
      <c r="E73" s="34">
        <f t="shared" ref="E73" si="80">C73/B73</f>
        <v>3.6262659721708386</v>
      </c>
      <c r="F73" s="43">
        <f t="shared" ref="F73" si="81">D73/B73</f>
        <v>5587.2960420392319</v>
      </c>
      <c r="G73" s="43">
        <f t="shared" ref="G73" si="82">F73/E73</f>
        <v>1540.7849520465363</v>
      </c>
      <c r="H73" s="27">
        <v>0.3940404707720257</v>
      </c>
      <c r="I73" s="59">
        <f>(B73/('Consumidores Inadimplentes'!B109*1000000))</f>
        <v>4.7697068244838617E-2</v>
      </c>
    </row>
    <row r="74" spans="1:16" x14ac:dyDescent="0.35">
      <c r="A74" s="5">
        <v>45597</v>
      </c>
      <c r="B74" s="30">
        <v>3558632</v>
      </c>
      <c r="C74" s="30">
        <v>13083137</v>
      </c>
      <c r="D74" s="30">
        <v>20593099549.600292</v>
      </c>
      <c r="E74" s="34">
        <f t="shared" ref="E74" si="83">C74/B74</f>
        <v>3.6764512318216664</v>
      </c>
      <c r="F74" s="43">
        <f t="shared" ref="F74" si="84">D74/B74</f>
        <v>5786.8022177062121</v>
      </c>
      <c r="G74" s="43">
        <f t="shared" ref="G74" si="85">F74/E74</f>
        <v>1574.0184903360939</v>
      </c>
      <c r="H74" s="27">
        <v>0.40204675273849944</v>
      </c>
      <c r="I74" s="59">
        <f>(B74/('Consumidores Inadimplentes'!B110*1000000))</f>
        <v>4.8227268763872191E-2</v>
      </c>
    </row>
    <row r="75" spans="1:16" ht="15" thickBot="1" x14ac:dyDescent="0.4">
      <c r="A75" s="12">
        <v>45627</v>
      </c>
      <c r="B75" s="31">
        <v>3554019</v>
      </c>
      <c r="C75" s="31">
        <v>13111258</v>
      </c>
      <c r="D75" s="31">
        <v>20492885040.480217</v>
      </c>
      <c r="E75" s="35">
        <f t="shared" ref="E75" si="86">C75/B75</f>
        <v>3.6891355955046947</v>
      </c>
      <c r="F75" s="46">
        <f t="shared" ref="F75" si="87">D75/B75</f>
        <v>5766.1157806078745</v>
      </c>
      <c r="G75" s="46">
        <f t="shared" ref="G75" si="88">F75/E75</f>
        <v>1562.9991447411239</v>
      </c>
      <c r="H75" s="28">
        <v>0.40141964449589856</v>
      </c>
      <c r="I75" s="59">
        <f>(B75/('Consumidores Inadimplentes'!B111*1000000))</f>
        <v>4.8345941027626252E-2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3619579</v>
      </c>
      <c r="C76" s="29">
        <v>13535113</v>
      </c>
      <c r="D76" s="29">
        <v>21358627602.640167</v>
      </c>
      <c r="E76" s="33">
        <f t="shared" ref="E76:E77" si="89">C76/B76</f>
        <v>3.7394163796397315</v>
      </c>
      <c r="F76" s="45">
        <f t="shared" ref="F76:F77" si="90">D76/B76</f>
        <v>5900.8596310897392</v>
      </c>
      <c r="G76" s="45">
        <f t="shared" ref="G76:G77" si="91">F76/E76</f>
        <v>1578.0162014635687</v>
      </c>
      <c r="H76" s="26">
        <v>0.40871668246958176</v>
      </c>
      <c r="I76" s="59">
        <f>(B76/('Consumidores Inadimplentes'!B112*1000000))</f>
        <v>4.851793054625185E-2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3645133</v>
      </c>
      <c r="C77" s="30">
        <v>13732544</v>
      </c>
      <c r="D77" s="30">
        <v>22314910478.900219</v>
      </c>
      <c r="E77" s="34">
        <f t="shared" si="89"/>
        <v>3.7673643183938692</v>
      </c>
      <c r="F77" s="43">
        <f t="shared" si="90"/>
        <v>6121.8371123633124</v>
      </c>
      <c r="G77" s="43">
        <f t="shared" si="91"/>
        <v>1624.965518326409</v>
      </c>
      <c r="H77" s="27">
        <v>0.41149360746274283</v>
      </c>
      <c r="I77" s="59">
        <f>(B77/('Consumidores Inadimplentes'!B113*1000000))</f>
        <v>4.8599578576364821E-2</v>
      </c>
    </row>
    <row r="78" spans="1:16" x14ac:dyDescent="0.35">
      <c r="A78" s="5">
        <v>45717</v>
      </c>
      <c r="B78" s="30">
        <v>3691680</v>
      </c>
      <c r="C78" s="30">
        <v>13949724</v>
      </c>
      <c r="D78" s="30">
        <v>22767617603.85009</v>
      </c>
      <c r="E78" s="34">
        <f t="shared" ref="E78" si="92">C78/B78</f>
        <v>3.7786926277467168</v>
      </c>
      <c r="F78" s="43">
        <f t="shared" ref="F78" si="93">D78/B78</f>
        <v>6167.2782050042497</v>
      </c>
      <c r="G78" s="43">
        <f t="shared" ref="G78" si="94">F78/E78</f>
        <v>1632.1195748281536</v>
      </c>
      <c r="H78" s="27">
        <v>0.41663826388986075</v>
      </c>
      <c r="I78" s="59">
        <f>(B78/('Consumidores Inadimplentes'!B114*1000000))</f>
        <v>4.8722487143281909E-2</v>
      </c>
    </row>
    <row r="79" spans="1:16" x14ac:dyDescent="0.35">
      <c r="A79" s="5">
        <v>45748</v>
      </c>
      <c r="B79" s="30">
        <v>3724634</v>
      </c>
      <c r="C79" s="30">
        <v>14385499</v>
      </c>
      <c r="D79" s="30">
        <v>23965520515</v>
      </c>
      <c r="E79" s="34">
        <f t="shared" ref="E79" si="95">C79/B79</f>
        <v>3.8622584125044233</v>
      </c>
      <c r="F79" s="43">
        <f t="shared" ref="F79" si="96">D79/B79</f>
        <v>6434.328987760945</v>
      </c>
      <c r="G79" s="43">
        <f t="shared" ref="G79" si="97">F79/E79</f>
        <v>1665.9498926662188</v>
      </c>
      <c r="H79" s="27">
        <v>0.42024652221703462</v>
      </c>
      <c r="I79" s="59">
        <f>(B79/('Consumidores Inadimplentes'!B115*1000000))</f>
        <v>4.8600018181454964E-2</v>
      </c>
    </row>
    <row r="80" spans="1:16" x14ac:dyDescent="0.35">
      <c r="A80" s="5">
        <v>45778</v>
      </c>
      <c r="B80" s="30">
        <v>3732330</v>
      </c>
      <c r="C80" s="30">
        <v>14552854</v>
      </c>
      <c r="D80" s="30">
        <v>24286356974</v>
      </c>
      <c r="E80" s="34">
        <f t="shared" ref="E80" si="98">C80/B80</f>
        <v>3.8991337850618781</v>
      </c>
      <c r="F80" s="43">
        <f t="shared" ref="F80" si="99">D80/B80</f>
        <v>6507.0229518826045</v>
      </c>
      <c r="G80" s="43">
        <f t="shared" ref="G80" si="100">F80/E80</f>
        <v>1668.8380831691159</v>
      </c>
      <c r="H80" s="27">
        <v>0.42100374797821577</v>
      </c>
      <c r="I80" s="59">
        <f>(B80/('Consumidores Inadimplentes'!B116*1000000))</f>
        <v>4.8426360294518342E-2</v>
      </c>
    </row>
    <row r="81" spans="1:16" x14ac:dyDescent="0.35">
      <c r="A81" s="5">
        <v>45809</v>
      </c>
      <c r="B81" s="30">
        <v>3628690</v>
      </c>
      <c r="C81" s="30">
        <v>14123913</v>
      </c>
      <c r="D81" s="30">
        <v>24910721560</v>
      </c>
      <c r="E81" s="34">
        <f t="shared" ref="E81" si="101">C81/B81</f>
        <v>3.8922897795072049</v>
      </c>
      <c r="F81" s="43">
        <f t="shared" ref="F81" si="102">D81/B81</f>
        <v>6864.9351584180513</v>
      </c>
      <c r="G81" s="43">
        <f t="shared" ref="G81" si="103">F81/E81</f>
        <v>1763.7266358126108</v>
      </c>
      <c r="H81" s="27">
        <v>0.40920523164359274</v>
      </c>
      <c r="I81" s="59">
        <f>(B81/('Consumidores Inadimplentes'!B117*1000000))</f>
        <v>4.659658022765549E-2</v>
      </c>
    </row>
    <row r="82" spans="1:16" x14ac:dyDescent="0.35">
      <c r="A82" s="5">
        <v>45839</v>
      </c>
      <c r="B82" s="30">
        <v>3650793</v>
      </c>
      <c r="C82" s="30">
        <v>14320170</v>
      </c>
      <c r="D82" s="30">
        <v>25474604829</v>
      </c>
      <c r="E82" s="34">
        <f t="shared" ref="E82" si="104">C82/B82</f>
        <v>3.9224820470511474</v>
      </c>
      <c r="F82" s="43">
        <f t="shared" ref="F82" si="105">D82/B82</f>
        <v>6977.8277839910397</v>
      </c>
      <c r="G82" s="43">
        <f t="shared" ref="G82" si="106">F82/E82</f>
        <v>1778.9317325841803</v>
      </c>
      <c r="H82" s="27">
        <v>0.41158916359911446</v>
      </c>
      <c r="I82" s="59">
        <f>(B82/('Consumidores Inadimplentes'!B118*1000000))</f>
        <v>4.6708516509825181E-2</v>
      </c>
    </row>
    <row r="83" spans="1:16" x14ac:dyDescent="0.35">
      <c r="A83" s="5">
        <v>45870</v>
      </c>
      <c r="B83" s="30">
        <v>3681084</v>
      </c>
      <c r="C83" s="30">
        <v>14601415</v>
      </c>
      <c r="D83" s="30">
        <v>26383699903</v>
      </c>
      <c r="E83" s="34">
        <f t="shared" ref="E83" si="107">C83/B83</f>
        <v>3.9666073906490587</v>
      </c>
      <c r="F83" s="43">
        <f t="shared" ref="F83" si="108">D83/B83</f>
        <v>7167.3724106812015</v>
      </c>
      <c r="G83" s="43">
        <f t="shared" ref="G83" si="109">F83/E83</f>
        <v>1806.9276096186568</v>
      </c>
      <c r="H83" s="27">
        <v>0.41491224372342611</v>
      </c>
      <c r="I83" s="59">
        <f>(B83/('Consumidores Inadimplentes'!B119*1000000))</f>
        <v>4.6685326758694481E-2</v>
      </c>
    </row>
    <row r="84" spans="1:16" x14ac:dyDescent="0.35">
      <c r="A84" s="5">
        <v>45901</v>
      </c>
      <c r="B84" s="30">
        <v>3895060</v>
      </c>
      <c r="C84" s="30">
        <v>15857466</v>
      </c>
      <c r="D84" s="30">
        <v>27174667460</v>
      </c>
      <c r="E84" s="34">
        <f>IFERROR(C84/B84,"")</f>
        <v>4.071173743151582</v>
      </c>
      <c r="F84" s="43">
        <f>IFERROR(D84/B84,"")</f>
        <v>6976.7006053822024</v>
      </c>
      <c r="G84" s="43">
        <f>IFERROR(F84/E84,"")</f>
        <v>1713.6828456702981</v>
      </c>
      <c r="H84" s="27">
        <v>0.43893326547908967</v>
      </c>
      <c r="I84" s="59">
        <f>(B84/('Consumidores Inadimplentes'!B120*1000000))</f>
        <v>4.9200580565486464E-2</v>
      </c>
    </row>
    <row r="85" spans="1:16" x14ac:dyDescent="0.35">
      <c r="A85" s="5">
        <v>45931</v>
      </c>
      <c r="B85" s="30">
        <v>4039271</v>
      </c>
      <c r="C85" s="30">
        <v>16546945</v>
      </c>
      <c r="D85" s="30">
        <v>28301539213</v>
      </c>
      <c r="E85" s="34">
        <f t="shared" ref="E85:E87" si="110">IFERROR(C85/B85,"")</f>
        <v>4.0965176637071394</v>
      </c>
      <c r="F85" s="43">
        <f t="shared" ref="F85:F87" si="111">IFERROR(D85/B85,"")</f>
        <v>7006.5957973604645</v>
      </c>
      <c r="G85" s="43">
        <f t="shared" ref="G85:G87" si="112">IFERROR(F85/E85,"")</f>
        <v>1710.3785147651122</v>
      </c>
      <c r="H85" s="27">
        <v>0.45508354149088615</v>
      </c>
      <c r="I85" s="59">
        <f>(B85/('Consumidores Inadimplentes'!B121*1000000))</f>
        <v>5.02168716075427E-2</v>
      </c>
    </row>
    <row r="86" spans="1:16" x14ac:dyDescent="0.35">
      <c r="A86" s="5">
        <v>45962</v>
      </c>
      <c r="B86" s="30">
        <v>4008392</v>
      </c>
      <c r="C86" s="30">
        <v>16475333</v>
      </c>
      <c r="D86" s="30">
        <v>28513329495</v>
      </c>
      <c r="E86" s="34">
        <f t="shared" si="110"/>
        <v>4.1102100293584058</v>
      </c>
      <c r="F86" s="43">
        <f t="shared" si="111"/>
        <v>7113.4084428369279</v>
      </c>
      <c r="G86" s="43">
        <f t="shared" si="112"/>
        <v>1730.6678714779241</v>
      </c>
      <c r="H86" s="27">
        <v>0.45150455825196512</v>
      </c>
      <c r="I86" s="59">
        <f>(B86/('Consumidores Inadimplentes'!B122*1000000))</f>
        <v>4.9725823883642231E-2</v>
      </c>
    </row>
    <row r="87" spans="1:16" ht="15" thickBot="1" x14ac:dyDescent="0.4">
      <c r="A87" s="12">
        <v>45992</v>
      </c>
      <c r="B87" s="31">
        <v>4027712</v>
      </c>
      <c r="C87" s="31">
        <v>16778311</v>
      </c>
      <c r="D87" s="31">
        <v>29040851020</v>
      </c>
      <c r="E87" s="35">
        <f t="shared" si="110"/>
        <v>4.165717658064926</v>
      </c>
      <c r="F87" s="46">
        <f t="shared" si="111"/>
        <v>7210.2600732127821</v>
      </c>
      <c r="G87" s="46">
        <f t="shared" si="112"/>
        <v>1730.8566410528451</v>
      </c>
      <c r="H87" s="28">
        <v>0.45358026320797873</v>
      </c>
      <c r="I87" s="59">
        <f>(B87/('Consumidores Inadimplentes'!B123*1000000))</f>
        <v>4.9573050497626919E-2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4033282</v>
      </c>
      <c r="C88" s="29">
        <v>16940098</v>
      </c>
      <c r="D88" s="29">
        <v>29864134025</v>
      </c>
      <c r="E88" s="33">
        <f t="shared" ref="E88:E89" si="113">IFERROR(C88/B88,"")</f>
        <v>4.2000777530556999</v>
      </c>
      <c r="F88" s="45">
        <f t="shared" ref="F88:F89" si="114">IFERROR(D88/B88,"")</f>
        <v>7404.424988136213</v>
      </c>
      <c r="G88" s="45">
        <f t="shared" ref="G88:G89" si="115">IFERROR(F88/E88,"")</f>
        <v>1762.9256941134581</v>
      </c>
      <c r="H88" s="26">
        <v>0.45410693723978357</v>
      </c>
      <c r="I88" s="59">
        <f>(B88/('Consumidores Inadimplentes'!B124*1000000))</f>
        <v>4.9598070362923415E-2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4031949</v>
      </c>
      <c r="C89" s="30">
        <v>17216411</v>
      </c>
      <c r="D89" s="30">
        <v>30847403723</v>
      </c>
      <c r="E89" s="34">
        <f t="shared" si="113"/>
        <v>4.2699972147465157</v>
      </c>
      <c r="F89" s="43">
        <f t="shared" si="114"/>
        <v>7650.7425374180084</v>
      </c>
      <c r="G89" s="43">
        <f t="shared" si="115"/>
        <v>1791.7441517282552</v>
      </c>
      <c r="H89" s="27">
        <v>0.45385629075626449</v>
      </c>
      <c r="I89" s="59">
        <f>(B89/('Consumidores Inadimplentes'!B125*1000000))</f>
        <v>4.9331389710722061E-2</v>
      </c>
    </row>
    <row r="90" spans="1:16" x14ac:dyDescent="0.35">
      <c r="A90" s="5">
        <v>46082</v>
      </c>
      <c r="B90" s="30">
        <v>4128929</v>
      </c>
      <c r="C90" s="30">
        <v>17620935</v>
      </c>
      <c r="D90" s="30">
        <v>31961590060</v>
      </c>
      <c r="E90" s="34">
        <f t="shared" ref="E90" si="116">IFERROR(C90/B90,"")</f>
        <v>4.26767692057674</v>
      </c>
      <c r="F90" s="43">
        <f t="shared" ref="F90" si="117">IFERROR(D90/B90,"")</f>
        <v>7740.8911754113478</v>
      </c>
      <c r="G90" s="43">
        <f t="shared" ref="G90" si="118">IFERROR(F90/E90,"")</f>
        <v>1813.8418909098752</v>
      </c>
      <c r="H90" s="27">
        <v>0.46466990594464719</v>
      </c>
      <c r="I90" s="59">
        <f>(B90/('Consumidores Inadimplentes'!B126*1000000))</f>
        <v>4.9846732244234936E-2</v>
      </c>
    </row>
    <row r="91" spans="1:16" x14ac:dyDescent="0.35">
      <c r="A91" s="5">
        <v>46113</v>
      </c>
      <c r="B91" s="30">
        <v>4168416</v>
      </c>
      <c r="C91" s="30">
        <v>17894555</v>
      </c>
      <c r="D91" s="30">
        <v>32678779709</v>
      </c>
      <c r="E91" s="34">
        <f t="shared" ref="E91" si="119">IFERROR(C91/B91,"")</f>
        <v>4.2928908726960069</v>
      </c>
      <c r="F91" s="43">
        <f t="shared" ref="F91" si="120">IFERROR(D91/B91,"")</f>
        <v>7839.6157458852476</v>
      </c>
      <c r="G91" s="43">
        <f t="shared" ref="G91" si="121">IFERROR(F91/E91,"")</f>
        <v>1826.1856586542667</v>
      </c>
      <c r="H91" s="27">
        <v>0.46900984664863576</v>
      </c>
      <c r="I91" s="59">
        <f>(B91/('Consumidores Inadimplentes'!B127*1000000))</f>
        <v>4.9987485188728052E-2</v>
      </c>
    </row>
    <row r="92" spans="1:16" x14ac:dyDescent="0.35">
      <c r="A92" s="5">
        <v>46143</v>
      </c>
      <c r="B92" s="30">
        <v>4140567</v>
      </c>
      <c r="C92" s="30">
        <v>17838575</v>
      </c>
      <c r="D92" s="30">
        <v>33147080254</v>
      </c>
      <c r="E92" s="34">
        <f t="shared" ref="E92" si="122">IFERROR(C92/B92,"")</f>
        <v>4.3082444988814332</v>
      </c>
      <c r="F92" s="43">
        <f t="shared" ref="F92" si="123">IFERROR(D92/B92,"")</f>
        <v>8005.4447262899021</v>
      </c>
      <c r="G92" s="43">
        <f t="shared" ref="G92" si="124">IFERROR(F92/E92,"")</f>
        <v>1858.1686179529477</v>
      </c>
      <c r="H92" s="27">
        <v>0.46577322447431357</v>
      </c>
      <c r="I92" s="59">
        <f>(B92/('Consumidores Inadimplentes'!B128*1000000))</f>
        <v>4.9585938663695366E-2</v>
      </c>
    </row>
    <row r="93" spans="1:16" x14ac:dyDescent="0.35">
      <c r="A93" s="5">
        <v>46174</v>
      </c>
      <c r="B93" s="30">
        <v>4136059</v>
      </c>
      <c r="C93" s="30">
        <v>17876190</v>
      </c>
      <c r="D93" s="30">
        <v>33599318283</v>
      </c>
      <c r="E93" s="34">
        <f t="shared" ref="E93" si="125">IFERROR(C93/B93,"")</f>
        <v>4.3220345744584394</v>
      </c>
      <c r="F93" s="43">
        <f t="shared" ref="F93" si="126">IFERROR(D93/B93,"")</f>
        <v>8123.5103955238546</v>
      </c>
      <c r="G93" s="43">
        <f t="shared" ref="G93" si="127">IFERROR(F93/E93,"")</f>
        <v>1879.557013155488</v>
      </c>
      <c r="H93" s="27">
        <v>0.46516308817099045</v>
      </c>
      <c r="I93" s="59">
        <f>(B93/('Consumidores Inadimplentes'!B129*1000000))</f>
        <v>4.9393096359958664E-2</v>
      </c>
    </row>
    <row r="94" spans="1:16" x14ac:dyDescent="0.35">
      <c r="A94" s="5">
        <v>46204</v>
      </c>
      <c r="B94" s="30">
        <v>4158276</v>
      </c>
      <c r="C94" s="30">
        <v>18060766</v>
      </c>
      <c r="D94" s="30">
        <v>34136929453</v>
      </c>
      <c r="E94" s="34">
        <f t="shared" ref="E94" si="128">IFERROR(C94/B94,"")</f>
        <v>4.3433302647539511</v>
      </c>
      <c r="F94" s="43">
        <f t="shared" ref="F94" si="129">IFERROR(D94/B94,"")</f>
        <v>8209.3948196319816</v>
      </c>
      <c r="G94" s="43">
        <f t="shared" ref="G94" si="130">IFERROR(F94/E94,"")</f>
        <v>1890.1152616118272</v>
      </c>
      <c r="H94" s="27">
        <v>0.46755813898575627</v>
      </c>
      <c r="I94" s="59">
        <f>(B94/('Consumidores Inadimplentes'!B130*1000000))</f>
        <v>4.954344067295114E-2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90A7-C137-4BF5-BDE2-D0533AA5F559}">
  <sheetPr codeName="Planilha28"/>
  <dimension ref="A1:P99"/>
  <sheetViews>
    <sheetView zoomScale="90" zoomScaleNormal="90" workbookViewId="0">
      <pane xSplit="1" ySplit="3" topLeftCell="B84" activePane="bottomRight" state="frozen"/>
      <selection activeCell="H93" sqref="H93"/>
      <selection pane="topRight" activeCell="H93" sqref="H93"/>
      <selection pane="bottomLeft" activeCell="H93" sqref="H93"/>
      <selection pane="bottomRight" activeCell="I1" sqref="I1:I104857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43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1804618</v>
      </c>
      <c r="C4" s="29">
        <v>7631774</v>
      </c>
      <c r="D4" s="29">
        <v>9194092353.2199993</v>
      </c>
      <c r="E4" s="33">
        <f t="shared" ref="E4:E33" si="0">C4/B4</f>
        <v>4.2290246467673489</v>
      </c>
      <c r="F4" s="45">
        <f>D4/B4</f>
        <v>5094.7581999182094</v>
      </c>
      <c r="G4" s="45">
        <f t="shared" ref="G4" si="1">F4/E4</f>
        <v>1204.7123451533025</v>
      </c>
      <c r="H4" s="26">
        <v>0.32649818356046406</v>
      </c>
      <c r="I4" s="58">
        <f>(B4/('Consumidores Inadimplentes'!B40*1000000))</f>
        <v>2.9024168643823945E-2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1803657</v>
      </c>
      <c r="C5" s="30">
        <v>7604082</v>
      </c>
      <c r="D5" s="30">
        <v>9168583061.0400047</v>
      </c>
      <c r="E5" s="34">
        <f t="shared" si="0"/>
        <v>4.2159246464266769</v>
      </c>
      <c r="F5" s="43">
        <f t="shared" ref="F5:F46" si="2">D5/B5</f>
        <v>5083.3296247789931</v>
      </c>
      <c r="G5" s="43">
        <f t="shared" ref="G5:G46" si="3">F5/E5</f>
        <v>1205.7448961018574</v>
      </c>
      <c r="H5" s="27">
        <v>0.32600131693890405</v>
      </c>
      <c r="I5" s="59">
        <f>(B5/('Consumidores Inadimplentes'!B41*1000000))</f>
        <v>2.9010339118313327E-2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1820365</v>
      </c>
      <c r="C6" s="30">
        <v>7608521</v>
      </c>
      <c r="D6" s="30">
        <v>9326912824.7699871</v>
      </c>
      <c r="E6" s="34">
        <f t="shared" si="0"/>
        <v>4.1796678138724923</v>
      </c>
      <c r="F6" s="43">
        <f t="shared" si="2"/>
        <v>5123.6498310888128</v>
      </c>
      <c r="G6" s="43">
        <f t="shared" si="3"/>
        <v>1225.8509669316793</v>
      </c>
      <c r="H6" s="27">
        <v>0.32878453722149464</v>
      </c>
      <c r="I6" s="59">
        <f>(B6/('Consumidores Inadimplentes'!B42*1000000))</f>
        <v>2.8913002827934735E-2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1805698</v>
      </c>
      <c r="C7" s="30">
        <v>7473748</v>
      </c>
      <c r="D7" s="30">
        <v>9314780759.4299603</v>
      </c>
      <c r="E7" s="34">
        <f t="shared" si="0"/>
        <v>4.1389800509276746</v>
      </c>
      <c r="F7" s="43">
        <f t="shared" si="2"/>
        <v>5158.5485277327443</v>
      </c>
      <c r="G7" s="43">
        <f t="shared" si="3"/>
        <v>1246.3332667130283</v>
      </c>
      <c r="H7" s="27">
        <v>0.32567937955051762</v>
      </c>
      <c r="I7" s="59">
        <f>(B7/('Consumidores Inadimplentes'!B43*1000000))</f>
        <v>2.8568728079010459E-2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1818964</v>
      </c>
      <c r="C8" s="30">
        <v>7474417</v>
      </c>
      <c r="D8" s="30">
        <v>9379454558.5699749</v>
      </c>
      <c r="E8" s="34">
        <f t="shared" si="0"/>
        <v>4.1091615886845476</v>
      </c>
      <c r="F8" s="43">
        <f t="shared" si="2"/>
        <v>5156.4816887909683</v>
      </c>
      <c r="G8" s="43">
        <f t="shared" si="3"/>
        <v>1254.8744013840778</v>
      </c>
      <c r="H8" s="27">
        <v>0.32523380971964089</v>
      </c>
      <c r="I8" s="59">
        <f>(B8/('Consumidores Inadimplentes'!B44*1000000))</f>
        <v>2.8701774128220007E-2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1818143</v>
      </c>
      <c r="C9" s="30">
        <v>7439892</v>
      </c>
      <c r="D9" s="30">
        <v>9421598414.4899597</v>
      </c>
      <c r="E9" s="34">
        <f t="shared" si="0"/>
        <v>4.0920279647970483</v>
      </c>
      <c r="F9" s="43">
        <f t="shared" si="2"/>
        <v>5181.989763450928</v>
      </c>
      <c r="G9" s="43">
        <f t="shared" si="3"/>
        <v>1266.3622555932211</v>
      </c>
      <c r="H9" s="27">
        <v>0.32103461553556861</v>
      </c>
      <c r="I9" s="59">
        <f>(B9/('Consumidores Inadimplentes'!B45*1000000))</f>
        <v>2.8654473628854558E-2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1822767</v>
      </c>
      <c r="C10" s="30">
        <v>7372772</v>
      </c>
      <c r="D10" s="30">
        <v>9406285315.220005</v>
      </c>
      <c r="E10" s="34">
        <f t="shared" si="0"/>
        <v>4.0448241601916211</v>
      </c>
      <c r="F10" s="43">
        <f t="shared" si="2"/>
        <v>5160.443060040041</v>
      </c>
      <c r="G10" s="43">
        <f t="shared" si="3"/>
        <v>1275.8139428725051</v>
      </c>
      <c r="H10" s="27">
        <v>0.32080293162339618</v>
      </c>
      <c r="I10" s="59">
        <f>(B10/('Consumidores Inadimplentes'!B46*1000000))</f>
        <v>2.8721561074413825E-2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1878201</v>
      </c>
      <c r="C11" s="30">
        <v>7701389</v>
      </c>
      <c r="D11" s="30">
        <v>10073165117.740002</v>
      </c>
      <c r="E11" s="34">
        <f t="shared" si="0"/>
        <v>4.1004072514070646</v>
      </c>
      <c r="F11" s="43">
        <f t="shared" si="2"/>
        <v>5363.1986766805048</v>
      </c>
      <c r="G11" s="43">
        <f t="shared" si="3"/>
        <v>1307.9673183292002</v>
      </c>
      <c r="H11" s="27">
        <v>0.33088968617291631</v>
      </c>
      <c r="I11" s="59">
        <f>(B11/('Consumidores Inadimplentes'!B47*1000000))</f>
        <v>2.9611572275744291E-2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1871407</v>
      </c>
      <c r="C12" s="30">
        <v>7555207</v>
      </c>
      <c r="D12" s="30">
        <v>9953486953.3000069</v>
      </c>
      <c r="E12" s="34">
        <f t="shared" si="0"/>
        <v>4.0371800468845098</v>
      </c>
      <c r="F12" s="43">
        <f t="shared" si="2"/>
        <v>5318.7184579837558</v>
      </c>
      <c r="G12" s="43">
        <f t="shared" si="3"/>
        <v>1317.4340495634344</v>
      </c>
      <c r="H12" s="27">
        <v>0.32912759529522007</v>
      </c>
      <c r="I12" s="59">
        <f>(B12/('Consumidores Inadimplentes'!B48*1000000))</f>
        <v>2.9607774085776379E-2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1882665</v>
      </c>
      <c r="C13" s="30">
        <v>7538869</v>
      </c>
      <c r="D13" s="30">
        <v>10044867721.090021</v>
      </c>
      <c r="E13" s="34">
        <f t="shared" si="0"/>
        <v>4.0043603083926245</v>
      </c>
      <c r="F13" s="43">
        <f t="shared" si="2"/>
        <v>5335.4514590168837</v>
      </c>
      <c r="G13" s="43">
        <f t="shared" si="3"/>
        <v>1332.4104346540603</v>
      </c>
      <c r="H13" s="27">
        <v>0.33053995223787097</v>
      </c>
      <c r="I13" s="59">
        <f>(B13/('Consumidores Inadimplentes'!B49*1000000))</f>
        <v>2.9485096726916446E-2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1912350</v>
      </c>
      <c r="C14" s="30">
        <v>7628194</v>
      </c>
      <c r="D14" s="30">
        <v>10379734454.460037</v>
      </c>
      <c r="E14" s="34">
        <f t="shared" si="0"/>
        <v>3.9889110257013622</v>
      </c>
      <c r="F14" s="43">
        <f t="shared" si="2"/>
        <v>5427.7378379794691</v>
      </c>
      <c r="G14" s="43">
        <f t="shared" si="3"/>
        <v>1360.7066698172644</v>
      </c>
      <c r="H14" s="27">
        <v>0.33517617277482964</v>
      </c>
      <c r="I14" s="59">
        <f>(B14/('Consumidores Inadimplentes'!B50*1000000))</f>
        <v>2.9954902939441645E-2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1889930</v>
      </c>
      <c r="C15" s="31">
        <v>7535654</v>
      </c>
      <c r="D15" s="31">
        <v>10410507498.450041</v>
      </c>
      <c r="E15" s="35">
        <f t="shared" si="0"/>
        <v>3.9872661950442607</v>
      </c>
      <c r="F15" s="43">
        <f t="shared" si="2"/>
        <v>5508.4090407846006</v>
      </c>
      <c r="G15" s="43">
        <f t="shared" si="3"/>
        <v>1381.5001987153391</v>
      </c>
      <c r="H15" s="27">
        <v>0.33067882303373541</v>
      </c>
      <c r="I15" s="59">
        <f>(B15/('Consumidores Inadimplentes'!B51*1000000))</f>
        <v>2.985325098859385E-2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1906078</v>
      </c>
      <c r="C16" s="29">
        <v>7581569</v>
      </c>
      <c r="D16" s="29">
        <v>10544024507.780035</v>
      </c>
      <c r="E16" s="33">
        <f t="shared" si="0"/>
        <v>3.9775754192640593</v>
      </c>
      <c r="F16" s="45">
        <f t="shared" si="2"/>
        <v>5531.7906758170629</v>
      </c>
      <c r="G16" s="45">
        <f t="shared" si="3"/>
        <v>1390.7443838841323</v>
      </c>
      <c r="H16" s="26">
        <v>0.33293252645622329</v>
      </c>
      <c r="I16" s="59">
        <f>(B16/('Consumidores Inadimplentes'!B52*1000000))</f>
        <v>2.9884093344931105E-2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1913930</v>
      </c>
      <c r="C17" s="30">
        <v>7571101</v>
      </c>
      <c r="D17" s="30">
        <v>10509950550.36005</v>
      </c>
      <c r="E17" s="34">
        <f t="shared" si="0"/>
        <v>3.9557878292309541</v>
      </c>
      <c r="F17" s="43">
        <f t="shared" si="2"/>
        <v>5491.2930725575388</v>
      </c>
      <c r="G17" s="43">
        <f t="shared" si="3"/>
        <v>1388.1667343177762</v>
      </c>
      <c r="H17" s="27">
        <v>0.33373095384108908</v>
      </c>
      <c r="I17" s="59">
        <f>(B17/('Consumidores Inadimplentes'!B53*1000000))</f>
        <v>2.9956787240884464E-2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1932011</v>
      </c>
      <c r="C18" s="30">
        <v>7573193</v>
      </c>
      <c r="D18" s="30">
        <v>10705095656.830038</v>
      </c>
      <c r="E18" s="34">
        <f t="shared" si="0"/>
        <v>3.9198498352235056</v>
      </c>
      <c r="F18" s="43">
        <f t="shared" si="2"/>
        <v>5540.9082333537635</v>
      </c>
      <c r="G18" s="43">
        <f t="shared" si="3"/>
        <v>1413.5511476902857</v>
      </c>
      <c r="H18" s="27">
        <v>0.33630622631226131</v>
      </c>
      <c r="I18" s="59">
        <f>(B18/('Consumidores Inadimplentes'!B54*1000000))</f>
        <v>2.9809167640049254E-2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1975782</v>
      </c>
      <c r="C19" s="30">
        <v>7735975</v>
      </c>
      <c r="D19" s="30">
        <v>10853548463.200029</v>
      </c>
      <c r="E19" s="34">
        <f t="shared" si="0"/>
        <v>3.9153990673060086</v>
      </c>
      <c r="F19" s="43">
        <f t="shared" si="2"/>
        <v>5493.2925106110033</v>
      </c>
      <c r="G19" s="43">
        <f t="shared" si="3"/>
        <v>1402.996837916362</v>
      </c>
      <c r="H19" s="27">
        <v>0.34333589010093035</v>
      </c>
      <c r="I19" s="59">
        <f>(B19/('Consumidores Inadimplentes'!B55*1000000))</f>
        <v>2.9977599892408596E-2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1951607</v>
      </c>
      <c r="C20" s="30">
        <v>7671306</v>
      </c>
      <c r="D20" s="30">
        <v>10644979005.760036</v>
      </c>
      <c r="E20" s="34">
        <f t="shared" si="0"/>
        <v>3.9307637244588691</v>
      </c>
      <c r="F20" s="43">
        <f t="shared" si="2"/>
        <v>5454.468551178612</v>
      </c>
      <c r="G20" s="43">
        <f t="shared" si="3"/>
        <v>1387.6358218222604</v>
      </c>
      <c r="H20" s="27">
        <v>0.3385535785657981</v>
      </c>
      <c r="I20" s="59">
        <f>(B20/('Consumidores Inadimplentes'!B56*1000000))</f>
        <v>2.9917965190765512E-2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1918417</v>
      </c>
      <c r="C21" s="30">
        <v>7559983</v>
      </c>
      <c r="D21" s="30">
        <v>10410398270.94006</v>
      </c>
      <c r="E21" s="34">
        <f t="shared" si="0"/>
        <v>3.9407402040328043</v>
      </c>
      <c r="F21" s="43">
        <f t="shared" si="2"/>
        <v>5426.5565155751119</v>
      </c>
      <c r="G21" s="43">
        <f t="shared" si="3"/>
        <v>1377.0399048437091</v>
      </c>
      <c r="H21" s="27">
        <v>0.33165593629302748</v>
      </c>
      <c r="I21" s="59">
        <f>(B21/('Consumidores Inadimplentes'!B57*1000000))</f>
        <v>2.9974941989298211E-2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1921314</v>
      </c>
      <c r="C22" s="30">
        <v>7506238</v>
      </c>
      <c r="D22" s="30">
        <v>10520281122.390043</v>
      </c>
      <c r="E22" s="34">
        <f t="shared" si="0"/>
        <v>3.9068252248200972</v>
      </c>
      <c r="F22" s="43">
        <f t="shared" si="2"/>
        <v>5475.5657442719112</v>
      </c>
      <c r="G22" s="43">
        <f t="shared" si="3"/>
        <v>1401.5384434106729</v>
      </c>
      <c r="H22" s="27">
        <v>0.33164568629857422</v>
      </c>
      <c r="I22" s="59">
        <f>(B22/('Consumidores Inadimplentes'!B58*1000000))</f>
        <v>3.0255423484893903E-2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1893949</v>
      </c>
      <c r="C23" s="30">
        <v>7419527</v>
      </c>
      <c r="D23" s="30">
        <v>10369605637.640038</v>
      </c>
      <c r="E23" s="34">
        <f t="shared" si="0"/>
        <v>3.9174903864887596</v>
      </c>
      <c r="F23" s="43">
        <f t="shared" si="2"/>
        <v>5475.124006844977</v>
      </c>
      <c r="G23" s="43">
        <f t="shared" si="3"/>
        <v>1397.6100683561147</v>
      </c>
      <c r="H23" s="27">
        <v>0.32641911688669817</v>
      </c>
      <c r="I23" s="59">
        <f>(B23/('Consumidores Inadimplentes'!B59*1000000))</f>
        <v>3.0038636849286565E-2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1879104</v>
      </c>
      <c r="C24" s="30">
        <v>7323176</v>
      </c>
      <c r="D24" s="30">
        <v>10227693540.080004</v>
      </c>
      <c r="E24" s="34">
        <f t="shared" si="0"/>
        <v>3.8971637546405096</v>
      </c>
      <c r="F24" s="43">
        <f t="shared" si="2"/>
        <v>5442.8565635962696</v>
      </c>
      <c r="G24" s="43">
        <f t="shared" si="3"/>
        <v>1396.619928304332</v>
      </c>
      <c r="H24" s="27">
        <v>0.32336231387261127</v>
      </c>
      <c r="I24" s="59">
        <f>(B24/('Consumidores Inadimplentes'!B60*1000000))</f>
        <v>2.9939538544281583E-2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1851370</v>
      </c>
      <c r="C25" s="30">
        <v>7186268</v>
      </c>
      <c r="D25" s="30">
        <v>10075447007.010027</v>
      </c>
      <c r="E25" s="34">
        <f t="shared" si="0"/>
        <v>3.8815947109437876</v>
      </c>
      <c r="F25" s="43">
        <f t="shared" si="2"/>
        <v>5442.1574331495203</v>
      </c>
      <c r="G25" s="43">
        <f t="shared" si="3"/>
        <v>1402.0416448440312</v>
      </c>
      <c r="H25" s="27">
        <v>0.31809956399344613</v>
      </c>
      <c r="I25" s="59">
        <f>(B25/('Consumidores Inadimplentes'!B61*1000000))</f>
        <v>2.9726659625965959E-2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1831728</v>
      </c>
      <c r="C26" s="30">
        <v>7078187</v>
      </c>
      <c r="D26" s="30">
        <v>9792369046.520052</v>
      </c>
      <c r="E26" s="34">
        <f t="shared" si="0"/>
        <v>3.8642129180751725</v>
      </c>
      <c r="F26" s="43">
        <f t="shared" si="2"/>
        <v>5345.973335844652</v>
      </c>
      <c r="G26" s="43">
        <f t="shared" si="3"/>
        <v>1383.4572393354474</v>
      </c>
      <c r="H26" s="27">
        <v>0.31424044851103905</v>
      </c>
      <c r="I26" s="59">
        <f>(B26/('Consumidores Inadimplentes'!B62*1000000))</f>
        <v>2.9568466952581748E-2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1799328</v>
      </c>
      <c r="C27" s="31">
        <v>6937035</v>
      </c>
      <c r="D27" s="31">
        <v>9612485929.7300549</v>
      </c>
      <c r="E27" s="35">
        <f t="shared" si="0"/>
        <v>3.8553476631275676</v>
      </c>
      <c r="F27" s="46">
        <f t="shared" si="2"/>
        <v>5342.2644063395082</v>
      </c>
      <c r="G27" s="46">
        <f t="shared" si="3"/>
        <v>1385.6764352104401</v>
      </c>
      <c r="H27" s="28">
        <v>0.30820712676565865</v>
      </c>
      <c r="I27" s="59">
        <f>(B27/('Consumidores Inadimplentes'!B63*1000000))</f>
        <v>2.9323506811290111E-2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1814308</v>
      </c>
      <c r="C28" s="29">
        <v>6903435</v>
      </c>
      <c r="D28" s="29">
        <v>9668821016.8600426</v>
      </c>
      <c r="E28" s="33">
        <f t="shared" si="0"/>
        <v>3.8049961748501357</v>
      </c>
      <c r="F28" s="45">
        <f t="shared" si="2"/>
        <v>5329.2059655031244</v>
      </c>
      <c r="G28" s="45">
        <f t="shared" si="3"/>
        <v>1400.5811624010428</v>
      </c>
      <c r="H28" s="26">
        <v>0.31029491141164661</v>
      </c>
      <c r="I28" s="59">
        <f>(B28/('Consumidores Inadimplentes'!B64*1000000))</f>
        <v>2.9419931123320274E-2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1826897</v>
      </c>
      <c r="C29" s="30">
        <v>6925953</v>
      </c>
      <c r="D29" s="30">
        <v>9681285102.4800434</v>
      </c>
      <c r="E29" s="34">
        <f t="shared" si="0"/>
        <v>3.7911020708885066</v>
      </c>
      <c r="F29" s="43">
        <f t="shared" si="2"/>
        <v>5299.3053809164085</v>
      </c>
      <c r="G29" s="43">
        <f t="shared" si="3"/>
        <v>1397.8271441460899</v>
      </c>
      <c r="H29" s="27">
        <v>0.3119672393731342</v>
      </c>
      <c r="I29" s="59">
        <f>(B29/('Consumidores Inadimplentes'!B65*1000000))</f>
        <v>2.9679089866608933E-2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1857127</v>
      </c>
      <c r="C30" s="30">
        <v>7012211</v>
      </c>
      <c r="D30" s="30">
        <v>10012790129.509991</v>
      </c>
      <c r="E30" s="34">
        <f t="shared" si="0"/>
        <v>3.7758381629258526</v>
      </c>
      <c r="F30" s="43">
        <f t="shared" si="2"/>
        <v>5391.5484129572133</v>
      </c>
      <c r="G30" s="43">
        <f t="shared" si="3"/>
        <v>1427.9077069286693</v>
      </c>
      <c r="H30" s="27">
        <v>0.31664148371087308</v>
      </c>
      <c r="I30" s="59">
        <f>(B30/('Consumidores Inadimplentes'!B66*1000000))</f>
        <v>2.9686799467617968E-2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1876530</v>
      </c>
      <c r="C31" s="30">
        <v>7082593</v>
      </c>
      <c r="D31" s="30">
        <v>10248157736.050034</v>
      </c>
      <c r="E31" s="34">
        <f t="shared" si="0"/>
        <v>3.7743031020020998</v>
      </c>
      <c r="F31" s="43">
        <f t="shared" si="2"/>
        <v>5461.2277640378961</v>
      </c>
      <c r="G31" s="43">
        <f t="shared" si="3"/>
        <v>1446.9499710134455</v>
      </c>
      <c r="H31" s="27">
        <v>0.31945742984987019</v>
      </c>
      <c r="I31" s="59">
        <f>(B31/('Consumidores Inadimplentes'!B67*1000000))</f>
        <v>2.9794905722581838E-2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1874024</v>
      </c>
      <c r="C32" s="30">
        <v>7051865</v>
      </c>
      <c r="D32" s="30">
        <v>10385209752.620041</v>
      </c>
      <c r="E32" s="34">
        <f t="shared" si="0"/>
        <v>3.7629534093480128</v>
      </c>
      <c r="F32" s="43">
        <f t="shared" si="2"/>
        <v>5541.6631551250366</v>
      </c>
      <c r="G32" s="43">
        <f t="shared" si="3"/>
        <v>1472.689813633704</v>
      </c>
      <c r="H32" s="27">
        <v>0.31853994310548328</v>
      </c>
      <c r="I32" s="59">
        <f>(B32/('Consumidores Inadimplentes'!B68*1000000))</f>
        <v>2.9956198811662085E-2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1879431</v>
      </c>
      <c r="C33" s="30">
        <v>7011779</v>
      </c>
      <c r="D33" s="30">
        <v>10297894009.070059</v>
      </c>
      <c r="E33" s="34">
        <f t="shared" si="0"/>
        <v>3.7307988428412644</v>
      </c>
      <c r="F33" s="43">
        <f t="shared" si="2"/>
        <v>5479.2615472821608</v>
      </c>
      <c r="G33" s="43">
        <f t="shared" si="3"/>
        <v>1468.6563864990694</v>
      </c>
      <c r="H33" s="27">
        <v>0.31896747481515497</v>
      </c>
      <c r="I33" s="59">
        <f>(B33/('Consumidores Inadimplentes'!B69*1000000))</f>
        <v>3.006635862568708E-2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1867900</v>
      </c>
      <c r="C34" s="30">
        <v>6951836</v>
      </c>
      <c r="D34" s="30">
        <v>10207845566.690023</v>
      </c>
      <c r="E34" s="34">
        <f>C34/B34</f>
        <v>3.7217388511162266</v>
      </c>
      <c r="F34" s="43">
        <f t="shared" si="2"/>
        <v>5464.8779734943109</v>
      </c>
      <c r="G34" s="43">
        <f t="shared" si="3"/>
        <v>1468.366855416328</v>
      </c>
      <c r="H34" s="27">
        <v>0.31701049211555415</v>
      </c>
      <c r="I34" s="59">
        <f>(B34/('Consumidores Inadimplentes'!B70*1000000))</f>
        <v>3.0019088212341841E-2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1879094</v>
      </c>
      <c r="C35" s="30">
        <v>6954391</v>
      </c>
      <c r="D35" s="30">
        <v>10188929587.830046</v>
      </c>
      <c r="E35" s="34">
        <f>C35/B35</f>
        <v>3.7009276811058944</v>
      </c>
      <c r="F35" s="43">
        <f t="shared" si="2"/>
        <v>5422.2564639289176</v>
      </c>
      <c r="G35" s="43">
        <f t="shared" si="3"/>
        <v>1465.1073814845968</v>
      </c>
      <c r="H35" s="27">
        <v>0.31845121483315281</v>
      </c>
      <c r="I35" s="59">
        <f>(B35/('Consumidores Inadimplentes'!B71*1000000))</f>
        <v>3.0186852733038595E-2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1863678</v>
      </c>
      <c r="C36" s="30">
        <v>6907846</v>
      </c>
      <c r="D36" s="30">
        <v>10179097748.579987</v>
      </c>
      <c r="E36" s="34">
        <f>C36/B36</f>
        <v>3.7065662630561715</v>
      </c>
      <c r="F36" s="43">
        <f t="shared" si="2"/>
        <v>5461.8328641428325</v>
      </c>
      <c r="G36" s="43">
        <f t="shared" si="3"/>
        <v>1473.5559751303063</v>
      </c>
      <c r="H36" s="27">
        <v>0.31538402439300933</v>
      </c>
      <c r="I36" s="59">
        <f>(B36/('Consumidores Inadimplentes'!B72*1000000))</f>
        <v>2.9957722414643114E-2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1875202</v>
      </c>
      <c r="C37" s="30">
        <v>6937962</v>
      </c>
      <c r="D37" s="30">
        <v>10407878666.300001</v>
      </c>
      <c r="E37" s="34">
        <f>C37/B37</f>
        <v>3.6998478030633501</v>
      </c>
      <c r="F37" s="43">
        <f t="shared" si="2"/>
        <v>5550.2706728661769</v>
      </c>
      <c r="G37" s="43">
        <f t="shared" si="3"/>
        <v>1500.1348618369486</v>
      </c>
      <c r="H37" s="27">
        <v>0.31687742237254957</v>
      </c>
      <c r="I37" s="59">
        <f>(B37/('Consumidores Inadimplentes'!B73*1000000))</f>
        <v>2.9574966142677326E-2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1893791</v>
      </c>
      <c r="C38" s="30">
        <v>7002209</v>
      </c>
      <c r="D38" s="30">
        <v>10553303862.220024</v>
      </c>
      <c r="E38" s="34">
        <f t="shared" ref="E38:E46" si="4">C38/B38</f>
        <v>3.6974560550768274</v>
      </c>
      <c r="F38" s="43">
        <f t="shared" si="2"/>
        <v>5572.5810621235523</v>
      </c>
      <c r="G38" s="43">
        <f t="shared" si="3"/>
        <v>1507.1392273809629</v>
      </c>
      <c r="H38" s="27">
        <v>0.31955802980688397</v>
      </c>
      <c r="I38" s="59">
        <f>(B38/('Consumidores Inadimplentes'!B74*1000000))</f>
        <v>2.9466325251086552E-2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1871848</v>
      </c>
      <c r="C39" s="31">
        <v>6900115</v>
      </c>
      <c r="D39" s="31">
        <v>10312560259.48999</v>
      </c>
      <c r="E39" s="35">
        <f t="shared" si="4"/>
        <v>3.686258179082917</v>
      </c>
      <c r="F39" s="46">
        <f t="shared" si="2"/>
        <v>5509.2936282700257</v>
      </c>
      <c r="G39" s="46">
        <f t="shared" si="3"/>
        <v>1494.5490415000318</v>
      </c>
      <c r="H39" s="28">
        <v>0.31540070684476795</v>
      </c>
      <c r="I39" s="59">
        <f>(B39/('Consumidores Inadimplentes'!B75*1000000))</f>
        <v>2.9260950619793197E-2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1902063</v>
      </c>
      <c r="C40" s="29">
        <v>7056702</v>
      </c>
      <c r="D40" s="29">
        <v>10625107689.799997</v>
      </c>
      <c r="E40" s="33">
        <f t="shared" si="4"/>
        <v>3.7100253777083094</v>
      </c>
      <c r="F40" s="45">
        <f t="shared" si="2"/>
        <v>5586.0966170941747</v>
      </c>
      <c r="G40" s="45">
        <f t="shared" si="3"/>
        <v>1505.6761203463029</v>
      </c>
      <c r="H40" s="26">
        <v>0.32003052135316939</v>
      </c>
      <c r="I40" s="59">
        <f>(B40/('Consumidores Inadimplentes'!B76*1000000))</f>
        <v>2.9344925398321026E-2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1915280</v>
      </c>
      <c r="C41" s="30">
        <v>7163939</v>
      </c>
      <c r="D41" s="30">
        <v>10693473620.459984</v>
      </c>
      <c r="E41" s="34">
        <f t="shared" si="4"/>
        <v>3.7404134121381731</v>
      </c>
      <c r="F41" s="43">
        <f t="shared" si="2"/>
        <v>5583.2429829894236</v>
      </c>
      <c r="G41" s="43">
        <f t="shared" si="3"/>
        <v>1492.6807194282339</v>
      </c>
      <c r="H41" s="27">
        <v>0.32179049981459851</v>
      </c>
      <c r="I41" s="59">
        <f>(B41/('Consumidores Inadimplentes'!B77*1000000))</f>
        <v>2.9389367784564802E-2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1956893</v>
      </c>
      <c r="C42" s="30">
        <v>7296828</v>
      </c>
      <c r="D42" s="30">
        <v>10991020699.790001</v>
      </c>
      <c r="E42" s="34">
        <f t="shared" si="4"/>
        <v>3.7287823095079804</v>
      </c>
      <c r="F42" s="43">
        <f t="shared" si="2"/>
        <v>5616.5670273183059</v>
      </c>
      <c r="G42" s="43">
        <f t="shared" si="3"/>
        <v>1506.2737808524473</v>
      </c>
      <c r="H42" s="27">
        <v>0.32830872169524605</v>
      </c>
      <c r="I42" s="59">
        <f>(B42/('Consumidores Inadimplentes'!B78*1000000))</f>
        <v>2.9788010110271591E-2</v>
      </c>
    </row>
    <row r="43" spans="1:16" x14ac:dyDescent="0.35">
      <c r="A43" s="5">
        <v>44652</v>
      </c>
      <c r="B43" s="30">
        <v>1961838</v>
      </c>
      <c r="C43" s="30">
        <v>7328819</v>
      </c>
      <c r="D43" s="30">
        <v>11147444875.530071</v>
      </c>
      <c r="E43" s="34">
        <f t="shared" si="4"/>
        <v>3.7356902047977458</v>
      </c>
      <c r="F43" s="43">
        <f t="shared" si="2"/>
        <v>5682.1434162912901</v>
      </c>
      <c r="G43" s="43">
        <f t="shared" si="3"/>
        <v>1521.0424593007513</v>
      </c>
      <c r="H43" s="27">
        <v>0.32866458182522412</v>
      </c>
      <c r="I43" s="59">
        <f>(B43/('Consumidores Inadimplentes'!B79*1000000))</f>
        <v>2.9665186661902501E-2</v>
      </c>
    </row>
    <row r="44" spans="1:16" x14ac:dyDescent="0.35">
      <c r="A44" s="5">
        <v>44682</v>
      </c>
      <c r="B44" s="30">
        <v>1986239</v>
      </c>
      <c r="C44" s="30">
        <v>7498971</v>
      </c>
      <c r="D44" s="30">
        <v>11418683107.13002</v>
      </c>
      <c r="E44" s="34">
        <f t="shared" si="4"/>
        <v>3.7754625702143598</v>
      </c>
      <c r="F44" s="43">
        <f t="shared" si="2"/>
        <v>5748.8968382606627</v>
      </c>
      <c r="G44" s="43">
        <f t="shared" si="3"/>
        <v>1522.699995390037</v>
      </c>
      <c r="H44" s="27">
        <v>0.33227350949517065</v>
      </c>
      <c r="I44" s="59">
        <f>(B44/('Consumidores Inadimplentes'!B80*1000000))</f>
        <v>2.9832448625798286E-2</v>
      </c>
    </row>
    <row r="45" spans="1:16" x14ac:dyDescent="0.35">
      <c r="A45" s="5">
        <v>44713</v>
      </c>
      <c r="B45" s="30">
        <v>1995479</v>
      </c>
      <c r="C45" s="30">
        <v>7581512</v>
      </c>
      <c r="D45" s="30">
        <v>11560974123.1402</v>
      </c>
      <c r="E45" s="34">
        <f t="shared" si="4"/>
        <v>3.7993444180570179</v>
      </c>
      <c r="F45" s="43">
        <f t="shared" si="2"/>
        <v>5793.5834569745912</v>
      </c>
      <c r="G45" s="43">
        <f t="shared" si="3"/>
        <v>1524.8903019793677</v>
      </c>
      <c r="H45" s="27">
        <v>0.33333873451892143</v>
      </c>
      <c r="I45" s="59">
        <f>(B45/('Consumidores Inadimplentes'!B81*1000000))</f>
        <v>2.9864113486322116E-2</v>
      </c>
    </row>
    <row r="46" spans="1:16" x14ac:dyDescent="0.35">
      <c r="A46" s="5">
        <v>44743</v>
      </c>
      <c r="B46" s="30">
        <v>2023267</v>
      </c>
      <c r="C46" s="30">
        <v>7740971</v>
      </c>
      <c r="D46" s="30">
        <v>11757310288.7103</v>
      </c>
      <c r="E46" s="34">
        <f t="shared" si="4"/>
        <v>3.8259760081096563</v>
      </c>
      <c r="F46" s="43">
        <f t="shared" si="2"/>
        <v>5811.0522677977251</v>
      </c>
      <c r="G46" s="43">
        <f t="shared" si="3"/>
        <v>1518.8417950035339</v>
      </c>
      <c r="H46" s="27">
        <v>0.33749409921984597</v>
      </c>
      <c r="I46" s="59">
        <f>(B46/('Consumidores Inadimplentes'!B82*1000000))</f>
        <v>2.9915696036844176E-2</v>
      </c>
    </row>
    <row r="47" spans="1:16" x14ac:dyDescent="0.35">
      <c r="A47" s="5">
        <v>44774</v>
      </c>
      <c r="B47" s="30">
        <v>2039288</v>
      </c>
      <c r="C47" s="30">
        <v>7935359</v>
      </c>
      <c r="D47" s="30">
        <v>11798537470.5203</v>
      </c>
      <c r="E47" s="34">
        <f t="shared" ref="E47" si="5">C47/B47</f>
        <v>3.8912399817975687</v>
      </c>
      <c r="F47" s="43">
        <f t="shared" ref="F47" si="6">D47/B47</f>
        <v>5785.6160927344736</v>
      </c>
      <c r="G47" s="43">
        <f t="shared" ref="G47" si="7">F47/E47</f>
        <v>1486.8309638568714</v>
      </c>
      <c r="H47" s="27">
        <v>0.3396618551645878</v>
      </c>
      <c r="I47" s="59">
        <f>(B47/('Consumidores Inadimplentes'!B83*1000000))</f>
        <v>3.0000011327487204E-2</v>
      </c>
    </row>
    <row r="48" spans="1:16" x14ac:dyDescent="0.35">
      <c r="A48" s="5">
        <v>44805</v>
      </c>
      <c r="B48" s="30">
        <v>2047602</v>
      </c>
      <c r="C48" s="30">
        <v>7974648</v>
      </c>
      <c r="D48" s="30">
        <v>12098016098.210258</v>
      </c>
      <c r="E48" s="34">
        <f t="shared" ref="E48" si="8">C48/B48</f>
        <v>3.8946279599258058</v>
      </c>
      <c r="F48" s="43">
        <f t="shared" ref="F48" si="9">D48/B48</f>
        <v>5908.3826340325213</v>
      </c>
      <c r="G48" s="43">
        <f t="shared" ref="G48" si="10">F48/E48</f>
        <v>1517.0595740664992</v>
      </c>
      <c r="H48" s="27">
        <v>0.34054068347892003</v>
      </c>
      <c r="I48" s="59">
        <f>(B48/('Consumidores Inadimplentes'!B84*1000000))</f>
        <v>2.9940933100752735E-2</v>
      </c>
    </row>
    <row r="49" spans="1:16" x14ac:dyDescent="0.35">
      <c r="A49" s="5">
        <v>44835</v>
      </c>
      <c r="B49" s="30">
        <v>2062290</v>
      </c>
      <c r="C49" s="30">
        <v>8045813</v>
      </c>
      <c r="D49" s="30">
        <v>12353333926.430338</v>
      </c>
      <c r="E49" s="34">
        <f t="shared" ref="E49" si="11">C49/B49</f>
        <v>3.9013974756217604</v>
      </c>
      <c r="F49" s="43">
        <f t="shared" ref="F49" si="12">D49/B49</f>
        <v>5990.1051386712525</v>
      </c>
      <c r="G49" s="43">
        <f t="shared" ref="G49" si="13">F49/E49</f>
        <v>1535.3742283632912</v>
      </c>
      <c r="H49" s="27">
        <v>0.34247467090022304</v>
      </c>
      <c r="I49" s="59">
        <f>(B49/('Consumidores Inadimplentes'!B85*1000000))</f>
        <v>2.9863746628854229E-2</v>
      </c>
    </row>
    <row r="50" spans="1:16" x14ac:dyDescent="0.35">
      <c r="A50" s="5">
        <v>44866</v>
      </c>
      <c r="B50" s="30">
        <v>2086406</v>
      </c>
      <c r="C50" s="30">
        <v>8234554</v>
      </c>
      <c r="D50" s="30">
        <v>12860113679.970366</v>
      </c>
      <c r="E50" s="34">
        <f t="shared" ref="E50" si="14">C50/B50</f>
        <v>3.9467649153616313</v>
      </c>
      <c r="F50" s="43">
        <f t="shared" ref="F50" si="15">D50/B50</f>
        <v>6163.7637544995396</v>
      </c>
      <c r="G50" s="43">
        <f t="shared" ref="G50" si="16">F50/E50</f>
        <v>1561.7255870773774</v>
      </c>
      <c r="H50" s="27">
        <v>0.3459654695484437</v>
      </c>
      <c r="I50" s="59">
        <f>(B50/('Consumidores Inadimplentes'!B86*1000000))</f>
        <v>2.9876329049988309E-2</v>
      </c>
    </row>
    <row r="51" spans="1:16" ht="15" thickBot="1" x14ac:dyDescent="0.4">
      <c r="A51" s="12">
        <v>44896</v>
      </c>
      <c r="B51" s="31">
        <v>2065113</v>
      </c>
      <c r="C51" s="31">
        <v>8267780</v>
      </c>
      <c r="D51" s="31">
        <v>12990730778.400444</v>
      </c>
      <c r="E51" s="35">
        <f t="shared" ref="E51" si="17">C51/B51</f>
        <v>4.0035484741028702</v>
      </c>
      <c r="F51" s="46">
        <f t="shared" ref="F51" si="18">D51/B51</f>
        <v>6290.5665590214403</v>
      </c>
      <c r="G51" s="46">
        <f t="shared" ref="G51" si="19">F51/E51</f>
        <v>1571.2477567618446</v>
      </c>
      <c r="H51" s="28">
        <v>0.34192667539456428</v>
      </c>
      <c r="I51" s="59">
        <f>(B51/('Consumidores Inadimplentes'!B87*1000000))</f>
        <v>2.9744106941799627E-2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2090771</v>
      </c>
      <c r="C52" s="29">
        <v>8465305</v>
      </c>
      <c r="D52" s="29">
        <v>13490761209.820274</v>
      </c>
      <c r="E52" s="33">
        <f t="shared" ref="E52" si="20">C52/B52</f>
        <v>4.0488915333147437</v>
      </c>
      <c r="F52" s="45">
        <f t="shared" ref="F52" si="21">D52/B52</f>
        <v>6452.529334786198</v>
      </c>
      <c r="G52" s="45">
        <f t="shared" ref="G52" si="22">F52/E52</f>
        <v>1593.6532954004933</v>
      </c>
      <c r="H52" s="26">
        <v>0.345661399891876</v>
      </c>
      <c r="I52" s="59">
        <f>(B52/('Consumidores Inadimplentes'!B88*1000000))</f>
        <v>2.9828537600849796E-2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2108401</v>
      </c>
      <c r="C53" s="30">
        <v>8562674</v>
      </c>
      <c r="D53" s="30">
        <v>13682042806.280342</v>
      </c>
      <c r="E53" s="34">
        <f t="shared" ref="E53" si="23">C53/B53</f>
        <v>4.061217007580626</v>
      </c>
      <c r="F53" s="43">
        <f t="shared" ref="F53" si="24">D53/B53</f>
        <v>6489.2981962541007</v>
      </c>
      <c r="G53" s="43">
        <f t="shared" ref="G53" si="25">F53/E53</f>
        <v>1597.8703389011823</v>
      </c>
      <c r="H53" s="27">
        <v>0.3480589745405645</v>
      </c>
      <c r="I53" s="59">
        <f>(B53/('Consumidores Inadimplentes'!B89*1000000))</f>
        <v>2.9894971771355923E-2</v>
      </c>
    </row>
    <row r="54" spans="1:16" x14ac:dyDescent="0.35">
      <c r="A54" s="5">
        <v>44986</v>
      </c>
      <c r="B54" s="30">
        <v>2121415</v>
      </c>
      <c r="C54" s="30">
        <v>8688255</v>
      </c>
      <c r="D54" s="30">
        <v>14028409824.660376</v>
      </c>
      <c r="E54" s="34">
        <f t="shared" ref="E54" si="26">C54/B54</f>
        <v>4.0954999375416881</v>
      </c>
      <c r="F54" s="43">
        <f t="shared" ref="F54" si="27">D54/B54</f>
        <v>6612.7607397234278</v>
      </c>
      <c r="G54" s="43">
        <f t="shared" ref="G54" si="28">F54/E54</f>
        <v>1614.640664283032</v>
      </c>
      <c r="H54" s="27">
        <v>0.34968780685448531</v>
      </c>
      <c r="I54" s="59">
        <f>(B54/('Consumidores Inadimplentes'!B90*1000000))</f>
        <v>3.0002730831683706E-2</v>
      </c>
    </row>
    <row r="55" spans="1:16" x14ac:dyDescent="0.35">
      <c r="A55" s="5">
        <v>45017</v>
      </c>
      <c r="B55" s="30">
        <v>2139207</v>
      </c>
      <c r="C55" s="30">
        <v>8806156</v>
      </c>
      <c r="D55" s="30">
        <v>14230118160.450323</v>
      </c>
      <c r="E55" s="34">
        <f t="shared" ref="E55" si="29">C55/B55</f>
        <v>4.1165516006632368</v>
      </c>
      <c r="F55" s="43">
        <f t="shared" ref="F55" si="30">D55/B55</f>
        <v>6652.0529151458104</v>
      </c>
      <c r="G55" s="43">
        <f t="shared" ref="G55" si="31">F55/E55</f>
        <v>1615.9284664557752</v>
      </c>
      <c r="H55" s="27">
        <v>0.35209748486160236</v>
      </c>
      <c r="I55" s="59">
        <f>(B55/('Consumidores Inadimplentes'!B91*1000000))</f>
        <v>2.9944284663727568E-2</v>
      </c>
    </row>
    <row r="56" spans="1:16" x14ac:dyDescent="0.35">
      <c r="A56" s="5">
        <v>45047</v>
      </c>
      <c r="B56" s="30">
        <v>2155448</v>
      </c>
      <c r="C56" s="30">
        <v>8905945</v>
      </c>
      <c r="D56" s="30">
        <v>14561748555.600296</v>
      </c>
      <c r="E56" s="34">
        <f t="shared" ref="E56" si="32">C56/B56</f>
        <v>4.1318301346170259</v>
      </c>
      <c r="F56" s="43">
        <f t="shared" ref="F56" si="33">D56/B56</f>
        <v>6755.7874537452517</v>
      </c>
      <c r="G56" s="43">
        <f t="shared" ref="G56" si="34">F56/E56</f>
        <v>1635.0593402048066</v>
      </c>
      <c r="H56" s="27">
        <v>0.35424430413843916</v>
      </c>
      <c r="I56" s="59">
        <f>(B56/('Consumidores Inadimplentes'!B92*1000000))</f>
        <v>2.9976924373745314E-2</v>
      </c>
    </row>
    <row r="57" spans="1:16" x14ac:dyDescent="0.35">
      <c r="A57" s="5">
        <v>45078</v>
      </c>
      <c r="B57" s="30">
        <v>2151713</v>
      </c>
      <c r="C57" s="30">
        <v>8894074</v>
      </c>
      <c r="D57" s="30">
        <v>14613374182.320263</v>
      </c>
      <c r="E57" s="34">
        <f t="shared" ref="E57:E58" si="35">C57/B57</f>
        <v>4.1334852742907628</v>
      </c>
      <c r="F57" s="43">
        <f t="shared" ref="F57:F58" si="36">D57/B57</f>
        <v>6791.5071305142756</v>
      </c>
      <c r="G57" s="43">
        <f t="shared" ref="G57:G58" si="37">F57/E57</f>
        <v>1643.0461656064772</v>
      </c>
      <c r="H57" s="27">
        <v>0.35310585053983007</v>
      </c>
      <c r="I57" s="59">
        <f>(B57/('Consumidores Inadimplentes'!B93*1000000))</f>
        <v>3.0113458069127835E-2</v>
      </c>
    </row>
    <row r="58" spans="1:16" x14ac:dyDescent="0.35">
      <c r="A58" s="5">
        <v>45108</v>
      </c>
      <c r="B58" s="30">
        <v>2136322</v>
      </c>
      <c r="C58" s="30">
        <v>8778650</v>
      </c>
      <c r="D58" s="30">
        <v>14710224545.450081</v>
      </c>
      <c r="E58" s="34">
        <f t="shared" si="35"/>
        <v>4.1092354055240738</v>
      </c>
      <c r="F58" s="43">
        <f t="shared" si="36"/>
        <v>6885.7712205604212</v>
      </c>
      <c r="G58" s="43">
        <f t="shared" si="37"/>
        <v>1675.6818583096581</v>
      </c>
      <c r="H58" s="27">
        <v>0.35005999772888563</v>
      </c>
      <c r="I58" s="59">
        <f>(B58/('Consumidores Inadimplentes'!B94*1000000))</f>
        <v>2.9912499942767363E-2</v>
      </c>
    </row>
    <row r="59" spans="1:16" x14ac:dyDescent="0.35">
      <c r="A59" s="5">
        <v>45139</v>
      </c>
      <c r="B59" s="30">
        <v>2148203</v>
      </c>
      <c r="C59" s="30">
        <v>8844577</v>
      </c>
      <c r="D59" s="30">
        <v>14910031767.990011</v>
      </c>
      <c r="E59" s="34">
        <f t="shared" ref="E59" si="38">C59/B59</f>
        <v>4.1171979556866836</v>
      </c>
      <c r="F59" s="43">
        <f t="shared" ref="F59" si="39">D59/B59</f>
        <v>6940.6996303375481</v>
      </c>
      <c r="G59" s="43">
        <f t="shared" ref="G59" si="40">F59/E59</f>
        <v>1685.7823464016437</v>
      </c>
      <c r="H59" s="27">
        <v>0.35146610341419998</v>
      </c>
      <c r="I59" s="59">
        <f>(B59/('Consumidores Inadimplentes'!B95*1000000))</f>
        <v>2.9944673939728349E-2</v>
      </c>
    </row>
    <row r="60" spans="1:16" x14ac:dyDescent="0.35">
      <c r="A60" s="5">
        <v>45170</v>
      </c>
      <c r="B60" s="30">
        <v>2155300</v>
      </c>
      <c r="C60" s="30">
        <v>8903482</v>
      </c>
      <c r="D60" s="30">
        <v>15195162831.210037</v>
      </c>
      <c r="E60" s="34">
        <f t="shared" ref="E60" si="41">C60/B60</f>
        <v>4.1309710945112048</v>
      </c>
      <c r="F60" s="43">
        <f t="shared" ref="F60" si="42">D60/B60</f>
        <v>7050.1381855008758</v>
      </c>
      <c r="G60" s="43">
        <f t="shared" ref="G60" si="43">F60/E60</f>
        <v>1706.6539620353069</v>
      </c>
      <c r="H60" s="27">
        <v>0.35208552641466406</v>
      </c>
      <c r="I60" s="59">
        <f>(B60/('Consumidores Inadimplentes'!B96*1000000))</f>
        <v>3.0008848663105304E-2</v>
      </c>
    </row>
    <row r="61" spans="1:16" x14ac:dyDescent="0.35">
      <c r="A61" s="5">
        <v>45200</v>
      </c>
      <c r="B61" s="30">
        <v>2171229</v>
      </c>
      <c r="C61" s="30">
        <v>8950522</v>
      </c>
      <c r="D61" s="30">
        <v>15657706002.570089</v>
      </c>
      <c r="E61" s="34">
        <f t="shared" ref="E61" si="44">C61/B61</f>
        <v>4.122329795705566</v>
      </c>
      <c r="F61" s="43">
        <f t="shared" ref="F61" si="45">D61/B61</f>
        <v>7211.4484481232012</v>
      </c>
      <c r="G61" s="43">
        <f t="shared" ref="G61" si="46">F61/E61</f>
        <v>1749.3623279815511</v>
      </c>
      <c r="H61" s="27">
        <v>0.35414280546121624</v>
      </c>
      <c r="I61" s="59">
        <f>(B61/('Consumidores Inadimplentes'!B97*1000000))</f>
        <v>3.0175860151321468E-2</v>
      </c>
    </row>
    <row r="62" spans="1:16" x14ac:dyDescent="0.35">
      <c r="A62" s="5">
        <v>45231</v>
      </c>
      <c r="B62" s="30">
        <v>2159019</v>
      </c>
      <c r="C62" s="30">
        <v>8888912</v>
      </c>
      <c r="D62" s="30">
        <v>15679528800.240007</v>
      </c>
      <c r="E62" s="34">
        <f t="shared" ref="E62" si="47">C62/B62</f>
        <v>4.1171068897494649</v>
      </c>
      <c r="F62" s="43">
        <f t="shared" ref="F62" si="48">D62/B62</f>
        <v>7262.339423710494</v>
      </c>
      <c r="G62" s="43">
        <f t="shared" ref="G62" si="49">F62/E62</f>
        <v>1763.942403776751</v>
      </c>
      <c r="H62" s="27">
        <v>0.35161028438816849</v>
      </c>
      <c r="I62" s="59">
        <f>(B62/('Consumidores Inadimplentes'!B98*1000000))</f>
        <v>3.0066167267242008E-2</v>
      </c>
    </row>
    <row r="63" spans="1:16" ht="15" thickBot="1" x14ac:dyDescent="0.4">
      <c r="A63" s="12">
        <v>45261</v>
      </c>
      <c r="B63" s="31">
        <v>2126926</v>
      </c>
      <c r="C63" s="31">
        <v>8789774</v>
      </c>
      <c r="D63" s="31">
        <v>15357519254.100103</v>
      </c>
      <c r="E63" s="35">
        <f t="shared" ref="E63" si="50">C63/B63</f>
        <v>4.1326186242492691</v>
      </c>
      <c r="F63" s="46">
        <f t="shared" ref="F63" si="51">D63/B63</f>
        <v>7220.5235415336983</v>
      </c>
      <c r="G63" s="46">
        <f t="shared" ref="G63" si="52">F63/E63</f>
        <v>1747.2029717829039</v>
      </c>
      <c r="H63" s="28">
        <v>0.34585163603109165</v>
      </c>
      <c r="I63" s="59">
        <f>(B63/('Consumidores Inadimplentes'!B99*1000000))</f>
        <v>2.991354487853785E-2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2159116</v>
      </c>
      <c r="C64" s="29">
        <v>8925490</v>
      </c>
      <c r="D64" s="29">
        <v>15981517965.220152</v>
      </c>
      <c r="E64" s="33">
        <f t="shared" ref="E64" si="53">C64/B64</f>
        <v>4.1338631180538705</v>
      </c>
      <c r="F64" s="45">
        <f t="shared" ref="F64" si="54">D64/B64</f>
        <v>7401.8801978310348</v>
      </c>
      <c r="G64" s="45">
        <f t="shared" ref="G64" si="55">F64/E64</f>
        <v>1790.5479660186893</v>
      </c>
      <c r="H64" s="26">
        <v>0.35054658950618284</v>
      </c>
      <c r="I64" s="59">
        <f>(B64/('Consumidores Inadimplentes'!B100*1000000))</f>
        <v>2.9958672296318892E-2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2164650</v>
      </c>
      <c r="C65" s="30">
        <v>8952110</v>
      </c>
      <c r="D65" s="30">
        <v>15980173303.350222</v>
      </c>
      <c r="E65" s="34">
        <f t="shared" ref="E65" si="56">C65/B65</f>
        <v>4.1355923590418771</v>
      </c>
      <c r="F65" s="43">
        <f t="shared" ref="F65" si="57">D65/B65</f>
        <v>7382.3358526090688</v>
      </c>
      <c r="G65" s="43">
        <f t="shared" ref="G65" si="58">F65/E65</f>
        <v>1785.0733853080694</v>
      </c>
      <c r="H65" s="27">
        <v>0.35090520623269505</v>
      </c>
      <c r="I65" s="59">
        <f>(B65/('Consumidores Inadimplentes'!B101*1000000))</f>
        <v>3.0048197466984082E-2</v>
      </c>
    </row>
    <row r="66" spans="1:16" x14ac:dyDescent="0.35">
      <c r="A66" s="5">
        <v>45352</v>
      </c>
      <c r="B66" s="30">
        <v>2184278</v>
      </c>
      <c r="C66" s="30">
        <v>9019349</v>
      </c>
      <c r="D66" s="30">
        <v>16300787499.250256</v>
      </c>
      <c r="E66" s="34">
        <f t="shared" ref="E66" si="59">C66/B66</f>
        <v>4.1292129481686857</v>
      </c>
      <c r="F66" s="43">
        <f t="shared" ref="F66" si="60">D66/B66</f>
        <v>7462.7806072534058</v>
      </c>
      <c r="G66" s="43">
        <f t="shared" ref="G66" si="61">F66/E66</f>
        <v>1807.3130886996671</v>
      </c>
      <c r="H66" s="27">
        <v>0.35354309820044538</v>
      </c>
      <c r="I66" s="59">
        <f>(B66/('Consumidores Inadimplentes'!B102*1000000))</f>
        <v>2.9964789954007844E-2</v>
      </c>
    </row>
    <row r="67" spans="1:16" x14ac:dyDescent="0.35">
      <c r="A67" s="5">
        <v>45383</v>
      </c>
      <c r="B67" s="30">
        <v>2192887</v>
      </c>
      <c r="C67" s="30">
        <v>9057270</v>
      </c>
      <c r="D67" s="30">
        <v>16596514642.540127</v>
      </c>
      <c r="E67" s="34">
        <f t="shared" ref="E67" si="62">C67/B67</f>
        <v>4.1302949034765586</v>
      </c>
      <c r="F67" s="43">
        <f t="shared" ref="F67" si="63">D67/B67</f>
        <v>7568.3401117066805</v>
      </c>
      <c r="G67" s="43">
        <f t="shared" ref="G67" si="64">F67/E67</f>
        <v>1832.3970294073299</v>
      </c>
      <c r="H67" s="27">
        <v>0.35439131730469009</v>
      </c>
      <c r="I67" s="59">
        <f>(B67/('Consumidores Inadimplentes'!B103*1000000))</f>
        <v>2.9867794217427825E-2</v>
      </c>
    </row>
    <row r="68" spans="1:16" x14ac:dyDescent="0.35">
      <c r="A68" s="5">
        <v>45413</v>
      </c>
      <c r="B68" s="30">
        <v>2187023</v>
      </c>
      <c r="C68" s="30">
        <v>9046744</v>
      </c>
      <c r="D68" s="30">
        <v>16728567053.119993</v>
      </c>
      <c r="E68" s="34">
        <f t="shared" ref="E68" si="65">C68/B68</f>
        <v>4.1365564056710884</v>
      </c>
      <c r="F68" s="43">
        <f t="shared" ref="F68" si="66">D68/B68</f>
        <v>7649.0128604591691</v>
      </c>
      <c r="G68" s="43">
        <f t="shared" ref="G68" si="67">F68/E68</f>
        <v>1849.125724472804</v>
      </c>
      <c r="H68" s="27">
        <v>0.35290069378869038</v>
      </c>
      <c r="I68" s="59">
        <f>(B68/('Consumidores Inadimplentes'!B104*1000000))</f>
        <v>3.015113195906002E-2</v>
      </c>
    </row>
    <row r="69" spans="1:16" x14ac:dyDescent="0.35">
      <c r="A69" s="5">
        <v>45444</v>
      </c>
      <c r="B69" s="30">
        <v>2189118</v>
      </c>
      <c r="C69" s="30">
        <v>9056854</v>
      </c>
      <c r="D69" s="30">
        <v>16808855415.309999</v>
      </c>
      <c r="E69" s="34">
        <f t="shared" ref="E69" si="68">C69/B69</f>
        <v>4.1372159929250047</v>
      </c>
      <c r="F69" s="43">
        <f t="shared" ref="F69" si="69">D69/B69</f>
        <v>7678.3688295057646</v>
      </c>
      <c r="G69" s="43">
        <f t="shared" ref="G69" si="70">F69/E69</f>
        <v>1855.9265077376758</v>
      </c>
      <c r="H69" s="27">
        <v>0.35269609466117141</v>
      </c>
      <c r="I69" s="59">
        <f>(B69/('Consumidores Inadimplentes'!B105*1000000))</f>
        <v>3.0194259587560647E-2</v>
      </c>
    </row>
    <row r="70" spans="1:16" x14ac:dyDescent="0.35">
      <c r="A70" s="5">
        <v>45474</v>
      </c>
      <c r="B70" s="30">
        <v>2197968</v>
      </c>
      <c r="C70" s="30">
        <v>8966375</v>
      </c>
      <c r="D70" s="30">
        <v>16574356061.83</v>
      </c>
      <c r="E70" s="34">
        <f t="shared" ref="E70:E71" si="71">C70/B70</f>
        <v>4.0793928756014646</v>
      </c>
      <c r="F70" s="43">
        <f t="shared" ref="F70:F71" si="72">D70/B70</f>
        <v>7540.7631329618989</v>
      </c>
      <c r="G70" s="43">
        <f t="shared" ref="G70:G71" si="73">F70/E70</f>
        <v>1848.5013243177984</v>
      </c>
      <c r="H70" s="27">
        <v>0.35357792123076509</v>
      </c>
      <c r="I70" s="59">
        <f>(B70/('Consumidores Inadimplentes'!B106*1000000))</f>
        <v>3.0248315310827435E-2</v>
      </c>
    </row>
    <row r="71" spans="1:16" x14ac:dyDescent="0.35">
      <c r="A71" s="5">
        <v>45505</v>
      </c>
      <c r="B71" s="30">
        <v>2201414</v>
      </c>
      <c r="C71" s="30">
        <v>8983634</v>
      </c>
      <c r="D71" s="30">
        <v>16518859654.330219</v>
      </c>
      <c r="E71" s="34">
        <f t="shared" si="71"/>
        <v>4.08084712825484</v>
      </c>
      <c r="F71" s="43">
        <f t="shared" si="72"/>
        <v>7503.7497055666126</v>
      </c>
      <c r="G71" s="43">
        <f t="shared" si="73"/>
        <v>1838.7725562205917</v>
      </c>
      <c r="H71" s="27">
        <v>0.35361330942301034</v>
      </c>
      <c r="I71" s="59">
        <f>(B71/('Consumidores Inadimplentes'!B107*1000000))</f>
        <v>3.0380028080715913E-2</v>
      </c>
    </row>
    <row r="72" spans="1:16" x14ac:dyDescent="0.35">
      <c r="A72" s="5">
        <v>45536</v>
      </c>
      <c r="B72" s="30">
        <v>2200597</v>
      </c>
      <c r="C72" s="30">
        <v>8991644</v>
      </c>
      <c r="D72" s="30">
        <v>16704677551.470337</v>
      </c>
      <c r="E72" s="34">
        <f t="shared" ref="E72" si="74">C72/B72</f>
        <v>4.0860021166983325</v>
      </c>
      <c r="F72" s="43">
        <f t="shared" ref="F72" si="75">D72/B72</f>
        <v>7590.9753359976121</v>
      </c>
      <c r="G72" s="43">
        <f t="shared" ref="G72" si="76">F72/E72</f>
        <v>1857.8001477227454</v>
      </c>
      <c r="H72" s="27">
        <v>0.35296403742905946</v>
      </c>
      <c r="I72" s="59">
        <f>(B72/('Consumidores Inadimplentes'!B108*1000000))</f>
        <v>3.0293759006334717E-2</v>
      </c>
    </row>
    <row r="73" spans="1:16" x14ac:dyDescent="0.35">
      <c r="A73" s="5">
        <v>45566</v>
      </c>
      <c r="B73" s="30">
        <v>2216045</v>
      </c>
      <c r="C73" s="30">
        <v>9072022</v>
      </c>
      <c r="D73" s="30">
        <v>16971747504.420391</v>
      </c>
      <c r="E73" s="34">
        <f t="shared" ref="E73" si="77">C73/B73</f>
        <v>4.0937896116730483</v>
      </c>
      <c r="F73" s="43">
        <f t="shared" ref="F73" si="78">D73/B73</f>
        <v>7658.5753016840317</v>
      </c>
      <c r="G73" s="43">
        <f t="shared" ref="G73" si="79">F73/E73</f>
        <v>1870.7789183514315</v>
      </c>
      <c r="H73" s="27">
        <v>0.35492092839407469</v>
      </c>
      <c r="I73" s="59">
        <f>(B73/('Consumidores Inadimplentes'!B109*1000000))</f>
        <v>3.0313598478003731E-2</v>
      </c>
    </row>
    <row r="74" spans="1:16" x14ac:dyDescent="0.35">
      <c r="A74" s="5">
        <v>45597</v>
      </c>
      <c r="B74" s="30">
        <v>2219166</v>
      </c>
      <c r="C74" s="30">
        <v>8901852</v>
      </c>
      <c r="D74" s="30">
        <v>16813946131.180367</v>
      </c>
      <c r="E74" s="34">
        <f t="shared" ref="E74" si="80">C74/B74</f>
        <v>4.0113502099437355</v>
      </c>
      <c r="F74" s="43">
        <f t="shared" ref="F74" si="81">D74/B74</f>
        <v>7576.6959890248709</v>
      </c>
      <c r="G74" s="43">
        <f t="shared" ref="G74" si="82">F74/E74</f>
        <v>1888.8143872960782</v>
      </c>
      <c r="H74" s="27">
        <v>0.3548999557647658</v>
      </c>
      <c r="I74" s="59">
        <f>(B74/('Consumidores Inadimplentes'!B110*1000000))</f>
        <v>3.0074566606956607E-2</v>
      </c>
    </row>
    <row r="75" spans="1:16" ht="15" thickBot="1" x14ac:dyDescent="0.4">
      <c r="A75" s="12">
        <v>45627</v>
      </c>
      <c r="B75" s="31">
        <v>2193632</v>
      </c>
      <c r="C75" s="31">
        <v>8758688</v>
      </c>
      <c r="D75" s="31">
        <v>16531542125.440348</v>
      </c>
      <c r="E75" s="35">
        <f t="shared" ref="E75" si="83">C75/B75</f>
        <v>3.9927790987731764</v>
      </c>
      <c r="F75" s="46">
        <f t="shared" ref="F75" si="84">D75/B75</f>
        <v>7536.1510615455772</v>
      </c>
      <c r="G75" s="46">
        <f t="shared" ref="G75" si="85">F75/E75</f>
        <v>1887.4450289176127</v>
      </c>
      <c r="H75" s="28">
        <v>0.35030231817992369</v>
      </c>
      <c r="I75" s="59">
        <f>(B75/('Consumidores Inadimplentes'!B111*1000000))</f>
        <v>2.9840359128162745E-2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2237397</v>
      </c>
      <c r="C76" s="29">
        <v>8989460</v>
      </c>
      <c r="D76" s="29">
        <v>17283050003.910351</v>
      </c>
      <c r="E76" s="33">
        <f t="shared" ref="E76:E77" si="86">C76/B76</f>
        <v>4.0178207086180953</v>
      </c>
      <c r="F76" s="45">
        <f t="shared" ref="F76:F77" si="87">D76/B76</f>
        <v>7724.6237497906495</v>
      </c>
      <c r="G76" s="45">
        <f t="shared" ref="G76:G77" si="88">F76/E76</f>
        <v>1922.5904563689419</v>
      </c>
      <c r="H76" s="26">
        <v>0.35676759893999666</v>
      </c>
      <c r="I76" s="59">
        <f>(B76/('Consumidores Inadimplentes'!B112*1000000))</f>
        <v>2.999074540171447E-2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2266813</v>
      </c>
      <c r="C77" s="30">
        <v>9205496</v>
      </c>
      <c r="D77" s="30">
        <v>17984193484.060349</v>
      </c>
      <c r="E77" s="34">
        <f t="shared" si="86"/>
        <v>4.0609860628115335</v>
      </c>
      <c r="F77" s="43">
        <f t="shared" si="87"/>
        <v>7933.6908179282318</v>
      </c>
      <c r="G77" s="43">
        <f t="shared" si="88"/>
        <v>1953.636554082512</v>
      </c>
      <c r="H77" s="27">
        <v>0.36092846037062304</v>
      </c>
      <c r="I77" s="59">
        <f>(B77/('Consumidores Inadimplentes'!B113*1000000))</f>
        <v>3.0222808471302768E-2</v>
      </c>
    </row>
    <row r="78" spans="1:16" x14ac:dyDescent="0.35">
      <c r="A78" s="5">
        <v>45717</v>
      </c>
      <c r="B78" s="30">
        <v>2296815</v>
      </c>
      <c r="C78" s="30">
        <v>9283559</v>
      </c>
      <c r="D78" s="30">
        <v>18180153390.200459</v>
      </c>
      <c r="E78" s="34">
        <f t="shared" ref="E78" si="89">C78/B78</f>
        <v>4.0419271904789893</v>
      </c>
      <c r="F78" s="43">
        <f t="shared" ref="F78" si="90">D78/B78</f>
        <v>7915.3755919394716</v>
      </c>
      <c r="G78" s="43">
        <f t="shared" ref="G78" si="91">F78/E78</f>
        <v>1958.3172132799994</v>
      </c>
      <c r="H78" s="27">
        <v>0.36516955757345076</v>
      </c>
      <c r="I78" s="59">
        <f>(B78/('Consumidores Inadimplentes'!B114*1000000))</f>
        <v>3.0313174302213908E-2</v>
      </c>
    </row>
    <row r="79" spans="1:16" x14ac:dyDescent="0.35">
      <c r="A79" s="5">
        <v>45748</v>
      </c>
      <c r="B79" s="30">
        <v>2315201</v>
      </c>
      <c r="C79" s="30">
        <v>9485972</v>
      </c>
      <c r="D79" s="30">
        <v>18964907108</v>
      </c>
      <c r="E79" s="34">
        <f t="shared" ref="E79" si="92">C79/B79</f>
        <v>4.0972563505285287</v>
      </c>
      <c r="F79" s="43">
        <f t="shared" ref="F79" si="93">D79/B79</f>
        <v>8191.4732707872881</v>
      </c>
      <c r="G79" s="43">
        <f t="shared" ref="G79" si="94">F79/E79</f>
        <v>1999.2581791301934</v>
      </c>
      <c r="H79" s="27">
        <v>0.36755330608118525</v>
      </c>
      <c r="I79" s="59">
        <f>(B79/('Consumidores Inadimplentes'!B115*1000000))</f>
        <v>3.0209360354258356E-2</v>
      </c>
    </row>
    <row r="80" spans="1:16" x14ac:dyDescent="0.35">
      <c r="A80" s="5">
        <v>45778</v>
      </c>
      <c r="B80" s="30">
        <v>2363121</v>
      </c>
      <c r="C80" s="30">
        <v>9755124</v>
      </c>
      <c r="D80" s="30">
        <v>19745745022</v>
      </c>
      <c r="E80" s="34">
        <f t="shared" ref="E80" si="95">C80/B80</f>
        <v>4.1280679237330631</v>
      </c>
      <c r="F80" s="43">
        <f t="shared" ref="F80" si="96">D80/B80</f>
        <v>8355.7909315688867</v>
      </c>
      <c r="G80" s="43">
        <f t="shared" ref="G80" si="97">F80/E80</f>
        <v>2024.1408537707978</v>
      </c>
      <c r="H80" s="27">
        <v>0.37461116068505784</v>
      </c>
      <c r="I80" s="59">
        <f>(B80/('Consumidores Inadimplentes'!B116*1000000))</f>
        <v>3.0661101501084437E-2</v>
      </c>
    </row>
    <row r="81" spans="1:16" x14ac:dyDescent="0.35">
      <c r="A81" s="5">
        <v>45809</v>
      </c>
      <c r="B81" s="30">
        <v>2380765</v>
      </c>
      <c r="C81" s="30">
        <v>9831576</v>
      </c>
      <c r="D81" s="30">
        <v>20242010022</v>
      </c>
      <c r="E81" s="34">
        <f t="shared" ref="E81" si="98">C81/B81</f>
        <v>4.1295869184904852</v>
      </c>
      <c r="F81" s="43">
        <f t="shared" ref="F81" si="99">D81/B81</f>
        <v>8502.3133412999596</v>
      </c>
      <c r="G81" s="43">
        <f t="shared" ref="G81" si="100">F81/E81</f>
        <v>2058.8774395885257</v>
      </c>
      <c r="H81" s="27">
        <v>0.37685507850867161</v>
      </c>
      <c r="I81" s="59">
        <f>(B81/('Consumidores Inadimplentes'!B117*1000000))</f>
        <v>3.0571778610378464E-2</v>
      </c>
    </row>
    <row r="82" spans="1:16" x14ac:dyDescent="0.35">
      <c r="A82" s="5">
        <v>45839</v>
      </c>
      <c r="B82" s="30">
        <v>2398714</v>
      </c>
      <c r="C82" s="30">
        <v>9975481</v>
      </c>
      <c r="D82" s="30">
        <v>20580244060</v>
      </c>
      <c r="E82" s="34">
        <f t="shared" ref="E82:E83" si="101">C82/B82</f>
        <v>4.1586787753771395</v>
      </c>
      <c r="F82" s="43">
        <f t="shared" ref="F82:F83" si="102">D82/B82</f>
        <v>8579.6989803703145</v>
      </c>
      <c r="G82" s="43">
        <f t="shared" ref="G82:G83" si="103">F82/E82</f>
        <v>2063.0828789108014</v>
      </c>
      <c r="H82" s="27">
        <v>0.37913973858209171</v>
      </c>
      <c r="I82" s="59">
        <f>(B82/('Consumidores Inadimplentes'!B118*1000000))</f>
        <v>3.0689324886770845E-2</v>
      </c>
    </row>
    <row r="83" spans="1:16" x14ac:dyDescent="0.35">
      <c r="A83" s="5">
        <v>45870</v>
      </c>
      <c r="B83" s="30">
        <v>2414412</v>
      </c>
      <c r="C83" s="30">
        <v>10121225</v>
      </c>
      <c r="D83" s="30">
        <v>21142068399</v>
      </c>
      <c r="E83" s="34">
        <f t="shared" si="101"/>
        <v>4.1920040987205169</v>
      </c>
      <c r="F83" s="43">
        <f t="shared" si="102"/>
        <v>8756.6117129139511</v>
      </c>
      <c r="G83" s="43">
        <f t="shared" si="103"/>
        <v>2088.8843394944779</v>
      </c>
      <c r="H83" s="27">
        <v>0.38107759635048671</v>
      </c>
      <c r="I83" s="59">
        <f>(B83/('Consumidores Inadimplentes'!B119*1000000))</f>
        <v>3.0620766369393652E-2</v>
      </c>
    </row>
    <row r="84" spans="1:16" x14ac:dyDescent="0.35">
      <c r="A84" s="5">
        <v>45901</v>
      </c>
      <c r="B84" s="30">
        <v>2421748</v>
      </c>
      <c r="C84" s="30">
        <v>10100543</v>
      </c>
      <c r="D84" s="30">
        <v>21308120661</v>
      </c>
      <c r="E84" s="34">
        <f>IFERROR(C84/B84,"")</f>
        <v>4.1707654966577863</v>
      </c>
      <c r="F84" s="43">
        <f>IFERROR(D84/B84,"")</f>
        <v>8798.6531468179182</v>
      </c>
      <c r="G84" s="43">
        <f>IFERROR(F84/E84,"")</f>
        <v>2109.6014997411526</v>
      </c>
      <c r="H84" s="27">
        <v>0.38169122568888486</v>
      </c>
      <c r="I84" s="59">
        <f>(B84/('Consumidores Inadimplentes'!B120*1000000))</f>
        <v>3.0590390798423059E-2</v>
      </c>
    </row>
    <row r="85" spans="1:16" x14ac:dyDescent="0.35">
      <c r="A85" s="5">
        <v>45931</v>
      </c>
      <c r="B85" s="30">
        <v>2457003</v>
      </c>
      <c r="C85" s="30">
        <v>10299567</v>
      </c>
      <c r="D85" s="30">
        <v>21890868652</v>
      </c>
      <c r="E85" s="34">
        <f t="shared" ref="E85:E87" si="104">IFERROR(C85/B85,"")</f>
        <v>4.1919228425850514</v>
      </c>
      <c r="F85" s="43">
        <f t="shared" ref="F85:F87" si="105">IFERROR(D85/B85,"")</f>
        <v>8909.581572346473</v>
      </c>
      <c r="G85" s="43">
        <f t="shared" ref="G85:G87" si="106">IFERROR(F85/E85,"")</f>
        <v>2125.4164036216284</v>
      </c>
      <c r="H85" s="27">
        <v>0.38669637053556671</v>
      </c>
      <c r="I85" s="59">
        <f>(B85/('Consumidores Inadimplentes'!B121*1000000))</f>
        <v>3.054585943610796E-2</v>
      </c>
    </row>
    <row r="86" spans="1:16" x14ac:dyDescent="0.35">
      <c r="A86" s="5">
        <v>45962</v>
      </c>
      <c r="B86" s="30">
        <v>2463046</v>
      </c>
      <c r="C86" s="30">
        <v>10354831</v>
      </c>
      <c r="D86" s="30">
        <v>22185127209</v>
      </c>
      <c r="E86" s="34">
        <f t="shared" si="104"/>
        <v>4.204075360346498</v>
      </c>
      <c r="F86" s="43">
        <f t="shared" si="105"/>
        <v>9007.1915867588341</v>
      </c>
      <c r="G86" s="43">
        <f t="shared" si="106"/>
        <v>2142.4905156829695</v>
      </c>
      <c r="H86" s="27">
        <v>0.38709548648491487</v>
      </c>
      <c r="I86" s="59">
        <f>(B86/('Consumidores Inadimplentes'!B122*1000000))</f>
        <v>3.0555143212866773E-2</v>
      </c>
    </row>
    <row r="87" spans="1:16" ht="15" thickBot="1" x14ac:dyDescent="0.4">
      <c r="A87" s="12">
        <v>45992</v>
      </c>
      <c r="B87" s="31">
        <v>2513090</v>
      </c>
      <c r="C87" s="31">
        <v>10860694</v>
      </c>
      <c r="D87" s="31">
        <v>22625901187</v>
      </c>
      <c r="E87" s="35">
        <f t="shared" si="104"/>
        <v>4.3216494435137616</v>
      </c>
      <c r="F87" s="46">
        <f t="shared" si="105"/>
        <v>9003.2196168859846</v>
      </c>
      <c r="G87" s="46">
        <f t="shared" si="106"/>
        <v>2083.2831849419567</v>
      </c>
      <c r="H87" s="28">
        <v>0.39439808423244138</v>
      </c>
      <c r="I87" s="59">
        <f>(B87/('Consumidores Inadimplentes'!B123*1000000))</f>
        <v>3.093109375126157E-2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2529660</v>
      </c>
      <c r="C88" s="29">
        <v>10982365</v>
      </c>
      <c r="D88" s="29">
        <v>23323716682</v>
      </c>
      <c r="E88" s="33">
        <f t="shared" ref="E88:E89" si="107">IFERROR(C88/B88,"")</f>
        <v>4.3414391657376878</v>
      </c>
      <c r="F88" s="45">
        <f t="shared" ref="F88:F89" si="108">IFERROR(D88/B88,"")</f>
        <v>9220.0994133598979</v>
      </c>
      <c r="G88" s="45">
        <f t="shared" ref="G88:G89" si="109">IFERROR(F88/E88,"")</f>
        <v>2123.7426257459119</v>
      </c>
      <c r="H88" s="26">
        <v>0.39643325102189308</v>
      </c>
      <c r="I88" s="59">
        <f>(B88/('Consumidores Inadimplentes'!B124*1000000))</f>
        <v>3.1107731786240794E-2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2547876</v>
      </c>
      <c r="C89" s="30">
        <v>11148260</v>
      </c>
      <c r="D89" s="30">
        <v>23963581587</v>
      </c>
      <c r="E89" s="34">
        <f t="shared" si="107"/>
        <v>4.3755112101216858</v>
      </c>
      <c r="F89" s="43">
        <f t="shared" si="108"/>
        <v>9405.3170511437766</v>
      </c>
      <c r="G89" s="43">
        <f t="shared" si="109"/>
        <v>2149.5355855532612</v>
      </c>
      <c r="H89" s="27">
        <v>0.39871940368204306</v>
      </c>
      <c r="I89" s="59">
        <f>(B89/('Consumidores Inadimplentes'!B125*1000000))</f>
        <v>3.1173574837031839E-2</v>
      </c>
    </row>
    <row r="90" spans="1:16" x14ac:dyDescent="0.35">
      <c r="A90" s="5">
        <v>46082</v>
      </c>
      <c r="B90" s="30">
        <v>2588850</v>
      </c>
      <c r="C90" s="30">
        <v>11383798</v>
      </c>
      <c r="D90" s="30">
        <v>24838498416</v>
      </c>
      <c r="E90" s="34">
        <f t="shared" ref="E90" si="110">IFERROR(C90/B90,"")</f>
        <v>4.3972412461131389</v>
      </c>
      <c r="F90" s="43">
        <f t="shared" ref="F90" si="111">IFERROR(D90/B90,"")</f>
        <v>9594.413896517759</v>
      </c>
      <c r="G90" s="43">
        <f t="shared" ref="G90" si="112">IFERROR(F90/E90,"")</f>
        <v>2181.9166517185213</v>
      </c>
      <c r="H90" s="27">
        <v>0.40455458912436748</v>
      </c>
      <c r="I90" s="59">
        <f>(B90/('Consumidores Inadimplentes'!B126*1000000))</f>
        <v>3.1254040156778573E-2</v>
      </c>
    </row>
    <row r="91" spans="1:16" x14ac:dyDescent="0.35">
      <c r="A91" s="5">
        <v>46113</v>
      </c>
      <c r="B91" s="30">
        <v>2646279</v>
      </c>
      <c r="C91" s="30">
        <v>11664954</v>
      </c>
      <c r="D91" s="30">
        <v>25245566352</v>
      </c>
      <c r="E91" s="34">
        <f t="shared" ref="E91" si="113">IFERROR(C91/B91,"")</f>
        <v>4.4080590141855787</v>
      </c>
      <c r="F91" s="43">
        <f t="shared" ref="F91" si="114">IFERROR(D91/B91,"")</f>
        <v>9540.0244464019106</v>
      </c>
      <c r="G91" s="43">
        <f t="shared" ref="G91" si="115">IFERROR(F91/E91,"")</f>
        <v>2164.2233953087175</v>
      </c>
      <c r="H91" s="27">
        <v>0.41294007772629143</v>
      </c>
      <c r="I91" s="59">
        <f>(B91/('Consumidores Inadimplentes'!B127*1000000))</f>
        <v>3.1734076521571286E-2</v>
      </c>
    </row>
    <row r="92" spans="1:16" x14ac:dyDescent="0.35">
      <c r="A92" s="5">
        <v>46143</v>
      </c>
      <c r="B92" s="30">
        <v>2657862</v>
      </c>
      <c r="C92" s="30">
        <v>11729547</v>
      </c>
      <c r="D92" s="30">
        <v>25589357319</v>
      </c>
      <c r="E92" s="34">
        <f t="shared" ref="E92" si="116">IFERROR(C92/B92,"")</f>
        <v>4.4131512471302123</v>
      </c>
      <c r="F92" s="43">
        <f t="shared" ref="F92" si="117">IFERROR(D92/B92,"")</f>
        <v>9627.7975752691455</v>
      </c>
      <c r="G92" s="43">
        <f t="shared" ref="G92" si="118">IFERROR(F92/E92,"")</f>
        <v>2181.6151398685729</v>
      </c>
      <c r="H92" s="27">
        <v>0.41415698860759831</v>
      </c>
      <c r="I92" s="59">
        <f>(B92/('Consumidores Inadimplentes'!B128*1000000))</f>
        <v>3.1829597760057185E-2</v>
      </c>
    </row>
    <row r="93" spans="1:16" x14ac:dyDescent="0.35">
      <c r="A93" s="5">
        <v>46174</v>
      </c>
      <c r="B93" s="30">
        <v>2673670</v>
      </c>
      <c r="C93" s="30">
        <v>11796286</v>
      </c>
      <c r="D93" s="30">
        <v>25844137543</v>
      </c>
      <c r="E93" s="34">
        <f t="shared" ref="E93" si="119">IFERROR(C93/B93,"")</f>
        <v>4.4120201819970299</v>
      </c>
      <c r="F93" s="43">
        <f t="shared" ref="F93" si="120">IFERROR(D93/B93,"")</f>
        <v>9666.165810664741</v>
      </c>
      <c r="G93" s="43">
        <f t="shared" ref="G93" si="121">IFERROR(F93/E93,"")</f>
        <v>2190.8707149860556</v>
      </c>
      <c r="H93" s="27">
        <v>0.41602701490693322</v>
      </c>
      <c r="I93" s="59">
        <f>(B93/('Consumidores Inadimplentes'!B129*1000000))</f>
        <v>3.1929147999274349E-2</v>
      </c>
    </row>
    <row r="94" spans="1:16" x14ac:dyDescent="0.35">
      <c r="A94" s="5">
        <v>46204</v>
      </c>
      <c r="B94" s="30">
        <v>2677402</v>
      </c>
      <c r="C94" s="30">
        <v>11850567</v>
      </c>
      <c r="D94" s="30">
        <v>26134270729</v>
      </c>
      <c r="E94" s="34">
        <f t="shared" ref="E94" si="122">IFERROR(C94/B94,"")</f>
        <v>4.4261440754881036</v>
      </c>
      <c r="F94" s="43">
        <f t="shared" ref="F94" si="123">IFERROR(D94/B94,"")</f>
        <v>9761.055952374727</v>
      </c>
      <c r="G94" s="43">
        <f t="shared" ref="G94" si="124">IFERROR(F94/E94,"")</f>
        <v>2205.3181699238526</v>
      </c>
      <c r="H94" s="27">
        <v>0.4160145112415819</v>
      </c>
      <c r="I94" s="59">
        <f>(B94/('Consumidores Inadimplentes'!B130*1000000))</f>
        <v>3.1899688030482036E-2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0155-3C7C-4B3C-B329-44EC355E20E7}">
  <sheetPr codeName="Planilha29"/>
  <dimension ref="A1:P99"/>
  <sheetViews>
    <sheetView zoomScale="90" zoomScaleNormal="90" workbookViewId="0">
      <pane xSplit="1" ySplit="3" topLeftCell="B84" activePane="bottomRight" state="frozen"/>
      <selection activeCell="H93" sqref="H93"/>
      <selection pane="topRight" activeCell="H93" sqref="H93"/>
      <selection pane="bottomLeft" activeCell="H93" sqref="H93"/>
      <selection pane="bottomRight" activeCell="I1" sqref="I1:I1048576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44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689809</v>
      </c>
      <c r="C4" s="29">
        <v>1989760</v>
      </c>
      <c r="D4" s="29">
        <v>2124718138.8999984</v>
      </c>
      <c r="E4" s="33">
        <f t="shared" ref="E4:E33" si="0">C4/B4</f>
        <v>2.8845086103544606</v>
      </c>
      <c r="F4" s="45">
        <f>D4/B4</f>
        <v>3080.1542729944063</v>
      </c>
      <c r="G4" s="45">
        <f t="shared" ref="G4" si="1">F4/E4</f>
        <v>1067.8263403123985</v>
      </c>
      <c r="H4" s="26">
        <v>0.43097629492684209</v>
      </c>
      <c r="I4" s="58">
        <f>(B4/('Consumidores Inadimplentes'!B40*1000000))</f>
        <v>1.1094388257253087E-2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691729</v>
      </c>
      <c r="C5" s="30">
        <v>1983417</v>
      </c>
      <c r="D5" s="30">
        <v>2097488997.9199984</v>
      </c>
      <c r="E5" s="34">
        <f t="shared" si="0"/>
        <v>2.8673324379923351</v>
      </c>
      <c r="F5" s="43">
        <f t="shared" ref="F5:F45" si="2">D5/B5</f>
        <v>3032.2409468447881</v>
      </c>
      <c r="G5" s="43">
        <f t="shared" ref="G5:G45" si="3">F5/E5</f>
        <v>1057.5128668958664</v>
      </c>
      <c r="H5" s="27">
        <v>0.43167454250780857</v>
      </c>
      <c r="I5" s="59">
        <f>(B5/('Consumidores Inadimplentes'!B41*1000000))</f>
        <v>1.1125891933982879E-2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694573</v>
      </c>
      <c r="C6" s="30">
        <v>1987040</v>
      </c>
      <c r="D6" s="30">
        <v>2121977874.5900018</v>
      </c>
      <c r="E6" s="34">
        <f t="shared" si="0"/>
        <v>2.8608080072217033</v>
      </c>
      <c r="F6" s="43">
        <f t="shared" si="2"/>
        <v>3055.0825825219263</v>
      </c>
      <c r="G6" s="43">
        <f t="shared" si="3"/>
        <v>1067.9089875342227</v>
      </c>
      <c r="H6" s="27">
        <v>0.43284116270039663</v>
      </c>
      <c r="I6" s="59">
        <f>(B6/('Consumidores Inadimplentes'!B42*1000000))</f>
        <v>1.1031958488109315E-2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693974</v>
      </c>
      <c r="C7" s="30">
        <v>1980746</v>
      </c>
      <c r="D7" s="30">
        <v>2112665478.2900014</v>
      </c>
      <c r="E7" s="34">
        <f t="shared" si="0"/>
        <v>2.8542077945283251</v>
      </c>
      <c r="F7" s="43">
        <f t="shared" si="2"/>
        <v>3044.3006197494451</v>
      </c>
      <c r="G7" s="43">
        <f t="shared" si="3"/>
        <v>1066.6009060677147</v>
      </c>
      <c r="H7" s="27">
        <v>0.43167066101262247</v>
      </c>
      <c r="I7" s="59">
        <f>(B7/('Consumidores Inadimplentes'!B43*1000000))</f>
        <v>1.0979662435193041E-2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698756</v>
      </c>
      <c r="C8" s="30">
        <v>2022716</v>
      </c>
      <c r="D8" s="30">
        <v>2122108043.7099984</v>
      </c>
      <c r="E8" s="34">
        <f t="shared" si="0"/>
        <v>2.894738649829125</v>
      </c>
      <c r="F8" s="43">
        <f t="shared" si="2"/>
        <v>3036.9800670191003</v>
      </c>
      <c r="G8" s="43">
        <f t="shared" si="3"/>
        <v>1049.1379134342135</v>
      </c>
      <c r="H8" s="27">
        <v>0.43195788874309904</v>
      </c>
      <c r="I8" s="59">
        <f>(B8/('Consumidores Inadimplentes'!B44*1000000))</f>
        <v>1.1025801985492016E-2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716327</v>
      </c>
      <c r="C9" s="30">
        <v>2077965</v>
      </c>
      <c r="D9" s="30">
        <v>2136019998.0999968</v>
      </c>
      <c r="E9" s="34">
        <f t="shared" si="0"/>
        <v>2.9008609196637849</v>
      </c>
      <c r="F9" s="43">
        <f t="shared" si="2"/>
        <v>2981.906305500137</v>
      </c>
      <c r="G9" s="43">
        <f t="shared" si="3"/>
        <v>1027.9383907332399</v>
      </c>
      <c r="H9" s="27">
        <v>0.44459206649298233</v>
      </c>
      <c r="I9" s="59">
        <f>(B9/('Consumidores Inadimplentes'!B45*1000000))</f>
        <v>1.1289526253510587E-2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722581</v>
      </c>
      <c r="C10" s="30">
        <v>2082675</v>
      </c>
      <c r="D10" s="30">
        <v>2131091784.3299975</v>
      </c>
      <c r="E10" s="34">
        <f t="shared" si="0"/>
        <v>2.8822720220985607</v>
      </c>
      <c r="F10" s="43">
        <f t="shared" si="2"/>
        <v>2949.2773603651322</v>
      </c>
      <c r="G10" s="43">
        <f t="shared" si="3"/>
        <v>1023.2474026576386</v>
      </c>
      <c r="H10" s="27">
        <v>0.44775299980855571</v>
      </c>
      <c r="I10" s="59">
        <f>(B10/('Consumidores Inadimplentes'!B46*1000000))</f>
        <v>1.1385796606319413E-2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719863</v>
      </c>
      <c r="C11" s="30">
        <v>2093640</v>
      </c>
      <c r="D11" s="30">
        <v>2163619414.2799978</v>
      </c>
      <c r="E11" s="34">
        <f t="shared" si="0"/>
        <v>2.90838673469813</v>
      </c>
      <c r="F11" s="43">
        <f t="shared" si="2"/>
        <v>3005.5988629503086</v>
      </c>
      <c r="G11" s="43">
        <f t="shared" si="3"/>
        <v>1033.4247598823092</v>
      </c>
      <c r="H11" s="27">
        <v>0.44410958515355237</v>
      </c>
      <c r="I11" s="59">
        <f>(B11/('Consumidores Inadimplentes'!B47*1000000))</f>
        <v>1.1349304602188004E-2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708150</v>
      </c>
      <c r="C12" s="30">
        <v>2056217</v>
      </c>
      <c r="D12" s="30">
        <v>2130327422.2599945</v>
      </c>
      <c r="E12" s="34">
        <f t="shared" si="0"/>
        <v>2.9036461201722799</v>
      </c>
      <c r="F12" s="43">
        <f t="shared" si="2"/>
        <v>3008.2996854621119</v>
      </c>
      <c r="G12" s="43">
        <f t="shared" si="3"/>
        <v>1036.0421211671699</v>
      </c>
      <c r="H12" s="27">
        <v>0.43644048471610875</v>
      </c>
      <c r="I12" s="59">
        <f>(B12/('Consumidores Inadimplentes'!B48*1000000))</f>
        <v>1.1203733457683199E-2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732617</v>
      </c>
      <c r="C13" s="30">
        <v>2134997</v>
      </c>
      <c r="D13" s="30">
        <v>2152844595.9999981</v>
      </c>
      <c r="E13" s="34">
        <f t="shared" si="0"/>
        <v>2.9142061950514391</v>
      </c>
      <c r="F13" s="43">
        <f t="shared" si="2"/>
        <v>2938.5676226459364</v>
      </c>
      <c r="G13" s="43">
        <f t="shared" si="3"/>
        <v>1008.359541488816</v>
      </c>
      <c r="H13" s="27">
        <v>0.45106218184415259</v>
      </c>
      <c r="I13" s="59">
        <f>(B13/('Consumidores Inadimplentes'!B49*1000000))</f>
        <v>1.1473779514031092E-2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746398</v>
      </c>
      <c r="C14" s="30">
        <v>2292236</v>
      </c>
      <c r="D14" s="30">
        <v>2193749867.1799989</v>
      </c>
      <c r="E14" s="34">
        <f t="shared" si="0"/>
        <v>3.0710639631938994</v>
      </c>
      <c r="F14" s="43">
        <f t="shared" si="2"/>
        <v>2939.1154145375508</v>
      </c>
      <c r="G14" s="43">
        <f t="shared" si="3"/>
        <v>957.03490704272974</v>
      </c>
      <c r="H14" s="27">
        <v>0.45908114637740705</v>
      </c>
      <c r="I14" s="59">
        <f>(B14/('Consumidores Inadimplentes'!B50*1000000))</f>
        <v>1.1691520717543005E-2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724358</v>
      </c>
      <c r="C15" s="31">
        <v>2255054</v>
      </c>
      <c r="D15" s="31">
        <v>2183865790.8200006</v>
      </c>
      <c r="E15" s="35">
        <f t="shared" si="0"/>
        <v>3.1131760814403928</v>
      </c>
      <c r="F15" s="43">
        <f t="shared" si="2"/>
        <v>3014.8984215263731</v>
      </c>
      <c r="G15" s="43">
        <f t="shared" si="3"/>
        <v>968.43170532501688</v>
      </c>
      <c r="H15" s="27">
        <v>0.44507349299724364</v>
      </c>
      <c r="I15" s="59">
        <f>(B15/('Consumidores Inadimplentes'!B51*1000000))</f>
        <v>1.1441927044703171E-2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722276</v>
      </c>
      <c r="C16" s="29">
        <v>2254903</v>
      </c>
      <c r="D16" s="29">
        <v>2198666867.9799991</v>
      </c>
      <c r="E16" s="33">
        <f t="shared" si="0"/>
        <v>3.1219409200914887</v>
      </c>
      <c r="F16" s="45">
        <f t="shared" si="2"/>
        <v>3044.0813040721264</v>
      </c>
      <c r="G16" s="45">
        <f t="shared" si="3"/>
        <v>975.06050946759092</v>
      </c>
      <c r="H16" s="26">
        <v>0.44334448636806978</v>
      </c>
      <c r="I16" s="59">
        <f>(B16/('Consumidores Inadimplentes'!B52*1000000))</f>
        <v>1.1324071420373909E-2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719626</v>
      </c>
      <c r="C17" s="30">
        <v>2248506</v>
      </c>
      <c r="D17" s="30">
        <v>2173071979.1199994</v>
      </c>
      <c r="E17" s="34">
        <f t="shared" si="0"/>
        <v>3.1245480291151235</v>
      </c>
      <c r="F17" s="43">
        <f t="shared" si="2"/>
        <v>3019.7241054658939</v>
      </c>
      <c r="G17" s="43">
        <f t="shared" si="3"/>
        <v>966.45149228865716</v>
      </c>
      <c r="H17" s="27">
        <v>0.44127014494673183</v>
      </c>
      <c r="I17" s="59">
        <f>(B17/('Consumidores Inadimplentes'!B53*1000000))</f>
        <v>1.1263569187487905E-2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720870</v>
      </c>
      <c r="C18" s="30">
        <v>2265561</v>
      </c>
      <c r="D18" s="30">
        <v>2213689385.9100013</v>
      </c>
      <c r="E18" s="34">
        <f t="shared" si="0"/>
        <v>3.1428149319572185</v>
      </c>
      <c r="F18" s="43">
        <f t="shared" si="2"/>
        <v>3070.8579714927814</v>
      </c>
      <c r="G18" s="43">
        <f t="shared" si="3"/>
        <v>977.1042959823202</v>
      </c>
      <c r="H18" s="27">
        <v>0.44158482193449033</v>
      </c>
      <c r="I18" s="59">
        <f>(B18/('Consumidores Inadimplentes'!B54*1000000))</f>
        <v>1.1122366630770894E-2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752611</v>
      </c>
      <c r="C19" s="30">
        <v>2399737</v>
      </c>
      <c r="D19" s="30">
        <v>2229592609.8500018</v>
      </c>
      <c r="E19" s="34">
        <f t="shared" si="0"/>
        <v>3.1885489316526066</v>
      </c>
      <c r="F19" s="43">
        <f t="shared" si="2"/>
        <v>2962.476777312585</v>
      </c>
      <c r="G19" s="43">
        <f t="shared" si="3"/>
        <v>929.09873450715725</v>
      </c>
      <c r="H19" s="27">
        <v>0.46056126948070425</v>
      </c>
      <c r="I19" s="59">
        <f>(B19/('Consumidores Inadimplentes'!B55*1000000))</f>
        <v>1.1419008490119622E-2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740818</v>
      </c>
      <c r="C20" s="30">
        <v>2359354</v>
      </c>
      <c r="D20" s="30">
        <v>2192418205.2899981</v>
      </c>
      <c r="E20" s="34">
        <f t="shared" si="0"/>
        <v>3.1847957258057984</v>
      </c>
      <c r="F20" s="43">
        <f t="shared" si="2"/>
        <v>2959.4559058905129</v>
      </c>
      <c r="G20" s="43">
        <f t="shared" si="3"/>
        <v>929.24512611926741</v>
      </c>
      <c r="H20" s="27">
        <v>0.45288502391832619</v>
      </c>
      <c r="I20" s="59">
        <f>(B20/('Consumidores Inadimplentes'!B56*1000000))</f>
        <v>1.1356675363786112E-2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750428</v>
      </c>
      <c r="C21" s="30">
        <v>2382514</v>
      </c>
      <c r="D21" s="30">
        <v>2166856776.3500004</v>
      </c>
      <c r="E21" s="34">
        <f t="shared" si="0"/>
        <v>3.1748735388338387</v>
      </c>
      <c r="F21" s="43">
        <f t="shared" si="2"/>
        <v>2887.4945715644944</v>
      </c>
      <c r="G21" s="43">
        <f t="shared" si="3"/>
        <v>909.48333413780585</v>
      </c>
      <c r="H21" s="27">
        <v>0.45783013451918952</v>
      </c>
      <c r="I21" s="59">
        <f>(B21/('Consumidores Inadimplentes'!B57*1000000))</f>
        <v>1.1725310903283841E-2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733097</v>
      </c>
      <c r="C22" s="30">
        <v>2328088</v>
      </c>
      <c r="D22" s="30">
        <v>2178875545.2300014</v>
      </c>
      <c r="E22" s="34">
        <f t="shared" si="0"/>
        <v>3.1756888924657991</v>
      </c>
      <c r="F22" s="43">
        <f t="shared" si="2"/>
        <v>2972.1517687700284</v>
      </c>
      <c r="G22" s="43">
        <f t="shared" si="3"/>
        <v>935.90772566586895</v>
      </c>
      <c r="H22" s="27">
        <v>0.44686322796152489</v>
      </c>
      <c r="I22" s="59">
        <f>(B22/('Consumidores Inadimplentes'!B58*1000000))</f>
        <v>1.1544266158735774E-2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723554</v>
      </c>
      <c r="C23" s="30">
        <v>2288028</v>
      </c>
      <c r="D23" s="30">
        <v>2137545303.7400012</v>
      </c>
      <c r="E23" s="34">
        <f t="shared" si="0"/>
        <v>3.1622076583088479</v>
      </c>
      <c r="F23" s="43">
        <f t="shared" si="2"/>
        <v>2954.2305118069989</v>
      </c>
      <c r="G23" s="43">
        <f t="shared" si="3"/>
        <v>934.23039566823536</v>
      </c>
      <c r="H23" s="27">
        <v>0.44065810589012688</v>
      </c>
      <c r="I23" s="59">
        <f>(B23/('Consumidores Inadimplentes'!B59*1000000))</f>
        <v>1.1475797841889455E-2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715992</v>
      </c>
      <c r="C24" s="30">
        <v>2244503</v>
      </c>
      <c r="D24" s="30">
        <v>2119476306.9600058</v>
      </c>
      <c r="E24" s="34">
        <f t="shared" si="0"/>
        <v>3.1348157521313089</v>
      </c>
      <c r="F24" s="43">
        <f t="shared" si="2"/>
        <v>2960.1955146984965</v>
      </c>
      <c r="G24" s="43">
        <f t="shared" si="3"/>
        <v>944.29649100937081</v>
      </c>
      <c r="H24" s="27">
        <v>0.43566903630271059</v>
      </c>
      <c r="I24" s="59">
        <f>(B24/('Consumidores Inadimplentes'!B60*1000000))</f>
        <v>1.14078146187743E-2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698270</v>
      </c>
      <c r="C25" s="30">
        <v>2198502</v>
      </c>
      <c r="D25" s="30">
        <v>2071377375.9800019</v>
      </c>
      <c r="E25" s="34">
        <f t="shared" si="0"/>
        <v>3.1484984318386871</v>
      </c>
      <c r="F25" s="43">
        <f t="shared" si="2"/>
        <v>2966.4418863476908</v>
      </c>
      <c r="G25" s="43">
        <f t="shared" si="3"/>
        <v>942.17670758543863</v>
      </c>
      <c r="H25" s="27">
        <v>0.42451172670556719</v>
      </c>
      <c r="I25" s="59">
        <f>(B25/('Consumidores Inadimplentes'!B61*1000000))</f>
        <v>1.1211824009799904E-2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711067</v>
      </c>
      <c r="C26" s="30">
        <v>2208861</v>
      </c>
      <c r="D26" s="30">
        <v>1995718526.4400015</v>
      </c>
      <c r="E26" s="34">
        <f t="shared" si="0"/>
        <v>3.1064034753405796</v>
      </c>
      <c r="F26" s="43">
        <f t="shared" si="2"/>
        <v>2806.6532780174043</v>
      </c>
      <c r="G26" s="43">
        <f t="shared" si="3"/>
        <v>903.50571015559683</v>
      </c>
      <c r="H26" s="27">
        <v>0.43191141973096459</v>
      </c>
      <c r="I26" s="59">
        <f>(B26/('Consumidores Inadimplentes'!B62*1000000))</f>
        <v>1.1478320520607561E-2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688107</v>
      </c>
      <c r="C27" s="31">
        <v>2105732</v>
      </c>
      <c r="D27" s="31">
        <v>1937628377.2600005</v>
      </c>
      <c r="E27" s="35">
        <f t="shared" si="0"/>
        <v>3.0601810474243103</v>
      </c>
      <c r="F27" s="46">
        <f t="shared" si="2"/>
        <v>2815.8823805890661</v>
      </c>
      <c r="G27" s="46">
        <f t="shared" si="3"/>
        <v>920.16855766070921</v>
      </c>
      <c r="H27" s="28">
        <v>0.41759741615365198</v>
      </c>
      <c r="I27" s="59">
        <f>(B27/('Consumidores Inadimplentes'!B63*1000000))</f>
        <v>1.1214025625898337E-2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679718</v>
      </c>
      <c r="C28" s="29">
        <v>2066312</v>
      </c>
      <c r="D28" s="29">
        <v>1933628373.9799995</v>
      </c>
      <c r="E28" s="33">
        <f t="shared" si="0"/>
        <v>3.0399548047866909</v>
      </c>
      <c r="F28" s="45">
        <f t="shared" si="2"/>
        <v>2844.7508731267963</v>
      </c>
      <c r="G28" s="45">
        <f t="shared" si="3"/>
        <v>935.78722573357743</v>
      </c>
      <c r="H28" s="26">
        <v>0.41214338596202948</v>
      </c>
      <c r="I28" s="59">
        <f>(B28/('Consumidores Inadimplentes'!B64*1000000))</f>
        <v>1.102197462794686E-2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674641</v>
      </c>
      <c r="C29" s="30">
        <v>2033908</v>
      </c>
      <c r="D29" s="30">
        <v>1920970883.4799986</v>
      </c>
      <c r="E29" s="34">
        <f t="shared" si="0"/>
        <v>3.0148004642469104</v>
      </c>
      <c r="F29" s="43">
        <f t="shared" si="2"/>
        <v>2847.3971838059038</v>
      </c>
      <c r="G29" s="43">
        <f t="shared" si="3"/>
        <v>944.47284905708557</v>
      </c>
      <c r="H29" s="27">
        <v>0.40870514497367449</v>
      </c>
      <c r="I29" s="59">
        <f>(B29/('Consumidores Inadimplentes'!B65*1000000))</f>
        <v>1.0959967018774958E-2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678122</v>
      </c>
      <c r="C30" s="30">
        <v>2016227</v>
      </c>
      <c r="D30" s="30">
        <v>1937342709.289999</v>
      </c>
      <c r="E30" s="34">
        <f t="shared" si="0"/>
        <v>2.9732511259035985</v>
      </c>
      <c r="F30" s="43">
        <f t="shared" si="2"/>
        <v>2856.9235466332002</v>
      </c>
      <c r="G30" s="43">
        <f t="shared" si="3"/>
        <v>960.87529295560421</v>
      </c>
      <c r="H30" s="27">
        <v>0.41045242725615916</v>
      </c>
      <c r="I30" s="59">
        <f>(B30/('Consumidores Inadimplentes'!B66*1000000))</f>
        <v>1.0840008156997358E-2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679663</v>
      </c>
      <c r="C31" s="30">
        <v>2012979</v>
      </c>
      <c r="D31" s="30">
        <v>1961451500.7400022</v>
      </c>
      <c r="E31" s="34">
        <f t="shared" si="0"/>
        <v>2.9617310343508474</v>
      </c>
      <c r="F31" s="43">
        <f t="shared" si="2"/>
        <v>2885.9177279622431</v>
      </c>
      <c r="G31" s="43">
        <f t="shared" si="3"/>
        <v>974.4023662144524</v>
      </c>
      <c r="H31" s="27">
        <v>0.41102318110678115</v>
      </c>
      <c r="I31" s="59">
        <f>(B31/('Consumidores Inadimplentes'!B67*1000000))</f>
        <v>1.0791458174464112E-2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687865</v>
      </c>
      <c r="C32" s="30">
        <v>2058850</v>
      </c>
      <c r="D32" s="30">
        <v>1983827418.3300011</v>
      </c>
      <c r="E32" s="34">
        <f t="shared" si="0"/>
        <v>2.9931018441118535</v>
      </c>
      <c r="F32" s="43">
        <f t="shared" si="2"/>
        <v>2884.0359930073505</v>
      </c>
      <c r="G32" s="43">
        <f t="shared" si="3"/>
        <v>963.56092883405836</v>
      </c>
      <c r="H32" s="27">
        <v>0.41561734914600457</v>
      </c>
      <c r="I32" s="59">
        <f>(B32/('Consumidores Inadimplentes'!B68*1000000))</f>
        <v>1.0995494559079253E-2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681707</v>
      </c>
      <c r="C33" s="30">
        <v>2022968</v>
      </c>
      <c r="D33" s="30">
        <v>1966688542.6400011</v>
      </c>
      <c r="E33" s="34">
        <f t="shared" si="0"/>
        <v>2.9675036342592933</v>
      </c>
      <c r="F33" s="43">
        <f t="shared" si="2"/>
        <v>2884.946967890899</v>
      </c>
      <c r="G33" s="43">
        <f t="shared" si="3"/>
        <v>972.17975896801192</v>
      </c>
      <c r="H33" s="27">
        <v>0.41153431238496085</v>
      </c>
      <c r="I33" s="59">
        <f>(B33/('Consumidores Inadimplentes'!B69*1000000))</f>
        <v>1.0905666204101806E-2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676206</v>
      </c>
      <c r="C34" s="30">
        <v>1980014</v>
      </c>
      <c r="D34" s="30">
        <v>1934578136.7499998</v>
      </c>
      <c r="E34" s="34">
        <f>C34/B34</f>
        <v>2.928122495215955</v>
      </c>
      <c r="F34" s="43">
        <f t="shared" si="2"/>
        <v>2860.9301555295278</v>
      </c>
      <c r="G34" s="43">
        <f t="shared" si="3"/>
        <v>977.05275657141806</v>
      </c>
      <c r="H34" s="27">
        <v>0.40821321072959765</v>
      </c>
      <c r="I34" s="59">
        <f>(B34/('Consumidores Inadimplentes'!B70*1000000))</f>
        <v>1.08673309940119E-2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673808</v>
      </c>
      <c r="C35" s="30">
        <v>1957480</v>
      </c>
      <c r="D35" s="30">
        <v>1935997289.7799997</v>
      </c>
      <c r="E35" s="34">
        <f>C35/B35</f>
        <v>2.9051005627715907</v>
      </c>
      <c r="F35" s="43">
        <f t="shared" si="2"/>
        <v>2873.2180232054229</v>
      </c>
      <c r="G35" s="43">
        <f t="shared" si="3"/>
        <v>989.02532326256187</v>
      </c>
      <c r="H35" s="27">
        <v>0.40642895660345718</v>
      </c>
      <c r="I35" s="59">
        <f>(B35/('Consumidores Inadimplentes'!B71*1000000))</f>
        <v>1.0824441388426162E-2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662971</v>
      </c>
      <c r="C36" s="30">
        <v>1924647</v>
      </c>
      <c r="D36" s="30">
        <v>1929544874.4900014</v>
      </c>
      <c r="E36" s="34">
        <f>C36/B36</f>
        <v>2.9030636332509263</v>
      </c>
      <c r="F36" s="43">
        <f t="shared" si="2"/>
        <v>2910.4513990657229</v>
      </c>
      <c r="G36" s="43">
        <f t="shared" si="3"/>
        <v>1002.5448170443731</v>
      </c>
      <c r="H36" s="27">
        <v>0.39956136729492353</v>
      </c>
      <c r="I36" s="59">
        <f>(B36/('Consumidores Inadimplentes'!B72*1000000))</f>
        <v>1.0656938155066679E-2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708562</v>
      </c>
      <c r="C37" s="30">
        <v>2041842</v>
      </c>
      <c r="D37" s="30">
        <v>1997341558.3600004</v>
      </c>
      <c r="E37" s="34">
        <f>C37/B37</f>
        <v>2.8816701996437857</v>
      </c>
      <c r="F37" s="43">
        <f t="shared" si="2"/>
        <v>2818.8663213099212</v>
      </c>
      <c r="G37" s="43">
        <f t="shared" si="3"/>
        <v>978.20573695712028</v>
      </c>
      <c r="H37" s="27">
        <v>0.42668470007021464</v>
      </c>
      <c r="I37" s="59">
        <f>(B37/('Consumidores Inadimplentes'!B73*1000000))</f>
        <v>1.1175167880573789E-2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697157</v>
      </c>
      <c r="C38" s="30">
        <v>2009902</v>
      </c>
      <c r="D38" s="30">
        <v>2025874721.319999</v>
      </c>
      <c r="E38" s="34">
        <f t="shared" ref="E38:E45" si="4">C38/B38</f>
        <v>2.882997660498281</v>
      </c>
      <c r="F38" s="43">
        <f t="shared" si="2"/>
        <v>2905.908886118907</v>
      </c>
      <c r="G38" s="43">
        <f t="shared" si="3"/>
        <v>1007.9470149887899</v>
      </c>
      <c r="H38" s="27">
        <v>0.41946921717113977</v>
      </c>
      <c r="I38" s="59">
        <f>(B38/('Consumidores Inadimplentes'!B74*1000000))</f>
        <v>1.0847371707369899E-2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697264</v>
      </c>
      <c r="C39" s="31">
        <v>1989079</v>
      </c>
      <c r="D39" s="31">
        <v>2004827132.8999999</v>
      </c>
      <c r="E39" s="35">
        <f t="shared" si="4"/>
        <v>2.8526913765804629</v>
      </c>
      <c r="F39" s="46">
        <f t="shared" si="2"/>
        <v>2875.2769867654142</v>
      </c>
      <c r="G39" s="46">
        <f t="shared" si="3"/>
        <v>1007.9172988604273</v>
      </c>
      <c r="H39" s="28">
        <v>0.41918629292853388</v>
      </c>
      <c r="I39" s="59">
        <f>(B39/('Consumidores Inadimplentes'!B75*1000000))</f>
        <v>1.0899713797786724E-2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691753</v>
      </c>
      <c r="C40" s="29">
        <v>1992630</v>
      </c>
      <c r="D40" s="29">
        <v>2060569082.0999959</v>
      </c>
      <c r="E40" s="33">
        <f t="shared" si="4"/>
        <v>2.8805512950431731</v>
      </c>
      <c r="F40" s="45">
        <f t="shared" si="2"/>
        <v>2978.7642151172395</v>
      </c>
      <c r="G40" s="45">
        <f t="shared" si="3"/>
        <v>1034.0951817949122</v>
      </c>
      <c r="H40" s="26">
        <v>0.41552891029480049</v>
      </c>
      <c r="I40" s="59">
        <f>(B40/('Consumidores Inadimplentes'!B76*1000000))</f>
        <v>1.0672327982335372E-2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707291</v>
      </c>
      <c r="C41" s="30">
        <v>2037950</v>
      </c>
      <c r="D41" s="30">
        <v>2083854898.7699952</v>
      </c>
      <c r="E41" s="34">
        <f t="shared" si="4"/>
        <v>2.8813458675424966</v>
      </c>
      <c r="F41" s="43">
        <f t="shared" si="2"/>
        <v>2946.2482892755529</v>
      </c>
      <c r="G41" s="43">
        <f t="shared" si="3"/>
        <v>1022.5250368114994</v>
      </c>
      <c r="H41" s="27">
        <v>0.42451078305920537</v>
      </c>
      <c r="I41" s="59">
        <f>(B41/('Consumidores Inadimplentes'!B77*1000000))</f>
        <v>1.0853157412865284E-2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705802</v>
      </c>
      <c r="C42" s="30">
        <v>2078226</v>
      </c>
      <c r="D42" s="30">
        <v>2126020933.0699985</v>
      </c>
      <c r="E42" s="34">
        <f t="shared" si="4"/>
        <v>2.9444886809615163</v>
      </c>
      <c r="F42" s="43">
        <f t="shared" si="2"/>
        <v>3012.2058779516046</v>
      </c>
      <c r="G42" s="43">
        <f t="shared" si="3"/>
        <v>1022.9979478025962</v>
      </c>
      <c r="H42" s="27">
        <v>0.42326651922145087</v>
      </c>
      <c r="I42" s="59">
        <f>(B42/('Consumidores Inadimplentes'!B78*1000000))</f>
        <v>1.0743784719884995E-2</v>
      </c>
    </row>
    <row r="43" spans="1:16" x14ac:dyDescent="0.35">
      <c r="A43" s="5">
        <v>44652</v>
      </c>
      <c r="B43" s="30">
        <v>704779</v>
      </c>
      <c r="C43" s="30">
        <v>2120308</v>
      </c>
      <c r="D43" s="30">
        <v>2179551791.590003</v>
      </c>
      <c r="E43" s="34">
        <f t="shared" si="4"/>
        <v>3.0084721593577561</v>
      </c>
      <c r="F43" s="43">
        <f t="shared" si="2"/>
        <v>3092.5322570479584</v>
      </c>
      <c r="G43" s="43">
        <f t="shared" si="3"/>
        <v>1027.9411253412254</v>
      </c>
      <c r="H43" s="27">
        <v>0.42230328726886623</v>
      </c>
      <c r="I43" s="59">
        <f>(B43/('Consumidores Inadimplentes'!B79*1000000))</f>
        <v>1.0657047416957457E-2</v>
      </c>
    </row>
    <row r="44" spans="1:16" x14ac:dyDescent="0.35">
      <c r="A44" s="5">
        <v>44682</v>
      </c>
      <c r="B44" s="30">
        <v>709752</v>
      </c>
      <c r="C44" s="30">
        <v>2186306</v>
      </c>
      <c r="D44" s="30">
        <v>2230009895.1099997</v>
      </c>
      <c r="E44" s="34">
        <f t="shared" si="4"/>
        <v>3.0803801891364873</v>
      </c>
      <c r="F44" s="43">
        <f t="shared" si="2"/>
        <v>3141.9564793195364</v>
      </c>
      <c r="G44" s="43">
        <f t="shared" si="3"/>
        <v>1019.989834501666</v>
      </c>
      <c r="H44" s="27">
        <v>0.42493122390025595</v>
      </c>
      <c r="I44" s="59">
        <f>(B44/('Consumidores Inadimplentes'!B80*1000000))</f>
        <v>1.0660167319772488E-2</v>
      </c>
    </row>
    <row r="45" spans="1:16" x14ac:dyDescent="0.35">
      <c r="A45" s="5">
        <v>44713</v>
      </c>
      <c r="B45" s="30">
        <v>716344</v>
      </c>
      <c r="C45" s="30">
        <v>2249516</v>
      </c>
      <c r="D45" s="30">
        <v>2317177272.2200198</v>
      </c>
      <c r="E45" s="34">
        <f t="shared" si="4"/>
        <v>3.1402733882045499</v>
      </c>
      <c r="F45" s="43">
        <f t="shared" si="2"/>
        <v>3234.7269918084326</v>
      </c>
      <c r="G45" s="43">
        <f t="shared" si="3"/>
        <v>1030.0781466857848</v>
      </c>
      <c r="H45" s="27">
        <v>0.42852280279650334</v>
      </c>
      <c r="I45" s="59">
        <f>(B45/('Consumidores Inadimplentes'!B81*1000000))</f>
        <v>1.0720723450983913E-2</v>
      </c>
    </row>
    <row r="46" spans="1:16" x14ac:dyDescent="0.35">
      <c r="A46" s="5">
        <v>44743</v>
      </c>
      <c r="B46" s="30">
        <v>726336</v>
      </c>
      <c r="C46" s="30">
        <v>2288483</v>
      </c>
      <c r="D46" s="30">
        <v>2394504088.8200026</v>
      </c>
      <c r="E46" s="34">
        <f t="shared" ref="E46" si="5">C46/B46</f>
        <v>3.1507222552647809</v>
      </c>
      <c r="F46" s="43">
        <f t="shared" ref="F46" si="6">D46/B46</f>
        <v>3296.6892578916681</v>
      </c>
      <c r="G46" s="43">
        <f t="shared" ref="G46" si="7">F46/E46</f>
        <v>1046.3281085417732</v>
      </c>
      <c r="H46" s="27">
        <v>0.43414040515371982</v>
      </c>
      <c r="I46" s="59">
        <f>(B46/('Consumidores Inadimplentes'!B82*1000000))</f>
        <v>1.073948569151637E-2</v>
      </c>
    </row>
    <row r="47" spans="1:16" x14ac:dyDescent="0.35">
      <c r="A47" s="5">
        <v>44774</v>
      </c>
      <c r="B47" s="30">
        <v>734956</v>
      </c>
      <c r="C47" s="30">
        <v>2315621</v>
      </c>
      <c r="D47" s="30">
        <v>2413236253.23001</v>
      </c>
      <c r="E47" s="34">
        <f t="shared" ref="E47" si="8">C47/B47</f>
        <v>3.1506933748414871</v>
      </c>
      <c r="F47" s="43">
        <f t="shared" ref="F47" si="9">D47/B47</f>
        <v>3283.5111941803457</v>
      </c>
      <c r="G47" s="43">
        <f t="shared" ref="G47" si="10">F47/E47</f>
        <v>1042.1551079516078</v>
      </c>
      <c r="H47" s="27">
        <v>0.43891989381683105</v>
      </c>
      <c r="I47" s="59">
        <f>(B47/('Consumidores Inadimplentes'!B83*1000000))</f>
        <v>1.0811954135563335E-2</v>
      </c>
    </row>
    <row r="48" spans="1:16" x14ac:dyDescent="0.35">
      <c r="A48" s="5">
        <v>44805</v>
      </c>
      <c r="B48" s="30">
        <v>737968</v>
      </c>
      <c r="C48" s="30">
        <v>2352567</v>
      </c>
      <c r="D48" s="30">
        <v>2485707384.6900096</v>
      </c>
      <c r="E48" s="34">
        <f t="shared" ref="E48" si="11">C48/B48</f>
        <v>3.1878983912581575</v>
      </c>
      <c r="F48" s="43">
        <f t="shared" ref="F48" si="12">D48/B48</f>
        <v>3368.3132394494201</v>
      </c>
      <c r="G48" s="43">
        <f t="shared" ref="G48" si="13">F48/E48</f>
        <v>1056.5936633005604</v>
      </c>
      <c r="H48" s="27">
        <v>0.44034446215976247</v>
      </c>
      <c r="I48" s="59">
        <f>(B48/('Consumidores Inadimplentes'!B84*1000000))</f>
        <v>1.0790891256453302E-2</v>
      </c>
    </row>
    <row r="49" spans="1:16" x14ac:dyDescent="0.35">
      <c r="A49" s="5">
        <v>44835</v>
      </c>
      <c r="B49" s="30">
        <v>740080</v>
      </c>
      <c r="C49" s="30">
        <v>2366088</v>
      </c>
      <c r="D49" s="30">
        <v>2505116069.8000016</v>
      </c>
      <c r="E49" s="34">
        <f t="shared" ref="E49" si="14">C49/B49</f>
        <v>3.1970705869635716</v>
      </c>
      <c r="F49" s="43">
        <f t="shared" ref="F49" si="15">D49/B49</f>
        <v>3384.9260482650548</v>
      </c>
      <c r="G49" s="43">
        <f t="shared" ref="G49" si="16">F49/E49</f>
        <v>1058.7586217418802</v>
      </c>
      <c r="H49" s="27">
        <v>0.44122977716727718</v>
      </c>
      <c r="I49" s="59">
        <f>(B49/('Consumidores Inadimplentes'!B85*1000000))</f>
        <v>1.071699984244817E-2</v>
      </c>
    </row>
    <row r="50" spans="1:16" x14ac:dyDescent="0.35">
      <c r="A50" s="5">
        <v>44866</v>
      </c>
      <c r="B50" s="30">
        <v>746155</v>
      </c>
      <c r="C50" s="30">
        <v>2398893</v>
      </c>
      <c r="D50" s="30">
        <v>2588934723.550005</v>
      </c>
      <c r="E50" s="34">
        <f t="shared" ref="E50" si="17">C50/B50</f>
        <v>3.2150062654542286</v>
      </c>
      <c r="F50" s="43">
        <f t="shared" ref="F50" si="18">D50/B50</f>
        <v>3469.7009650139785</v>
      </c>
      <c r="G50" s="43">
        <f t="shared" ref="G50" si="19">F50/E50</f>
        <v>1079.2205919772182</v>
      </c>
      <c r="H50" s="27">
        <v>0.44447403017864023</v>
      </c>
      <c r="I50" s="59">
        <f>(B50/('Consumidores Inadimplentes'!B86*1000000))</f>
        <v>1.0684580231409431E-2</v>
      </c>
    </row>
    <row r="51" spans="1:16" ht="15" thickBot="1" x14ac:dyDescent="0.4">
      <c r="A51" s="12">
        <v>44896</v>
      </c>
      <c r="B51" s="31">
        <v>739421</v>
      </c>
      <c r="C51" s="31">
        <v>2379497</v>
      </c>
      <c r="D51" s="31">
        <v>2597873323.1699982</v>
      </c>
      <c r="E51" s="35">
        <f t="shared" ref="E51" si="20">C51/B51</f>
        <v>3.2180543966157305</v>
      </c>
      <c r="F51" s="46">
        <f t="shared" ref="F51" si="21">D51/B51</f>
        <v>3513.3886151056004</v>
      </c>
      <c r="G51" s="46">
        <f t="shared" ref="G51" si="22">F51/E51</f>
        <v>1091.774153600529</v>
      </c>
      <c r="H51" s="28">
        <v>0.44008884852243502</v>
      </c>
      <c r="I51" s="59">
        <f>(B51/('Consumidores Inadimplentes'!B87*1000000))</f>
        <v>1.0649982494426417E-2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739161</v>
      </c>
      <c r="C52" s="29">
        <v>2377566</v>
      </c>
      <c r="D52" s="29">
        <v>2660015625.4599934</v>
      </c>
      <c r="E52" s="33">
        <f t="shared" ref="E52" si="23">C52/B52</f>
        <v>3.2165739263841031</v>
      </c>
      <c r="F52" s="45">
        <f t="shared" ref="F52" si="24">D52/B52</f>
        <v>3598.6958530820666</v>
      </c>
      <c r="G52" s="45">
        <f t="shared" ref="G52" si="25">F52/E52</f>
        <v>1118.7978064373369</v>
      </c>
      <c r="H52" s="26">
        <v>0.43956077283999073</v>
      </c>
      <c r="I52" s="59">
        <f>(B52/('Consumidores Inadimplentes'!B88*1000000))</f>
        <v>1.0545435957157305E-2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754676</v>
      </c>
      <c r="C53" s="30">
        <v>2406919</v>
      </c>
      <c r="D53" s="30">
        <v>2700079891.1200056</v>
      </c>
      <c r="E53" s="34">
        <f t="shared" ref="E53" si="26">C53/B53</f>
        <v>3.1893408562084922</v>
      </c>
      <c r="F53" s="43">
        <f t="shared" ref="F53" si="27">D53/B53</f>
        <v>3577.8001302810817</v>
      </c>
      <c r="G53" s="43">
        <f t="shared" ref="G53" si="28">F53/E53</f>
        <v>1121.799234257574</v>
      </c>
      <c r="H53" s="27">
        <v>0.44840610830893768</v>
      </c>
      <c r="I53" s="59">
        <f>(B53/('Consumidores Inadimplentes'!B89*1000000))</f>
        <v>1.0700534536134162E-2</v>
      </c>
    </row>
    <row r="54" spans="1:16" x14ac:dyDescent="0.35">
      <c r="A54" s="5">
        <v>44986</v>
      </c>
      <c r="B54" s="30">
        <v>741782</v>
      </c>
      <c r="C54" s="30">
        <v>2373128</v>
      </c>
      <c r="D54" s="30">
        <v>2742693316.3699861</v>
      </c>
      <c r="E54" s="34">
        <f t="shared" ref="E54" si="29">C54/B54</f>
        <v>3.1992256485058954</v>
      </c>
      <c r="F54" s="43">
        <f t="shared" ref="F54" si="30">D54/B54</f>
        <v>3697.4384878171568</v>
      </c>
      <c r="G54" s="43">
        <f t="shared" ref="G54" si="31">F54/E54</f>
        <v>1155.729196389738</v>
      </c>
      <c r="H54" s="27">
        <v>0.44037070875995654</v>
      </c>
      <c r="I54" s="59">
        <f>(B54/('Consumidores Inadimplentes'!B90*1000000))</f>
        <v>1.0490868444782376E-2</v>
      </c>
    </row>
    <row r="55" spans="1:16" x14ac:dyDescent="0.35">
      <c r="A55" s="5">
        <v>45017</v>
      </c>
      <c r="B55" s="30">
        <v>739611</v>
      </c>
      <c r="C55" s="30">
        <v>2372477</v>
      </c>
      <c r="D55" s="30">
        <v>2790292128.5399914</v>
      </c>
      <c r="E55" s="34">
        <f t="shared" ref="E55" si="32">C55/B55</f>
        <v>3.2077362289095213</v>
      </c>
      <c r="F55" s="43">
        <f t="shared" ref="F55" si="33">D55/B55</f>
        <v>3772.6482279738825</v>
      </c>
      <c r="G55" s="43">
        <f t="shared" ref="G55" si="34">F55/E55</f>
        <v>1176.1092430147864</v>
      </c>
      <c r="H55" s="27">
        <v>0.43870916079436256</v>
      </c>
      <c r="I55" s="59">
        <f>(B55/('Consumidores Inadimplentes'!B91*1000000))</f>
        <v>1.035295898172744E-2</v>
      </c>
    </row>
    <row r="56" spans="1:16" x14ac:dyDescent="0.35">
      <c r="A56" s="5">
        <v>45047</v>
      </c>
      <c r="B56" s="30">
        <v>743994</v>
      </c>
      <c r="C56" s="30">
        <v>2405423</v>
      </c>
      <c r="D56" s="30">
        <v>2854522933.8299952</v>
      </c>
      <c r="E56" s="34">
        <f t="shared" ref="E56" si="35">C56/B56</f>
        <v>3.2331215036680403</v>
      </c>
      <c r="F56" s="43">
        <f t="shared" ref="F56" si="36">D56/B56</f>
        <v>3836.7553150025337</v>
      </c>
      <c r="G56" s="43">
        <f t="shared" ref="G56" si="37">F56/E56</f>
        <v>1186.7031012133812</v>
      </c>
      <c r="H56" s="27">
        <v>0.44093445669799064</v>
      </c>
      <c r="I56" s="59">
        <f>(B56/('Consumidores Inadimplentes'!B92*1000000))</f>
        <v>1.0347107363536617E-2</v>
      </c>
    </row>
    <row r="57" spans="1:16" x14ac:dyDescent="0.35">
      <c r="A57" s="5">
        <v>45078</v>
      </c>
      <c r="B57" s="30">
        <v>740142</v>
      </c>
      <c r="C57" s="30">
        <v>2394122</v>
      </c>
      <c r="D57" s="30">
        <v>2858897306.0899954</v>
      </c>
      <c r="E57" s="34">
        <f t="shared" ref="E57" si="38">C57/B57</f>
        <v>3.2346792912711346</v>
      </c>
      <c r="F57" s="43">
        <f t="shared" ref="F57" si="39">D57/B57</f>
        <v>3862.633529903715</v>
      </c>
      <c r="G57" s="43">
        <f t="shared" ref="G57" si="40">F57/E57</f>
        <v>1194.1318387659423</v>
      </c>
      <c r="H57" s="27">
        <v>0.43827905439894455</v>
      </c>
      <c r="I57" s="59">
        <f>(B57/('Consumidores Inadimplentes'!B93*1000000))</f>
        <v>1.0358367998985187E-2</v>
      </c>
    </row>
    <row r="58" spans="1:16" x14ac:dyDescent="0.35">
      <c r="A58" s="5">
        <v>45108</v>
      </c>
      <c r="B58" s="30">
        <v>730958</v>
      </c>
      <c r="C58" s="30">
        <v>2380618</v>
      </c>
      <c r="D58" s="30">
        <v>2898777010.539999</v>
      </c>
      <c r="E58" s="34">
        <f t="shared" ref="E58" si="41">C58/B58</f>
        <v>3.2568464946002371</v>
      </c>
      <c r="F58" s="43">
        <f t="shared" ref="F58" si="42">D58/B58</f>
        <v>3965.7230792193245</v>
      </c>
      <c r="G58" s="43">
        <f t="shared" ref="G58" si="43">F58/E58</f>
        <v>1217.6573522253461</v>
      </c>
      <c r="H58" s="27">
        <v>0.43247320849068827</v>
      </c>
      <c r="I58" s="59">
        <f>(B58/('Consumidores Inadimplentes'!B94*1000000))</f>
        <v>1.0234777872046135E-2</v>
      </c>
    </row>
    <row r="59" spans="1:16" x14ac:dyDescent="0.35">
      <c r="A59" s="5">
        <v>45139</v>
      </c>
      <c r="B59" s="30">
        <v>727743</v>
      </c>
      <c r="C59" s="30">
        <v>2350820</v>
      </c>
      <c r="D59" s="30">
        <v>2876525987.9300046</v>
      </c>
      <c r="E59" s="34">
        <f t="shared" ref="E59" si="44">C59/B59</f>
        <v>3.2302887145599475</v>
      </c>
      <c r="F59" s="43">
        <f t="shared" ref="F59" si="45">D59/B59</f>
        <v>3952.667339885103</v>
      </c>
      <c r="G59" s="43">
        <f t="shared" ref="G59" si="46">F59/E59</f>
        <v>1223.6266442900794</v>
      </c>
      <c r="H59" s="27">
        <v>0.43018137839064807</v>
      </c>
      <c r="I59" s="59">
        <f>(B59/('Consumidores Inadimplentes'!B95*1000000))</f>
        <v>1.0144305192255914E-2</v>
      </c>
    </row>
    <row r="60" spans="1:16" x14ac:dyDescent="0.35">
      <c r="A60" s="5">
        <v>45170</v>
      </c>
      <c r="B60" s="30">
        <v>727170</v>
      </c>
      <c r="C60" s="30">
        <v>2359085</v>
      </c>
      <c r="D60" s="30">
        <v>2997151412.6700058</v>
      </c>
      <c r="E60" s="34">
        <f t="shared" ref="E60" si="47">C60/B60</f>
        <v>3.2442001182667051</v>
      </c>
      <c r="F60" s="43">
        <f t="shared" ref="F60" si="48">D60/B60</f>
        <v>4121.6653776558514</v>
      </c>
      <c r="G60" s="43">
        <f t="shared" ref="G60" si="49">F60/E60</f>
        <v>1270.4719892119215</v>
      </c>
      <c r="H60" s="27">
        <v>0.42945350495645934</v>
      </c>
      <c r="I60" s="59">
        <f>(B60/('Consumidores Inadimplentes'!B96*1000000))</f>
        <v>1.0124592623927196E-2</v>
      </c>
    </row>
    <row r="61" spans="1:16" x14ac:dyDescent="0.35">
      <c r="A61" s="5">
        <v>45200</v>
      </c>
      <c r="B61" s="30">
        <v>737421</v>
      </c>
      <c r="C61" s="30">
        <v>2455547</v>
      </c>
      <c r="D61" s="30">
        <v>3102241327.5600009</v>
      </c>
      <c r="E61" s="34">
        <f t="shared" ref="E61" si="50">C61/B61</f>
        <v>3.3299119498902257</v>
      </c>
      <c r="F61" s="43">
        <f t="shared" ref="F61" si="51">D61/B61</f>
        <v>4206.8795539590019</v>
      </c>
      <c r="G61" s="43">
        <f t="shared" ref="G61" si="52">F61/E61</f>
        <v>1263.3605984980134</v>
      </c>
      <c r="H61" s="27">
        <v>0.43511336876371492</v>
      </c>
      <c r="I61" s="59">
        <f>(B61/('Consumidores Inadimplentes'!B97*1000000))</f>
        <v>1.0248717647308335E-2</v>
      </c>
    </row>
    <row r="62" spans="1:16" x14ac:dyDescent="0.35">
      <c r="A62" s="5">
        <v>45231</v>
      </c>
      <c r="B62" s="30">
        <v>727405</v>
      </c>
      <c r="C62" s="30">
        <v>2415406</v>
      </c>
      <c r="D62" s="30">
        <v>3124349129.9799986</v>
      </c>
      <c r="E62" s="34">
        <f t="shared" ref="E62" si="53">C62/B62</f>
        <v>3.320579319636241</v>
      </c>
      <c r="F62" s="43">
        <f t="shared" ref="F62" si="54">D62/B62</f>
        <v>4295.1988644290304</v>
      </c>
      <c r="G62" s="43">
        <f t="shared" ref="G62" si="55">F62/E62</f>
        <v>1293.5088883525168</v>
      </c>
      <c r="H62" s="27">
        <v>0.42881481328644738</v>
      </c>
      <c r="I62" s="59">
        <f>(B62/('Consumidores Inadimplentes'!B98*1000000))</f>
        <v>1.0129730401181357E-2</v>
      </c>
    </row>
    <row r="63" spans="1:16" ht="15" thickBot="1" x14ac:dyDescent="0.4">
      <c r="A63" s="12">
        <v>45261</v>
      </c>
      <c r="B63" s="31">
        <v>724525</v>
      </c>
      <c r="C63" s="31">
        <v>2451566</v>
      </c>
      <c r="D63" s="31">
        <v>3008509493.6399984</v>
      </c>
      <c r="E63" s="35">
        <f t="shared" ref="E63" si="56">C63/B63</f>
        <v>3.3836872433663436</v>
      </c>
      <c r="F63" s="46">
        <f t="shared" ref="F63" si="57">D63/B63</f>
        <v>4152.3887976812375</v>
      </c>
      <c r="G63" s="46">
        <f t="shared" ref="G63" si="58">F63/E63</f>
        <v>1227.1786660607947</v>
      </c>
      <c r="H63" s="28">
        <v>0.42673036283492316</v>
      </c>
      <c r="I63" s="59">
        <f>(B63/('Consumidores Inadimplentes'!B99*1000000))</f>
        <v>1.0189875483736921E-2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746276</v>
      </c>
      <c r="C64" s="29">
        <v>2528534</v>
      </c>
      <c r="D64" s="29">
        <v>3210309012.329998</v>
      </c>
      <c r="E64" s="33">
        <f t="shared" ref="E64" si="59">C64/B64</f>
        <v>3.3882022200901543</v>
      </c>
      <c r="F64" s="45">
        <f t="shared" ref="F64" si="60">D64/B64</f>
        <v>4301.7717470882062</v>
      </c>
      <c r="G64" s="45">
        <f t="shared" ref="G64" si="61">F64/E64</f>
        <v>1269.6325271204573</v>
      </c>
      <c r="H64" s="26">
        <v>0.43914345735822852</v>
      </c>
      <c r="I64" s="59">
        <f>(B64/('Consumidores Inadimplentes'!B100*1000000))</f>
        <v>1.0354903639548628E-2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748729</v>
      </c>
      <c r="C65" s="30">
        <v>2534399</v>
      </c>
      <c r="D65" s="30">
        <v>3204173525.8399887</v>
      </c>
      <c r="E65" s="34">
        <f t="shared" ref="E65" si="62">C65/B65</f>
        <v>3.3849350031853982</v>
      </c>
      <c r="F65" s="43">
        <f t="shared" ref="F65" si="63">D65/B65</f>
        <v>4279.4836661061463</v>
      </c>
      <c r="G65" s="43">
        <f t="shared" ref="G65" si="64">F65/E65</f>
        <v>1264.2735125132187</v>
      </c>
      <c r="H65" s="27">
        <v>0.44018801479190794</v>
      </c>
      <c r="I65" s="59">
        <f>(B65/('Consumidores Inadimplentes'!B101*1000000))</f>
        <v>1.039334619511585E-2</v>
      </c>
    </row>
    <row r="66" spans="1:16" x14ac:dyDescent="0.35">
      <c r="A66" s="5">
        <v>45352</v>
      </c>
      <c r="B66" s="30">
        <v>757728</v>
      </c>
      <c r="C66" s="30">
        <v>2551095</v>
      </c>
      <c r="D66" s="30">
        <v>3241511040.3199902</v>
      </c>
      <c r="E66" s="34">
        <f t="shared" ref="E66" si="65">C66/B66</f>
        <v>3.3667688141391108</v>
      </c>
      <c r="F66" s="43">
        <f t="shared" ref="F66" si="66">D66/B66</f>
        <v>4277.9348794290172</v>
      </c>
      <c r="G66" s="43">
        <f t="shared" ref="G66" si="67">F66/E66</f>
        <v>1270.6351744329356</v>
      </c>
      <c r="H66" s="27">
        <v>0.4450754227237938</v>
      </c>
      <c r="I66" s="59">
        <f>(B66/('Consumidores Inadimplentes'!B102*1000000))</f>
        <v>1.0394812547794034E-2</v>
      </c>
    </row>
    <row r="67" spans="1:16" x14ac:dyDescent="0.35">
      <c r="A67" s="5">
        <v>45383</v>
      </c>
      <c r="B67" s="30">
        <v>749380</v>
      </c>
      <c r="C67" s="30">
        <v>2433149</v>
      </c>
      <c r="D67" s="30">
        <v>3233701273.1099968</v>
      </c>
      <c r="E67" s="34">
        <f t="shared" ref="E67" si="68">C67/B67</f>
        <v>3.2468827564119671</v>
      </c>
      <c r="F67" s="43">
        <f t="shared" ref="F67" si="69">D67/B67</f>
        <v>4315.1689037737824</v>
      </c>
      <c r="G67" s="43">
        <f t="shared" ref="G67" si="70">F67/E67</f>
        <v>1329.0190091564459</v>
      </c>
      <c r="H67" s="27">
        <v>0.43977338214357392</v>
      </c>
      <c r="I67" s="59">
        <f>(B67/('Consumidores Inadimplentes'!B103*1000000))</f>
        <v>1.0206785680546268E-2</v>
      </c>
    </row>
    <row r="68" spans="1:16" x14ac:dyDescent="0.35">
      <c r="A68" s="5">
        <v>45413</v>
      </c>
      <c r="B68" s="30">
        <v>756908</v>
      </c>
      <c r="C68" s="30">
        <v>2473881</v>
      </c>
      <c r="D68" s="30">
        <v>3273850264.1899652</v>
      </c>
      <c r="E68" s="34">
        <f t="shared" ref="E68" si="71">C68/B68</f>
        <v>3.2684038218647444</v>
      </c>
      <c r="F68" s="43">
        <f t="shared" ref="F68" si="72">D68/B68</f>
        <v>4325.294836611537</v>
      </c>
      <c r="G68" s="43">
        <f t="shared" ref="G68" si="73">F68/E68</f>
        <v>1323.3661053987501</v>
      </c>
      <c r="H68" s="27">
        <v>0.44378907079090829</v>
      </c>
      <c r="I68" s="59">
        <f>(B68/('Consumidores Inadimplentes'!B104*1000000))</f>
        <v>1.0435021940266838E-2</v>
      </c>
    </row>
    <row r="69" spans="1:16" x14ac:dyDescent="0.35">
      <c r="A69" s="5">
        <v>45444</v>
      </c>
      <c r="B69" s="30">
        <v>749778</v>
      </c>
      <c r="C69" s="30">
        <v>2535698</v>
      </c>
      <c r="D69" s="30">
        <v>3500769052.5100002</v>
      </c>
      <c r="E69" s="34">
        <f t="shared" ref="E69" si="74">C69/B69</f>
        <v>3.3819317184553292</v>
      </c>
      <c r="F69" s="43">
        <f t="shared" ref="F69" si="75">D69/B69</f>
        <v>4669.0741159516556</v>
      </c>
      <c r="G69" s="43">
        <f t="shared" ref="G69" si="76">F69/E69</f>
        <v>1380.5938453672325</v>
      </c>
      <c r="H69" s="27">
        <v>0.4392107564687075</v>
      </c>
      <c r="I69" s="59">
        <f>(B69/('Consumidores Inadimplentes'!B105*1000000))</f>
        <v>1.0341604045575454E-2</v>
      </c>
    </row>
    <row r="70" spans="1:16" x14ac:dyDescent="0.35">
      <c r="A70" s="5">
        <v>45474</v>
      </c>
      <c r="B70" s="30">
        <v>757983</v>
      </c>
      <c r="C70" s="30">
        <v>2429284</v>
      </c>
      <c r="D70" s="30">
        <v>3265905989.4899998</v>
      </c>
      <c r="E70" s="34">
        <f t="shared" ref="E70" si="77">C70/B70</f>
        <v>3.2049320367343332</v>
      </c>
      <c r="F70" s="43">
        <f t="shared" ref="F70" si="78">D70/B70</f>
        <v>4308.6797322499315</v>
      </c>
      <c r="G70" s="43">
        <f t="shared" ref="G70" si="79">F70/E70</f>
        <v>1344.3903592540023</v>
      </c>
      <c r="H70" s="27">
        <v>0.44361513475550873</v>
      </c>
      <c r="I70" s="59">
        <f>(B70/('Consumidores Inadimplentes'!B106*1000000))</f>
        <v>1.0431320558009449E-2</v>
      </c>
    </row>
    <row r="71" spans="1:16" x14ac:dyDescent="0.35">
      <c r="A71" s="5">
        <v>45505</v>
      </c>
      <c r="B71" s="30">
        <v>734605</v>
      </c>
      <c r="C71" s="30">
        <v>2313111</v>
      </c>
      <c r="D71" s="30">
        <v>3059900963.3599954</v>
      </c>
      <c r="E71" s="34">
        <f t="shared" ref="E71" si="80">C71/B71</f>
        <v>3.148781998488984</v>
      </c>
      <c r="F71" s="43">
        <f t="shared" ref="F71" si="81">D71/B71</f>
        <v>4165.36909408457</v>
      </c>
      <c r="G71" s="43">
        <f t="shared" ref="G71" si="82">F71/E71</f>
        <v>1322.8508979292371</v>
      </c>
      <c r="H71" s="27">
        <v>0.42956367363908593</v>
      </c>
      <c r="I71" s="59">
        <f>(B71/('Consumidores Inadimplentes'!B107*1000000))</f>
        <v>1.0137720814092357E-2</v>
      </c>
    </row>
    <row r="72" spans="1:16" x14ac:dyDescent="0.35">
      <c r="A72" s="5">
        <v>45536</v>
      </c>
      <c r="B72" s="30">
        <v>753851</v>
      </c>
      <c r="C72" s="30">
        <v>2386432</v>
      </c>
      <c r="D72" s="30">
        <v>3281250384</v>
      </c>
      <c r="E72" s="34">
        <f t="shared" ref="E72" si="83">C72/B72</f>
        <v>3.1656547514031286</v>
      </c>
      <c r="F72" s="43">
        <f t="shared" ref="F72" si="84">D72/B72</f>
        <v>4352.6510994878299</v>
      </c>
      <c r="G72" s="43">
        <f t="shared" ref="G72" si="85">F72/E72</f>
        <v>1374.9607715618968</v>
      </c>
      <c r="H72" s="27">
        <v>0.44043926433273406</v>
      </c>
      <c r="I72" s="59">
        <f>(B72/('Consumidores Inadimplentes'!B108*1000000))</f>
        <v>1.0377629579920554E-2</v>
      </c>
    </row>
    <row r="73" spans="1:16" x14ac:dyDescent="0.35">
      <c r="A73" s="5">
        <v>45566</v>
      </c>
      <c r="B73" s="30">
        <v>747066</v>
      </c>
      <c r="C73" s="30">
        <v>2360312</v>
      </c>
      <c r="D73" s="30">
        <v>3316405415.619998</v>
      </c>
      <c r="E73" s="34">
        <f t="shared" ref="E73" si="86">C73/B73</f>
        <v>3.1594424053564212</v>
      </c>
      <c r="F73" s="43">
        <f t="shared" ref="F73" si="87">D73/B73</f>
        <v>4439.2401951367056</v>
      </c>
      <c r="G73" s="43">
        <f t="shared" ref="G73" si="88">F73/E73</f>
        <v>1405.070776922711</v>
      </c>
      <c r="H73" s="27">
        <v>0.43610031172288188</v>
      </c>
      <c r="I73" s="59">
        <f>(B73/('Consumidores Inadimplentes'!B109*1000000))</f>
        <v>1.02192233283026E-2</v>
      </c>
    </row>
    <row r="74" spans="1:16" x14ac:dyDescent="0.35">
      <c r="A74" s="5">
        <v>45597</v>
      </c>
      <c r="B74" s="30">
        <v>744459</v>
      </c>
      <c r="C74" s="30">
        <v>2268016</v>
      </c>
      <c r="D74" s="30">
        <v>3240102091.2399912</v>
      </c>
      <c r="E74" s="34">
        <f t="shared" ref="E74" si="89">C74/B74</f>
        <v>3.046529090252116</v>
      </c>
      <c r="F74" s="43">
        <f t="shared" ref="F74" si="90">D74/B74</f>
        <v>4352.2908464267221</v>
      </c>
      <c r="G74" s="43">
        <f t="shared" ref="G74" si="91">F74/E74</f>
        <v>1428.6063639939009</v>
      </c>
      <c r="H74" s="27">
        <v>0.4342051159120297</v>
      </c>
      <c r="I74" s="59">
        <f>(B74/('Consumidores Inadimplentes'!B110*1000000))</f>
        <v>1.0089052275336009E-2</v>
      </c>
    </row>
    <row r="75" spans="1:16" ht="15" thickBot="1" x14ac:dyDescent="0.4">
      <c r="A75" s="12">
        <v>45627</v>
      </c>
      <c r="B75" s="31">
        <v>745589</v>
      </c>
      <c r="C75" s="31">
        <v>2241559</v>
      </c>
      <c r="D75" s="31">
        <v>3168711484.2099934</v>
      </c>
      <c r="E75" s="35">
        <f t="shared" ref="E75" si="92">C75/B75</f>
        <v>3.0064271334475161</v>
      </c>
      <c r="F75" s="46">
        <f t="shared" ref="F75" si="93">D75/B75</f>
        <v>4249.9439828243085</v>
      </c>
      <c r="G75" s="46">
        <f t="shared" ref="G75" si="94">F75/E75</f>
        <v>1413.6194872452579</v>
      </c>
      <c r="H75" s="28">
        <v>0.43449065184466029</v>
      </c>
      <c r="I75" s="59">
        <f>(B75/('Consumidores Inadimplentes'!B111*1000000))</f>
        <v>1.0142377355001994E-2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754884</v>
      </c>
      <c r="C76" s="29">
        <v>2278930</v>
      </c>
      <c r="D76" s="29">
        <v>3265641267.7499914</v>
      </c>
      <c r="E76" s="33">
        <f t="shared" ref="E76:E77" si="95">C76/B76</f>
        <v>3.0189141642954413</v>
      </c>
      <c r="F76" s="45">
        <f t="shared" ref="F76:F77" si="96">D76/B76</f>
        <v>4326.0173321331376</v>
      </c>
      <c r="G76" s="45">
        <f t="shared" ref="G76:G77" si="97">F76/E76</f>
        <v>1432.971292558346</v>
      </c>
      <c r="H76" s="26">
        <v>0.43952949725237295</v>
      </c>
      <c r="I76" s="59">
        <f>(B76/('Consumidores Inadimplentes'!B112*1000000))</f>
        <v>1.0118693218873461E-2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746889</v>
      </c>
      <c r="C77" s="30">
        <v>2289138</v>
      </c>
      <c r="D77" s="30">
        <v>3408916874.1199789</v>
      </c>
      <c r="E77" s="34">
        <f t="shared" si="95"/>
        <v>3.0648971935588825</v>
      </c>
      <c r="F77" s="43">
        <f t="shared" si="96"/>
        <v>4564.1546121578695</v>
      </c>
      <c r="G77" s="43">
        <f t="shared" si="97"/>
        <v>1489.1705411032358</v>
      </c>
      <c r="H77" s="27">
        <v>0.43450101747686681</v>
      </c>
      <c r="I77" s="59">
        <f>(B77/('Consumidores Inadimplentes'!B113*1000000))</f>
        <v>9.9580702935455432E-3</v>
      </c>
    </row>
    <row r="78" spans="1:16" x14ac:dyDescent="0.35">
      <c r="A78" s="5">
        <v>45717</v>
      </c>
      <c r="B78" s="30">
        <v>762010</v>
      </c>
      <c r="C78" s="30">
        <v>2292584</v>
      </c>
      <c r="D78" s="30">
        <v>3358174745.559989</v>
      </c>
      <c r="E78" s="34">
        <f t="shared" ref="E78" si="98">C78/B78</f>
        <v>3.0086009369955775</v>
      </c>
      <c r="F78" s="43">
        <f t="shared" ref="F78" si="99">D78/B78</f>
        <v>4406.9956372750867</v>
      </c>
      <c r="G78" s="43">
        <f t="shared" ref="G78" si="100">F78/E78</f>
        <v>1464.7989977946233</v>
      </c>
      <c r="H78" s="27">
        <v>0.44291679550997537</v>
      </c>
      <c r="I78" s="59">
        <f>(B78/('Consumidores Inadimplentes'!B114*1000000))</f>
        <v>1.0056944921567484E-2</v>
      </c>
    </row>
    <row r="79" spans="1:16" x14ac:dyDescent="0.35">
      <c r="A79" s="5">
        <v>45748</v>
      </c>
      <c r="B79" s="30">
        <v>745006</v>
      </c>
      <c r="C79" s="30">
        <v>2212864</v>
      </c>
      <c r="D79" s="30">
        <v>3420712760</v>
      </c>
      <c r="E79" s="34">
        <f t="shared" ref="E79" si="101">C79/B79</f>
        <v>2.9702633267383081</v>
      </c>
      <c r="F79" s="43">
        <f t="shared" ref="F79" si="102">D79/B79</f>
        <v>4591.5237729629025</v>
      </c>
      <c r="G79" s="43">
        <f t="shared" ref="G79" si="103">F79/E79</f>
        <v>1545.830543585146</v>
      </c>
      <c r="H79" s="27">
        <v>0.43266131022727605</v>
      </c>
      <c r="I79" s="59">
        <f>(B79/('Consumidores Inadimplentes'!B115*1000000))</f>
        <v>9.7210370590219176E-3</v>
      </c>
    </row>
    <row r="80" spans="1:16" x14ac:dyDescent="0.35">
      <c r="A80" s="5">
        <v>45778</v>
      </c>
      <c r="B80" s="30">
        <v>754180</v>
      </c>
      <c r="C80" s="30">
        <v>2248890</v>
      </c>
      <c r="D80" s="30">
        <v>3461735777</v>
      </c>
      <c r="E80" s="34">
        <f t="shared" ref="E80" si="104">C80/B80</f>
        <v>2.9819008724707627</v>
      </c>
      <c r="F80" s="43">
        <f t="shared" ref="F80" si="105">D80/B80</f>
        <v>4590.0657362963748</v>
      </c>
      <c r="G80" s="43">
        <f t="shared" ref="G80" si="106">F80/E80</f>
        <v>1539.3086264779515</v>
      </c>
      <c r="H80" s="27">
        <v>0.43761296742766459</v>
      </c>
      <c r="I80" s="59">
        <f>(B80/('Consumidores Inadimplentes'!B116*1000000))</f>
        <v>9.7853599244760898E-3</v>
      </c>
    </row>
    <row r="81" spans="1:16" x14ac:dyDescent="0.35">
      <c r="A81" s="5">
        <v>45809</v>
      </c>
      <c r="B81" s="30">
        <v>755252</v>
      </c>
      <c r="C81" s="30">
        <v>2257296</v>
      </c>
      <c r="D81" s="30">
        <v>3529498667</v>
      </c>
      <c r="E81" s="34">
        <f t="shared" ref="E81" si="107">C81/B81</f>
        <v>2.9887984407853274</v>
      </c>
      <c r="F81" s="43">
        <f t="shared" ref="F81" si="108">D81/B81</f>
        <v>4673.272850651173</v>
      </c>
      <c r="G81" s="43">
        <f t="shared" ref="G81" si="109">F81/E81</f>
        <v>1563.5958540661036</v>
      </c>
      <c r="H81" s="27">
        <v>0.43785872143852661</v>
      </c>
      <c r="I81" s="59">
        <f>(B81/('Consumidores Inadimplentes'!B117*1000000))</f>
        <v>9.6983099713938824E-3</v>
      </c>
    </row>
    <row r="82" spans="1:16" x14ac:dyDescent="0.35">
      <c r="A82" s="5">
        <v>45839</v>
      </c>
      <c r="B82" s="30">
        <v>757329</v>
      </c>
      <c r="C82" s="30">
        <v>2269504</v>
      </c>
      <c r="D82" s="30">
        <v>3550692336</v>
      </c>
      <c r="E82" s="34">
        <f t="shared" ref="E82" si="110">C82/B82</f>
        <v>2.9967213720853154</v>
      </c>
      <c r="F82" s="43">
        <f t="shared" ref="F82" si="111">D82/B82</f>
        <v>4688.4410025233419</v>
      </c>
      <c r="G82" s="43">
        <f t="shared" ref="G82" si="112">F82/E82</f>
        <v>1564.5234976453005</v>
      </c>
      <c r="H82" s="27">
        <v>0.43868569631229659</v>
      </c>
      <c r="I82" s="59">
        <f>(B82/('Consumidores Inadimplentes'!B118*1000000))</f>
        <v>9.6893234154523111E-3</v>
      </c>
    </row>
    <row r="83" spans="1:16" x14ac:dyDescent="0.35">
      <c r="A83" s="5">
        <v>45870</v>
      </c>
      <c r="B83" s="30">
        <v>759873</v>
      </c>
      <c r="C83" s="30">
        <v>2286683</v>
      </c>
      <c r="D83" s="30">
        <v>3617762513</v>
      </c>
      <c r="E83" s="34">
        <f t="shared" ref="E83" si="113">C83/B83</f>
        <v>3.0092962903011422</v>
      </c>
      <c r="F83" s="43">
        <f t="shared" ref="F83" si="114">D83/B83</f>
        <v>4761.0094226272022</v>
      </c>
      <c r="G83" s="43">
        <f t="shared" ref="G83" si="115">F83/E83</f>
        <v>1582.1005854331363</v>
      </c>
      <c r="H83" s="27">
        <v>0.43979247586090742</v>
      </c>
      <c r="I83" s="59">
        <f>(B83/('Consumidores Inadimplentes'!B119*1000000))</f>
        <v>9.637084972825791E-3</v>
      </c>
    </row>
    <row r="84" spans="1:16" x14ac:dyDescent="0.35">
      <c r="A84" s="5">
        <v>45901</v>
      </c>
      <c r="B84" s="30">
        <v>754003</v>
      </c>
      <c r="C84" s="30">
        <v>2249025</v>
      </c>
      <c r="D84" s="30">
        <v>3616726093</v>
      </c>
      <c r="E84" s="34">
        <f>IFERROR(C84/B84,"")</f>
        <v>2.9827799093637557</v>
      </c>
      <c r="F84" s="43">
        <f>IFERROR(D84/B84,"")</f>
        <v>4796.6998712206714</v>
      </c>
      <c r="G84" s="43">
        <f>IFERROR(F84/E84,"")</f>
        <v>1608.130675737264</v>
      </c>
      <c r="H84" s="27">
        <v>0.43603143577525388</v>
      </c>
      <c r="I84" s="59">
        <f>(B84/('Consumidores Inadimplentes'!B120*1000000))</f>
        <v>9.52421409377994E-3</v>
      </c>
    </row>
    <row r="85" spans="1:16" x14ac:dyDescent="0.35">
      <c r="A85" s="5">
        <v>45931</v>
      </c>
      <c r="B85" s="30">
        <v>769628</v>
      </c>
      <c r="C85" s="30">
        <v>2312837</v>
      </c>
      <c r="D85" s="30">
        <v>3711463125</v>
      </c>
      <c r="E85" s="34">
        <f t="shared" ref="E85:E87" si="116">IFERROR(C85/B85,"")</f>
        <v>3.0051362476417176</v>
      </c>
      <c r="F85" s="43">
        <f t="shared" ref="F85:F87" si="117">IFERROR(D85/B85,"")</f>
        <v>4822.4117690624562</v>
      </c>
      <c r="G85" s="43">
        <f t="shared" ref="G85:G87" si="118">IFERROR(F85/E85,"")</f>
        <v>1604.7231711530039</v>
      </c>
      <c r="H85" s="27">
        <v>0.44469636825251546</v>
      </c>
      <c r="I85" s="59">
        <f>(B85/('Consumidores Inadimplentes'!B121*1000000))</f>
        <v>9.5681400088208669E-3</v>
      </c>
    </row>
    <row r="86" spans="1:16" x14ac:dyDescent="0.35">
      <c r="A86" s="5">
        <v>45962</v>
      </c>
      <c r="B86" s="30">
        <v>760827</v>
      </c>
      <c r="C86" s="30">
        <v>2266228</v>
      </c>
      <c r="D86" s="30">
        <v>3682449308</v>
      </c>
      <c r="E86" s="34">
        <f t="shared" si="116"/>
        <v>2.9786377192186921</v>
      </c>
      <c r="F86" s="43">
        <f t="shared" si="117"/>
        <v>4840.0612859427965</v>
      </c>
      <c r="G86" s="43">
        <f t="shared" si="118"/>
        <v>1624.9244594983384</v>
      </c>
      <c r="H86" s="27">
        <v>0.43924460460728609</v>
      </c>
      <c r="I86" s="59">
        <f>(B86/('Consumidores Inadimplentes'!B122*1000000))</f>
        <v>9.438385618951408E-3</v>
      </c>
    </row>
    <row r="87" spans="1:16" ht="15" thickBot="1" x14ac:dyDescent="0.4">
      <c r="A87" s="12">
        <v>45992</v>
      </c>
      <c r="B87" s="31">
        <v>763462</v>
      </c>
      <c r="C87" s="31">
        <v>2260056</v>
      </c>
      <c r="D87" s="31">
        <v>3669420657</v>
      </c>
      <c r="E87" s="35">
        <f t="shared" si="116"/>
        <v>2.9602730718752208</v>
      </c>
      <c r="F87" s="46">
        <f t="shared" si="117"/>
        <v>4806.2911539801589</v>
      </c>
      <c r="G87" s="46">
        <f t="shared" si="118"/>
        <v>1623.5972281217812</v>
      </c>
      <c r="H87" s="28">
        <v>0.44039846074951644</v>
      </c>
      <c r="I87" s="59">
        <f>(B87/('Consumidores Inadimplentes'!B123*1000000))</f>
        <v>9.3966848372026707E-3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757131</v>
      </c>
      <c r="C88" s="29">
        <v>2231949</v>
      </c>
      <c r="D88" s="29">
        <v>3601775839</v>
      </c>
      <c r="E88" s="33">
        <f t="shared" ref="E88:E89" si="119">IFERROR(C88/B88,"")</f>
        <v>2.9479033350899648</v>
      </c>
      <c r="F88" s="45">
        <f t="shared" ref="F88:F89" si="120">IFERROR(D88/B88,"")</f>
        <v>4757.1369274273538</v>
      </c>
      <c r="G88" s="45">
        <f t="shared" ref="G88:G89" si="121">IFERROR(F88/E88,"")</f>
        <v>1613.7357255922961</v>
      </c>
      <c r="H88" s="26">
        <v>0.43638246772221828</v>
      </c>
      <c r="I88" s="59">
        <f>(B88/('Consumidores Inadimplentes'!B124*1000000))</f>
        <v>9.310590385683562E-3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763142</v>
      </c>
      <c r="C89" s="30">
        <v>2271291</v>
      </c>
      <c r="D89" s="30">
        <v>3698054229</v>
      </c>
      <c r="E89" s="34">
        <f t="shared" si="119"/>
        <v>2.9762364016133303</v>
      </c>
      <c r="F89" s="43">
        <f t="shared" si="120"/>
        <v>4845.8271579863249</v>
      </c>
      <c r="G89" s="43">
        <f t="shared" si="121"/>
        <v>1628.1728008432208</v>
      </c>
      <c r="H89" s="27">
        <v>0.43948046144348513</v>
      </c>
      <c r="I89" s="59">
        <f>(B89/('Consumidores Inadimplentes'!B125*1000000))</f>
        <v>9.337135813627568E-3</v>
      </c>
    </row>
    <row r="90" spans="1:16" x14ac:dyDescent="0.35">
      <c r="A90" s="5">
        <v>46082</v>
      </c>
      <c r="B90" s="30">
        <v>778384</v>
      </c>
      <c r="C90" s="30">
        <v>2344168</v>
      </c>
      <c r="D90" s="30">
        <v>3823133068</v>
      </c>
      <c r="E90" s="34">
        <f t="shared" ref="E90" si="122">IFERROR(C90/B90,"")</f>
        <v>3.0115829719007583</v>
      </c>
      <c r="F90" s="43">
        <f t="shared" ref="F90" si="123">IFERROR(D90/B90,"")</f>
        <v>4911.6285380994468</v>
      </c>
      <c r="G90" s="43">
        <f t="shared" ref="G90" si="124">IFERROR(F90/E90,"")</f>
        <v>1630.9125745253752</v>
      </c>
      <c r="H90" s="27">
        <v>0.4478845879423124</v>
      </c>
      <c r="I90" s="59">
        <f>(B90/('Consumidores Inadimplentes'!B126*1000000))</f>
        <v>9.3970854987326172E-3</v>
      </c>
    </row>
    <row r="91" spans="1:16" x14ac:dyDescent="0.35">
      <c r="A91" s="5">
        <v>46113</v>
      </c>
      <c r="B91" s="30">
        <v>789295</v>
      </c>
      <c r="C91" s="30">
        <v>2430311</v>
      </c>
      <c r="D91" s="30">
        <v>3932307693</v>
      </c>
      <c r="E91" s="34">
        <f t="shared" ref="E91" si="125">IFERROR(C91/B91,"")</f>
        <v>3.0790908342254797</v>
      </c>
      <c r="F91" s="43">
        <f t="shared" ref="F91" si="126">IFERROR(D91/B91,"")</f>
        <v>4982.0506819376787</v>
      </c>
      <c r="G91" s="43">
        <f t="shared" ref="G91" si="127">IFERROR(F91/E91,"")</f>
        <v>1618.0265377558676</v>
      </c>
      <c r="H91" s="27">
        <v>0.45378420363328625</v>
      </c>
      <c r="I91" s="59">
        <f>(B91/('Consumidores Inadimplentes'!B127*1000000))</f>
        <v>9.4651954416346898E-3</v>
      </c>
    </row>
    <row r="92" spans="1:16" x14ac:dyDescent="0.35">
      <c r="A92" s="5">
        <v>46143</v>
      </c>
      <c r="B92" s="30">
        <v>793166</v>
      </c>
      <c r="C92" s="30">
        <v>2463472</v>
      </c>
      <c r="D92" s="30">
        <v>3988100408</v>
      </c>
      <c r="E92" s="34">
        <f t="shared" ref="E92" si="128">IFERROR(C92/B92,"")</f>
        <v>3.1058719107979917</v>
      </c>
      <c r="F92" s="43">
        <f t="shared" ref="F92" si="129">IFERROR(D92/B92,"")</f>
        <v>5028.0778651631563</v>
      </c>
      <c r="G92" s="43">
        <f t="shared" ref="G92" si="130">IFERROR(F92/E92,"")</f>
        <v>1618.8941493956497</v>
      </c>
      <c r="H92" s="27">
        <v>0.45562963971431741</v>
      </c>
      <c r="I92" s="59">
        <f>(B92/('Consumidores Inadimplentes'!B128*1000000))</f>
        <v>9.4986702608914671E-3</v>
      </c>
    </row>
    <row r="93" spans="1:16" x14ac:dyDescent="0.35">
      <c r="A93" s="5">
        <v>46174</v>
      </c>
      <c r="B93" s="30">
        <v>798573</v>
      </c>
      <c r="C93" s="30">
        <v>2478373</v>
      </c>
      <c r="D93" s="30">
        <v>3999737270</v>
      </c>
      <c r="E93" s="34">
        <f t="shared" ref="E93" si="131">IFERROR(C93/B93,"")</f>
        <v>3.103502121909957</v>
      </c>
      <c r="F93" s="43">
        <f t="shared" ref="F93" si="132">IFERROR(D93/B93,"")</f>
        <v>5008.6056878957843</v>
      </c>
      <c r="G93" s="43">
        <f t="shared" ref="G93" si="133">IFERROR(F93/E93,"")</f>
        <v>1613.8560539515238</v>
      </c>
      <c r="H93" s="27">
        <v>0.45835335038010866</v>
      </c>
      <c r="I93" s="59">
        <f>(B93/('Consumidores Inadimplentes'!B129*1000000))</f>
        <v>9.5366127851322403E-3</v>
      </c>
    </row>
    <row r="94" spans="1:16" x14ac:dyDescent="0.35">
      <c r="A94" s="5">
        <v>46204</v>
      </c>
      <c r="B94" s="30">
        <v>796076</v>
      </c>
      <c r="C94" s="30">
        <v>2495659</v>
      </c>
      <c r="D94" s="30">
        <v>4068605927</v>
      </c>
      <c r="E94" s="34">
        <f t="shared" ref="E94" si="134">IFERROR(C94/B94,"")</f>
        <v>3.1349506831006084</v>
      </c>
      <c r="F94" s="43">
        <f t="shared" ref="F94" si="135">IFERROR(D94/B94,"")</f>
        <v>5110.826010330672</v>
      </c>
      <c r="G94" s="43">
        <f t="shared" ref="G94" si="136">IFERROR(F94/E94,"")</f>
        <v>1630.2731771447943</v>
      </c>
      <c r="H94" s="27">
        <v>0.45653941749755406</v>
      </c>
      <c r="I94" s="59">
        <f>(B94/('Consumidores Inadimplentes'!B130*1000000))</f>
        <v>9.4847826544366583E-3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35E2-B5CA-4A7D-87CA-28CE8BAFD969}">
  <sheetPr codeName="Planilha22"/>
  <dimension ref="A1:P99"/>
  <sheetViews>
    <sheetView zoomScale="90" zoomScaleNormal="90" workbookViewId="0">
      <pane xSplit="1" ySplit="3" topLeftCell="B4" activePane="bottomRight" state="frozen"/>
      <selection activeCell="H93" sqref="H93"/>
      <selection pane="topRight" activeCell="H93" sqref="H93"/>
      <selection pane="bottomLeft" activeCell="H93" sqref="H93"/>
      <selection pane="bottomRight" activeCell="I1" sqref="I1:I1048576"/>
    </sheetView>
  </sheetViews>
  <sheetFormatPr defaultColWidth="9.1796875" defaultRowHeight="14.5" x14ac:dyDescent="0.35"/>
  <cols>
    <col min="1" max="3" width="16.26953125" style="1" customWidth="1"/>
    <col min="4" max="4" width="17.36328125" style="1" customWidth="1"/>
    <col min="5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45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15019130</v>
      </c>
      <c r="C4" s="29">
        <v>59306830</v>
      </c>
      <c r="D4" s="29">
        <v>69358359329.516861</v>
      </c>
      <c r="E4" s="33">
        <f t="shared" ref="E4:E33" si="0">C4/B4</f>
        <v>3.9487526907350827</v>
      </c>
      <c r="F4" s="45">
        <f>D4/B4</f>
        <v>4618.0011311918106</v>
      </c>
      <c r="G4" s="45">
        <f t="shared" ref="G4" si="1">F4/E4</f>
        <v>1169.4835034938953</v>
      </c>
      <c r="H4" s="26">
        <v>0.43794840332701507</v>
      </c>
      <c r="I4" s="58">
        <f>(B4/('Consumidores Inadimplentes'!B40*1000000))</f>
        <v>0.2415568070381186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15030922</v>
      </c>
      <c r="C5" s="30">
        <v>59270675</v>
      </c>
      <c r="D5" s="30">
        <v>69229509153.676697</v>
      </c>
      <c r="E5" s="34">
        <f t="shared" si="0"/>
        <v>3.9432494560213938</v>
      </c>
      <c r="F5" s="43">
        <f t="shared" ref="F5:F45" si="2">D5/B5</f>
        <v>4605.8058949195993</v>
      </c>
      <c r="G5" s="43">
        <f t="shared" ref="G5:G45" si="3">F5/E5</f>
        <v>1168.0229582955938</v>
      </c>
      <c r="H5" s="27">
        <v>0.43786402111100914</v>
      </c>
      <c r="I5" s="59">
        <f>(B5/('Consumidores Inadimplentes'!B41*1000000))</f>
        <v>0.24176001561323265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15254064</v>
      </c>
      <c r="C6" s="30">
        <v>60110185</v>
      </c>
      <c r="D6" s="30">
        <v>70711113608.466522</v>
      </c>
      <c r="E6" s="34">
        <f t="shared" si="0"/>
        <v>3.9406013374534159</v>
      </c>
      <c r="F6" s="43">
        <f t="shared" si="2"/>
        <v>4635.5589965052277</v>
      </c>
      <c r="G6" s="43">
        <f t="shared" si="3"/>
        <v>1176.3582761967295</v>
      </c>
      <c r="H6" s="27">
        <v>0.44384131941350791</v>
      </c>
      <c r="I6" s="59">
        <f>(B6/('Consumidores Inadimplentes'!B42*1000000))</f>
        <v>0.24228151803044853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15365453</v>
      </c>
      <c r="C7" s="30">
        <v>59965681</v>
      </c>
      <c r="D7" s="30">
        <v>70234230657.927048</v>
      </c>
      <c r="E7" s="34">
        <f t="shared" si="0"/>
        <v>3.9026302055656932</v>
      </c>
      <c r="F7" s="43">
        <f t="shared" si="2"/>
        <v>4570.9183229369837</v>
      </c>
      <c r="G7" s="43">
        <f t="shared" si="3"/>
        <v>1171.2404409770156</v>
      </c>
      <c r="H7" s="27">
        <v>0.44631956964450298</v>
      </c>
      <c r="I7" s="59">
        <f>(B7/('Consumidores Inadimplentes'!B43*1000000))</f>
        <v>0.24310346944384692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15243979</v>
      </c>
      <c r="C8" s="30">
        <v>59127666</v>
      </c>
      <c r="D8" s="30">
        <v>70692864263.777435</v>
      </c>
      <c r="E8" s="34">
        <f t="shared" si="0"/>
        <v>3.8787554089388343</v>
      </c>
      <c r="F8" s="43">
        <f t="shared" si="2"/>
        <v>4637.4286046823754</v>
      </c>
      <c r="G8" s="43">
        <f t="shared" si="3"/>
        <v>1195.597070646716</v>
      </c>
      <c r="H8" s="27">
        <v>0.4391011995707183</v>
      </c>
      <c r="I8" s="59">
        <f>(B8/('Consumidores Inadimplentes'!B44*1000000))</f>
        <v>0.24053760386314907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15345190</v>
      </c>
      <c r="C9" s="30">
        <v>59355082</v>
      </c>
      <c r="D9" s="30">
        <v>71008325215.147614</v>
      </c>
      <c r="E9" s="34">
        <f t="shared" si="0"/>
        <v>3.8679926413423358</v>
      </c>
      <c r="F9" s="43">
        <f t="shared" si="2"/>
        <v>4627.3995444271213</v>
      </c>
      <c r="G9" s="43">
        <f t="shared" si="3"/>
        <v>1196.3310102940743</v>
      </c>
      <c r="H9" s="27">
        <v>0.44733797929398222</v>
      </c>
      <c r="I9" s="59">
        <f>(B9/('Consumidores Inadimplentes'!B45*1000000))</f>
        <v>0.24184475158706584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15305221</v>
      </c>
      <c r="C10" s="30">
        <v>59172511</v>
      </c>
      <c r="D10" s="30">
        <v>70995283729.407562</v>
      </c>
      <c r="E10" s="34">
        <f t="shared" si="0"/>
        <v>3.8661650818371065</v>
      </c>
      <c r="F10" s="43">
        <f t="shared" si="2"/>
        <v>4638.6317276573509</v>
      </c>
      <c r="G10" s="43">
        <f t="shared" si="3"/>
        <v>1199.801775006769</v>
      </c>
      <c r="H10" s="27">
        <v>0.44571748518260901</v>
      </c>
      <c r="I10" s="59">
        <f>(B10/('Consumidores Inadimplentes'!B46*1000000))</f>
        <v>0.24116622679086303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15247004</v>
      </c>
      <c r="C11" s="30">
        <v>59092786</v>
      </c>
      <c r="D11" s="30">
        <v>71637979396.637131</v>
      </c>
      <c r="E11" s="34">
        <f t="shared" si="0"/>
        <v>3.8756982027419946</v>
      </c>
      <c r="F11" s="43">
        <f t="shared" si="2"/>
        <v>4698.4954812523911</v>
      </c>
      <c r="G11" s="43">
        <f t="shared" si="3"/>
        <v>1212.2965296751643</v>
      </c>
      <c r="H11" s="27">
        <v>0.44381774444412198</v>
      </c>
      <c r="I11" s="59">
        <f>(B11/('Consumidores Inadimplentes'!B47*1000000))</f>
        <v>0.24038309048635492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15240184</v>
      </c>
      <c r="C12" s="30">
        <v>58404687</v>
      </c>
      <c r="D12" s="30">
        <v>70418775243.906876</v>
      </c>
      <c r="E12" s="34">
        <f t="shared" si="0"/>
        <v>3.8322822742822527</v>
      </c>
      <c r="F12" s="43">
        <f t="shared" si="2"/>
        <v>4620.5987568067994</v>
      </c>
      <c r="G12" s="43">
        <f t="shared" si="3"/>
        <v>1205.7041799386216</v>
      </c>
      <c r="H12" s="27">
        <v>0.44329273753608361</v>
      </c>
      <c r="I12" s="59">
        <f>(B12/('Consumidores Inadimplentes'!B48*1000000))</f>
        <v>0.24111693762910141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15320062</v>
      </c>
      <c r="C13" s="30">
        <v>58743801</v>
      </c>
      <c r="D13" s="30">
        <v>71148917963.486542</v>
      </c>
      <c r="E13" s="34">
        <f t="shared" si="0"/>
        <v>3.8344362444486189</v>
      </c>
      <c r="F13" s="43">
        <f t="shared" si="2"/>
        <v>4644.1664507288897</v>
      </c>
      <c r="G13" s="43">
        <f t="shared" si="3"/>
        <v>1211.1732089567465</v>
      </c>
      <c r="H13" s="27">
        <v>0.44528820857471058</v>
      </c>
      <c r="I13" s="59">
        <f>(B13/('Consumidores Inadimplentes'!B49*1000000))</f>
        <v>0.23993302575463879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15346815</v>
      </c>
      <c r="C14" s="30">
        <v>58590792</v>
      </c>
      <c r="D14" s="30">
        <v>71581098930.696396</v>
      </c>
      <c r="E14" s="34">
        <f t="shared" si="0"/>
        <v>3.8177818654880507</v>
      </c>
      <c r="F14" s="43">
        <f t="shared" si="2"/>
        <v>4664.2315640539355</v>
      </c>
      <c r="G14" s="43">
        <f t="shared" si="3"/>
        <v>1221.7124310368838</v>
      </c>
      <c r="H14" s="27">
        <v>0.44573751932970862</v>
      </c>
      <c r="I14" s="59">
        <f>(B14/('Consumidores Inadimplentes'!B50*1000000))</f>
        <v>0.24039132677311534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15246859</v>
      </c>
      <c r="C15" s="31">
        <v>58273457</v>
      </c>
      <c r="D15" s="31">
        <v>71049758855.646637</v>
      </c>
      <c r="E15" s="35">
        <f t="shared" si="0"/>
        <v>3.8219975012558325</v>
      </c>
      <c r="F15" s="43">
        <f t="shared" si="2"/>
        <v>4659.9603797507825</v>
      </c>
      <c r="G15" s="43">
        <f t="shared" si="3"/>
        <v>1219.2473642956627</v>
      </c>
      <c r="H15" s="27">
        <v>0.44250847012346556</v>
      </c>
      <c r="I15" s="59">
        <f>(B15/('Consumidores Inadimplentes'!B51*1000000))</f>
        <v>0.24083871281724775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15283389</v>
      </c>
      <c r="C16" s="29">
        <v>58772515</v>
      </c>
      <c r="D16" s="29">
        <v>71687411695.796738</v>
      </c>
      <c r="E16" s="33">
        <f t="shared" si="0"/>
        <v>3.8455158734754447</v>
      </c>
      <c r="F16" s="45">
        <f t="shared" si="2"/>
        <v>4690.5442042858913</v>
      </c>
      <c r="G16" s="45">
        <f t="shared" si="3"/>
        <v>1219.7438155538646</v>
      </c>
      <c r="H16" s="26">
        <v>0.44324223602664609</v>
      </c>
      <c r="I16" s="59">
        <f>(B16/('Consumidores Inadimplentes'!B52*1000000))</f>
        <v>0.23961780341774747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15395328</v>
      </c>
      <c r="C17" s="30">
        <v>58972186</v>
      </c>
      <c r="D17" s="30">
        <v>71522597793.047058</v>
      </c>
      <c r="E17" s="34">
        <f t="shared" si="0"/>
        <v>3.8305248189580632</v>
      </c>
      <c r="F17" s="43">
        <f t="shared" si="2"/>
        <v>4645.7339390915904</v>
      </c>
      <c r="G17" s="43">
        <f t="shared" si="3"/>
        <v>1212.8191719575573</v>
      </c>
      <c r="H17" s="27">
        <v>0.44616004792169778</v>
      </c>
      <c r="I17" s="59">
        <f>(B17/('Consumidores Inadimplentes'!B53*1000000))</f>
        <v>0.24096731092549431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15791214</v>
      </c>
      <c r="C18" s="30">
        <v>60195300</v>
      </c>
      <c r="D18" s="30">
        <v>72560575965.526474</v>
      </c>
      <c r="E18" s="34">
        <f t="shared" si="0"/>
        <v>3.8119488469980838</v>
      </c>
      <c r="F18" s="43">
        <f t="shared" si="2"/>
        <v>4594.9966839488388</v>
      </c>
      <c r="G18" s="43">
        <f t="shared" si="3"/>
        <v>1205.4192929601893</v>
      </c>
      <c r="H18" s="27">
        <v>0.45729611258106462</v>
      </c>
      <c r="I18" s="59">
        <f>(B18/('Consumidores Inadimplentes'!B54*1000000))</f>
        <v>0.24364402964884399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15799830</v>
      </c>
      <c r="C19" s="30">
        <v>59707606</v>
      </c>
      <c r="D19" s="30">
        <v>71788467888.436539</v>
      </c>
      <c r="E19" s="34">
        <f t="shared" si="0"/>
        <v>3.7790030652228537</v>
      </c>
      <c r="F19" s="43">
        <f t="shared" si="2"/>
        <v>4543.6228040704573</v>
      </c>
      <c r="G19" s="43">
        <f t="shared" si="3"/>
        <v>1202.3337175574673</v>
      </c>
      <c r="H19" s="27">
        <v>0.45720889601499382</v>
      </c>
      <c r="I19" s="59">
        <f>(B19/('Consumidores Inadimplentes'!B55*1000000))</f>
        <v>0.23972330049978899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15626130</v>
      </c>
      <c r="C20" s="30">
        <v>58689136</v>
      </c>
      <c r="D20" s="30">
        <v>70283096137.866989</v>
      </c>
      <c r="E20" s="34">
        <f t="shared" si="0"/>
        <v>3.7558330821514989</v>
      </c>
      <c r="F20" s="43">
        <f t="shared" si="2"/>
        <v>4497.7928724429521</v>
      </c>
      <c r="G20" s="43">
        <f t="shared" si="3"/>
        <v>1197.5486593952753</v>
      </c>
      <c r="H20" s="27">
        <v>0.45184965485664796</v>
      </c>
      <c r="I20" s="59">
        <f>(B20/('Consumidores Inadimplentes'!B56*1000000))</f>
        <v>0.23954721078904548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15334602</v>
      </c>
      <c r="C21" s="30">
        <v>57706772</v>
      </c>
      <c r="D21" s="30">
        <v>69161474930.157288</v>
      </c>
      <c r="E21" s="34">
        <f t="shared" si="0"/>
        <v>3.7631737687094846</v>
      </c>
      <c r="F21" s="43">
        <f t="shared" si="2"/>
        <v>4510.1578071708209</v>
      </c>
      <c r="G21" s="43">
        <f t="shared" si="3"/>
        <v>1198.4984176581092</v>
      </c>
      <c r="H21" s="27">
        <v>0.44276732283686238</v>
      </c>
      <c r="I21" s="59">
        <f>(B21/('Consumidores Inadimplentes'!B57*1000000))</f>
        <v>0.23960056931260321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15258149</v>
      </c>
      <c r="C22" s="30">
        <v>57493795</v>
      </c>
      <c r="D22" s="30">
        <v>69860960383.148071</v>
      </c>
      <c r="E22" s="34">
        <f t="shared" si="0"/>
        <v>3.7680714089238476</v>
      </c>
      <c r="F22" s="43">
        <f t="shared" si="2"/>
        <v>4578.5999588251543</v>
      </c>
      <c r="G22" s="43">
        <f t="shared" si="3"/>
        <v>1215.1043496632649</v>
      </c>
      <c r="H22" s="27">
        <v>0.44031238383945243</v>
      </c>
      <c r="I22" s="59">
        <f>(B22/('Consumidores Inadimplentes'!B58*1000000))</f>
        <v>0.24027397894909963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15114053</v>
      </c>
      <c r="C23" s="30">
        <v>57633367</v>
      </c>
      <c r="D23" s="30">
        <v>68811869204.867615</v>
      </c>
      <c r="E23" s="34">
        <f t="shared" si="0"/>
        <v>3.8132304418940439</v>
      </c>
      <c r="F23" s="43">
        <f t="shared" si="2"/>
        <v>4552.8402742049147</v>
      </c>
      <c r="G23" s="43">
        <f t="shared" si="3"/>
        <v>1193.9588607562632</v>
      </c>
      <c r="H23" s="27">
        <v>0.43590914916854528</v>
      </c>
      <c r="I23" s="59">
        <f>(B23/('Consumidores Inadimplentes'!B59*1000000))</f>
        <v>0.23971371424883678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15104006</v>
      </c>
      <c r="C24" s="30">
        <v>57488604</v>
      </c>
      <c r="D24" s="30">
        <v>68344648585.707497</v>
      </c>
      <c r="E24" s="34">
        <f t="shared" si="0"/>
        <v>3.8061825452135016</v>
      </c>
      <c r="F24" s="43">
        <f t="shared" si="2"/>
        <v>4524.9352116059472</v>
      </c>
      <c r="G24" s="43">
        <f t="shared" si="3"/>
        <v>1188.8382014930733</v>
      </c>
      <c r="H24" s="27">
        <v>0.43537469910183829</v>
      </c>
      <c r="I24" s="59">
        <f>(B24/('Consumidores Inadimplentes'!B60*1000000))</f>
        <v>0.24065031515555302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15126161</v>
      </c>
      <c r="C25" s="30">
        <v>57546407</v>
      </c>
      <c r="D25" s="30">
        <v>68334911944.337021</v>
      </c>
      <c r="E25" s="34">
        <f t="shared" si="0"/>
        <v>3.8044290947319679</v>
      </c>
      <c r="F25" s="43">
        <f t="shared" si="2"/>
        <v>4517.6639296869189</v>
      </c>
      <c r="G25" s="43">
        <f t="shared" si="3"/>
        <v>1187.4748660561384</v>
      </c>
      <c r="H25" s="27">
        <v>0.43576841624123808</v>
      </c>
      <c r="I25" s="59">
        <f>(B25/('Consumidores Inadimplentes'!B61*1000000))</f>
        <v>0.2428743252264868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15112801</v>
      </c>
      <c r="C26" s="30">
        <v>57480621</v>
      </c>
      <c r="D26" s="30">
        <v>67735561313.996384</v>
      </c>
      <c r="E26" s="34">
        <f t="shared" si="0"/>
        <v>3.8034392830290029</v>
      </c>
      <c r="F26" s="43">
        <f t="shared" si="2"/>
        <v>4481.9991551530638</v>
      </c>
      <c r="G26" s="43">
        <f t="shared" si="3"/>
        <v>1178.4069158542386</v>
      </c>
      <c r="H26" s="27">
        <v>0.4351389789661822</v>
      </c>
      <c r="I26" s="59">
        <f>(B26/('Consumidores Inadimplentes'!B62*1000000))</f>
        <v>0.24395672115589453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14834373</v>
      </c>
      <c r="C27" s="31">
        <v>56576027</v>
      </c>
      <c r="D27" s="31">
        <v>66101881094.356697</v>
      </c>
      <c r="E27" s="35">
        <f t="shared" si="0"/>
        <v>3.8138468676768476</v>
      </c>
      <c r="F27" s="46">
        <f t="shared" si="2"/>
        <v>4455.9942704930436</v>
      </c>
      <c r="G27" s="46">
        <f t="shared" si="3"/>
        <v>1168.3726235205011</v>
      </c>
      <c r="H27" s="28">
        <v>0.42688237545291802</v>
      </c>
      <c r="I27" s="59">
        <f>(B27/('Consumidores Inadimplentes'!B63*1000000))</f>
        <v>0.24175460933566204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14870693</v>
      </c>
      <c r="C28" s="29">
        <v>56632003</v>
      </c>
      <c r="D28" s="29">
        <v>66711577778.456535</v>
      </c>
      <c r="E28" s="33">
        <f t="shared" si="0"/>
        <v>3.8082961567426614</v>
      </c>
      <c r="F28" s="45">
        <f t="shared" si="2"/>
        <v>4486.1108879361936</v>
      </c>
      <c r="G28" s="45">
        <f t="shared" si="3"/>
        <v>1177.9837237693419</v>
      </c>
      <c r="H28" s="26">
        <v>0.42768718984417092</v>
      </c>
      <c r="I28" s="59">
        <f>(B28/('Consumidores Inadimplentes'!B64*1000000))</f>
        <v>0.24113588421372828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14857158</v>
      </c>
      <c r="C29" s="30">
        <v>55882398</v>
      </c>
      <c r="D29" s="30">
        <v>66675757450.266953</v>
      </c>
      <c r="E29" s="34">
        <f t="shared" si="0"/>
        <v>3.7613114163556718</v>
      </c>
      <c r="F29" s="43">
        <f t="shared" si="2"/>
        <v>4487.7867927545058</v>
      </c>
      <c r="G29" s="43">
        <f t="shared" si="3"/>
        <v>1193.1441712695821</v>
      </c>
      <c r="H29" s="27">
        <v>0.42705792041877388</v>
      </c>
      <c r="I29" s="59">
        <f>(B29/('Consumidores Inadimplentes'!B65*1000000))</f>
        <v>0.24136386859489498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15140556</v>
      </c>
      <c r="C30" s="30">
        <v>56483048</v>
      </c>
      <c r="D30" s="30">
        <v>67864956666.53688</v>
      </c>
      <c r="E30" s="34">
        <f t="shared" si="0"/>
        <v>3.7305795110826843</v>
      </c>
      <c r="F30" s="43">
        <f t="shared" si="2"/>
        <v>4482.3292266503877</v>
      </c>
      <c r="G30" s="43">
        <f t="shared" si="3"/>
        <v>1201.5101710965896</v>
      </c>
      <c r="H30" s="27">
        <v>0.43495954636936596</v>
      </c>
      <c r="I30" s="59">
        <f>(B30/('Consumidores Inadimplentes'!B66*1000000))</f>
        <v>0.24202687796808728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15167990</v>
      </c>
      <c r="C31" s="30">
        <v>56593626</v>
      </c>
      <c r="D31" s="30">
        <v>69042284570.226578</v>
      </c>
      <c r="E31" s="34">
        <f t="shared" si="0"/>
        <v>3.731122317459334</v>
      </c>
      <c r="F31" s="43">
        <f t="shared" si="2"/>
        <v>4551.841382426187</v>
      </c>
      <c r="G31" s="43">
        <f t="shared" si="3"/>
        <v>1219.9657355446102</v>
      </c>
      <c r="H31" s="27">
        <v>0.43550292969801463</v>
      </c>
      <c r="I31" s="59">
        <f>(B31/('Consumidores Inadimplentes'!B67*1000000))</f>
        <v>0.24083219135908515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15014008</v>
      </c>
      <c r="C32" s="30">
        <v>56122688</v>
      </c>
      <c r="D32" s="30">
        <v>69524406189.797546</v>
      </c>
      <c r="E32" s="34">
        <f t="shared" si="0"/>
        <v>3.7380217194502627</v>
      </c>
      <c r="F32" s="43">
        <f t="shared" si="2"/>
        <v>4630.6360160323311</v>
      </c>
      <c r="G32" s="43">
        <f t="shared" si="3"/>
        <v>1238.7932343831703</v>
      </c>
      <c r="H32" s="27">
        <v>0.43083967951559571</v>
      </c>
      <c r="I32" s="59">
        <f>(B32/('Consumidores Inadimplentes'!B68*1000000))</f>
        <v>0.23999831838220057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14897198</v>
      </c>
      <c r="C33" s="30">
        <v>55631035</v>
      </c>
      <c r="D33" s="30">
        <v>68486965023.047371</v>
      </c>
      <c r="E33" s="34">
        <f t="shared" si="0"/>
        <v>3.7343287643756899</v>
      </c>
      <c r="F33" s="43">
        <f t="shared" si="2"/>
        <v>4597.3051457762303</v>
      </c>
      <c r="G33" s="43">
        <f t="shared" si="3"/>
        <v>1231.0927708436013</v>
      </c>
      <c r="H33" s="27">
        <v>0.42724761321552773</v>
      </c>
      <c r="I33" s="59">
        <f>(B33/('Consumidores Inadimplentes'!B69*1000000))</f>
        <v>0.23831920277247121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14751076</v>
      </c>
      <c r="C34" s="30">
        <v>54723310</v>
      </c>
      <c r="D34" s="30">
        <v>68241046572.9282</v>
      </c>
      <c r="E34" s="34">
        <f>C34/B34</f>
        <v>3.7097842896341935</v>
      </c>
      <c r="F34" s="43">
        <f t="shared" si="2"/>
        <v>4626.1741565786933</v>
      </c>
      <c r="G34" s="43">
        <f t="shared" si="3"/>
        <v>1247.0197174280613</v>
      </c>
      <c r="H34" s="27">
        <v>0.42305686160651279</v>
      </c>
      <c r="I34" s="59">
        <f>(B34/('Consumidores Inadimplentes'!B70*1000000))</f>
        <v>0.23706507397128254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14780274</v>
      </c>
      <c r="C35" s="30">
        <v>54620420</v>
      </c>
      <c r="D35" s="30">
        <v>67905219326.737961</v>
      </c>
      <c r="E35" s="34">
        <f>C35/B35</f>
        <v>3.6954944137030208</v>
      </c>
      <c r="F35" s="43">
        <f t="shared" si="2"/>
        <v>4594.3139705487165</v>
      </c>
      <c r="G35" s="43">
        <f t="shared" si="3"/>
        <v>1243.2203803401358</v>
      </c>
      <c r="H35" s="27">
        <v>0.4236846448093588</v>
      </c>
      <c r="I35" s="59">
        <f>(B35/('Consumidores Inadimplentes'!B71*1000000))</f>
        <v>0.2374388692593129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14666439</v>
      </c>
      <c r="C36" s="30">
        <v>54234653</v>
      </c>
      <c r="D36" s="30">
        <v>67973282602.628311</v>
      </c>
      <c r="E36" s="34">
        <f>C36/B36</f>
        <v>3.6978746510996978</v>
      </c>
      <c r="F36" s="43">
        <f t="shared" si="2"/>
        <v>4634.613937481914</v>
      </c>
      <c r="G36" s="43">
        <f t="shared" si="3"/>
        <v>1253.318290846782</v>
      </c>
      <c r="H36" s="27">
        <v>0.42021361833580162</v>
      </c>
      <c r="I36" s="59">
        <f>(B36/('Consumidores Inadimplentes'!B72*1000000))</f>
        <v>0.23575591297063975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15022488</v>
      </c>
      <c r="C37" s="30">
        <v>55364698</v>
      </c>
      <c r="D37" s="30">
        <v>70549497432.056931</v>
      </c>
      <c r="E37" s="34">
        <f>C37/B37</f>
        <v>3.6854546330807518</v>
      </c>
      <c r="F37" s="43">
        <f t="shared" si="2"/>
        <v>4696.25919701563</v>
      </c>
      <c r="G37" s="43">
        <f t="shared" si="3"/>
        <v>1274.2686220749717</v>
      </c>
      <c r="H37" s="27">
        <v>0.43020208016080824</v>
      </c>
      <c r="I37" s="59">
        <f>(B37/('Consumidores Inadimplentes'!B73*1000000))</f>
        <v>0.23692891431364538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15130141</v>
      </c>
      <c r="C38" s="30">
        <v>55778457</v>
      </c>
      <c r="D38" s="30">
        <v>71654529352.756546</v>
      </c>
      <c r="E38" s="34">
        <f t="shared" ref="E38:E45" si="4">C38/B38</f>
        <v>3.6865787965888752</v>
      </c>
      <c r="F38" s="43">
        <f t="shared" si="2"/>
        <v>4735.8798145209976</v>
      </c>
      <c r="G38" s="43">
        <f t="shared" si="3"/>
        <v>1284.6273132431136</v>
      </c>
      <c r="H38" s="27">
        <v>0.43307070544699977</v>
      </c>
      <c r="I38" s="59">
        <f>(B38/('Consumidores Inadimplentes'!B74*1000000))</f>
        <v>0.23541650361671373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14987402</v>
      </c>
      <c r="C39" s="31">
        <v>54917517</v>
      </c>
      <c r="D39" s="31">
        <v>69281048502.776169</v>
      </c>
      <c r="E39" s="35">
        <f t="shared" si="4"/>
        <v>3.6642452774670353</v>
      </c>
      <c r="F39" s="46">
        <f t="shared" si="2"/>
        <v>4622.6189504209051</v>
      </c>
      <c r="G39" s="46">
        <f t="shared" si="3"/>
        <v>1261.5473584280253</v>
      </c>
      <c r="H39" s="28">
        <v>0.42877295777716695</v>
      </c>
      <c r="I39" s="59">
        <f>(B39/('Consumidores Inadimplentes'!B75*1000000))</f>
        <v>0.23428485103544186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15227193</v>
      </c>
      <c r="C40" s="29">
        <v>56294026</v>
      </c>
      <c r="D40" s="29">
        <v>71427634115.167236</v>
      </c>
      <c r="E40" s="33">
        <f t="shared" si="4"/>
        <v>3.6969404669659078</v>
      </c>
      <c r="F40" s="45">
        <f t="shared" si="2"/>
        <v>4690.794561753255</v>
      </c>
      <c r="G40" s="45">
        <f t="shared" si="3"/>
        <v>1268.8315118049511</v>
      </c>
      <c r="H40" s="26">
        <v>0.43541769673277303</v>
      </c>
      <c r="I40" s="59">
        <f>(B40/('Consumidores Inadimplentes'!B76*1000000))</f>
        <v>0.23492431250218113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15402923</v>
      </c>
      <c r="C41" s="30">
        <v>57012441</v>
      </c>
      <c r="D41" s="30">
        <v>72155204825.057632</v>
      </c>
      <c r="E41" s="34">
        <f t="shared" si="4"/>
        <v>3.701404012731869</v>
      </c>
      <c r="F41" s="43">
        <f t="shared" si="2"/>
        <v>4684.5137656701672</v>
      </c>
      <c r="G41" s="43">
        <f t="shared" si="3"/>
        <v>1265.6045515584508</v>
      </c>
      <c r="H41" s="27">
        <v>0.44022486420068252</v>
      </c>
      <c r="I41" s="59">
        <f>(B41/('Consumidores Inadimplentes'!B77*1000000))</f>
        <v>0.23635299747521626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15507559</v>
      </c>
      <c r="C42" s="30">
        <v>57331230</v>
      </c>
      <c r="D42" s="30">
        <v>72507604070.407944</v>
      </c>
      <c r="E42" s="34">
        <f t="shared" si="4"/>
        <v>3.6969860956195619</v>
      </c>
      <c r="F42" s="43">
        <f t="shared" si="2"/>
        <v>4675.6297409803792</v>
      </c>
      <c r="G42" s="43">
        <f t="shared" si="3"/>
        <v>1264.7139102092865</v>
      </c>
      <c r="H42" s="27">
        <v>0.44299626076298992</v>
      </c>
      <c r="I42" s="59">
        <f>(B42/('Consumidores Inadimplentes'!B78*1000000))</f>
        <v>0.23605752807007493</v>
      </c>
    </row>
    <row r="43" spans="1:16" x14ac:dyDescent="0.35">
      <c r="A43" s="5">
        <v>44652</v>
      </c>
      <c r="B43" s="30">
        <v>15599351</v>
      </c>
      <c r="C43" s="30">
        <v>57979405</v>
      </c>
      <c r="D43" s="30">
        <v>74377903805.463501</v>
      </c>
      <c r="E43" s="34">
        <f t="shared" si="4"/>
        <v>3.7167831533504181</v>
      </c>
      <c r="F43" s="43">
        <f t="shared" si="2"/>
        <v>4768.0127080583998</v>
      </c>
      <c r="G43" s="43">
        <f t="shared" si="3"/>
        <v>1282.8331681821073</v>
      </c>
      <c r="H43" s="27">
        <v>0.4453980896766418</v>
      </c>
      <c r="I43" s="59">
        <f>(B43/('Consumidores Inadimplentes'!B79*1000000))</f>
        <v>0.23587964919607809</v>
      </c>
    </row>
    <row r="44" spans="1:16" x14ac:dyDescent="0.35">
      <c r="A44" s="5">
        <v>44682</v>
      </c>
      <c r="B44" s="30">
        <v>15677116</v>
      </c>
      <c r="C44" s="30">
        <v>58482887</v>
      </c>
      <c r="D44" s="30">
        <v>75950800550.317413</v>
      </c>
      <c r="E44" s="34">
        <f t="shared" si="4"/>
        <v>3.7304620951965912</v>
      </c>
      <c r="F44" s="43">
        <f t="shared" si="2"/>
        <v>4844.6921328079361</v>
      </c>
      <c r="G44" s="43">
        <f t="shared" si="3"/>
        <v>1298.6841868855997</v>
      </c>
      <c r="H44" s="27">
        <v>0.44739712375177709</v>
      </c>
      <c r="I44" s="59">
        <f>(B44/('Consumidores Inadimplentes'!B80*1000000))</f>
        <v>0.23546348534626513</v>
      </c>
    </row>
    <row r="45" spans="1:16" x14ac:dyDescent="0.35">
      <c r="A45" s="5">
        <v>44713</v>
      </c>
      <c r="B45" s="30">
        <v>15752061</v>
      </c>
      <c r="C45" s="30">
        <v>59061979</v>
      </c>
      <c r="D45" s="30">
        <v>76576303429.449493</v>
      </c>
      <c r="E45" s="34">
        <f t="shared" si="4"/>
        <v>3.7494762748823787</v>
      </c>
      <c r="F45" s="43">
        <f t="shared" si="2"/>
        <v>4861.3513767785371</v>
      </c>
      <c r="G45" s="43">
        <f t="shared" si="3"/>
        <v>1296.5414421594221</v>
      </c>
      <c r="H45" s="27">
        <v>0.44931364127134044</v>
      </c>
      <c r="I45" s="59">
        <f>(B45/('Consumidores Inadimplentes'!B81*1000000))</f>
        <v>0.23574356700695354</v>
      </c>
    </row>
    <row r="46" spans="1:16" x14ac:dyDescent="0.35">
      <c r="A46" s="5">
        <v>44743</v>
      </c>
      <c r="B46" s="30">
        <v>16016549</v>
      </c>
      <c r="C46" s="30">
        <v>60418848</v>
      </c>
      <c r="D46" s="30">
        <v>78335407426.880127</v>
      </c>
      <c r="E46" s="34">
        <f t="shared" ref="E46" si="5">C46/B46</f>
        <v>3.7722762874824034</v>
      </c>
      <c r="F46" s="43">
        <f t="shared" ref="F46" si="6">D46/B46</f>
        <v>4890.9042407874585</v>
      </c>
      <c r="G46" s="43">
        <f t="shared" ref="G46" si="7">F46/E46</f>
        <v>1296.5392426363396</v>
      </c>
      <c r="H46" s="27">
        <v>0.45663202205899545</v>
      </c>
      <c r="I46" s="59">
        <f>(B46/('Consumidores Inadimplentes'!B82*1000000))</f>
        <v>0.2368180825581698</v>
      </c>
    </row>
    <row r="47" spans="1:16" x14ac:dyDescent="0.35">
      <c r="A47" s="5">
        <v>44774</v>
      </c>
      <c r="B47" s="30">
        <v>16072592</v>
      </c>
      <c r="C47" s="30">
        <v>61157180</v>
      </c>
      <c r="D47" s="30">
        <v>78497787245.848694</v>
      </c>
      <c r="E47" s="34">
        <f t="shared" ref="E47" si="8">C47/B47</f>
        <v>3.8050601919093077</v>
      </c>
      <c r="F47" s="43">
        <f t="shared" ref="F47" si="9">D47/B47</f>
        <v>4883.9532071646372</v>
      </c>
      <c r="G47" s="43">
        <f t="shared" ref="G47" si="10">F47/E47</f>
        <v>1283.541642139953</v>
      </c>
      <c r="H47" s="27">
        <v>0.45796743518989375</v>
      </c>
      <c r="I47" s="59">
        <f>(B47/('Consumidores Inadimplentes'!B83*1000000))</f>
        <v>0.236444259987839</v>
      </c>
    </row>
    <row r="48" spans="1:16" x14ac:dyDescent="0.35">
      <c r="A48" s="5">
        <v>44805</v>
      </c>
      <c r="B48" s="30">
        <v>16073049</v>
      </c>
      <c r="C48" s="30">
        <v>61756155</v>
      </c>
      <c r="D48" s="30">
        <v>79804210767.150085</v>
      </c>
      <c r="E48" s="34">
        <f t="shared" ref="E48" si="11">C48/B48</f>
        <v>3.8422178019864184</v>
      </c>
      <c r="F48" s="43">
        <f t="shared" ref="F48" si="12">D48/B48</f>
        <v>4965.0947226721009</v>
      </c>
      <c r="G48" s="43">
        <f t="shared" ref="G48" si="13">F48/E48</f>
        <v>1292.2470767027205</v>
      </c>
      <c r="H48" s="27">
        <v>0.45771821969257082</v>
      </c>
      <c r="I48" s="59">
        <f>(B48/('Consumidores Inadimplentes'!B84*1000000))</f>
        <v>0.23502716095907342</v>
      </c>
    </row>
    <row r="49" spans="1:16" x14ac:dyDescent="0.35">
      <c r="A49" s="5">
        <v>44835</v>
      </c>
      <c r="B49" s="30">
        <v>16206087</v>
      </c>
      <c r="C49" s="30">
        <v>62419175</v>
      </c>
      <c r="D49" s="30">
        <v>81751392840.59906</v>
      </c>
      <c r="E49" s="34">
        <f t="shared" ref="E49" si="14">C49/B49</f>
        <v>3.851588295188098</v>
      </c>
      <c r="F49" s="43">
        <f t="shared" ref="F49" si="15">D49/B49</f>
        <v>5044.486854883542</v>
      </c>
      <c r="G49" s="43">
        <f t="shared" ref="G49" si="16">F49/E49</f>
        <v>1309.7160101939678</v>
      </c>
      <c r="H49" s="27">
        <v>0.46124254305789586</v>
      </c>
      <c r="I49" s="59">
        <f>(B49/('Consumidores Inadimplentes'!B85*1000000))</f>
        <v>0.23467818590652542</v>
      </c>
    </row>
    <row r="50" spans="1:16" x14ac:dyDescent="0.35">
      <c r="A50" s="5">
        <v>44866</v>
      </c>
      <c r="B50" s="30">
        <v>16248757</v>
      </c>
      <c r="C50" s="30">
        <v>62902208</v>
      </c>
      <c r="D50" s="30">
        <v>83906531423.970367</v>
      </c>
      <c r="E50" s="34">
        <f t="shared" ref="E50:E51" si="17">C50/B50</f>
        <v>3.8712012248075345</v>
      </c>
      <c r="F50" s="43">
        <f t="shared" ref="F50:F51" si="18">D50/B50</f>
        <v>5163.8738534874001</v>
      </c>
      <c r="G50" s="43">
        <f t="shared" ref="G50:G51" si="19">F50/E50</f>
        <v>1333.9202882030845</v>
      </c>
      <c r="H50" s="27">
        <v>0.4621921770848581</v>
      </c>
      <c r="I50" s="59">
        <f>(B50/('Consumidores Inadimplentes'!B86*1000000))</f>
        <v>0.23267437439563576</v>
      </c>
    </row>
    <row r="51" spans="1:16" ht="15" thickBot="1" x14ac:dyDescent="0.4">
      <c r="A51" s="12">
        <v>44896</v>
      </c>
      <c r="B51" s="31">
        <v>16192409</v>
      </c>
      <c r="C51" s="31">
        <v>63193936</v>
      </c>
      <c r="D51" s="31">
        <v>83928506266.060608</v>
      </c>
      <c r="E51" s="35">
        <f t="shared" si="17"/>
        <v>3.9026889698747111</v>
      </c>
      <c r="F51" s="46">
        <f t="shared" si="18"/>
        <v>5183.2007372133821</v>
      </c>
      <c r="G51" s="46">
        <f t="shared" si="19"/>
        <v>1328.1101254091943</v>
      </c>
      <c r="H51" s="28">
        <v>0.4603256477209865</v>
      </c>
      <c r="I51" s="59">
        <f>(B51/('Consumidores Inadimplentes'!B87*1000000))</f>
        <v>0.2332214968097914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16326454</v>
      </c>
      <c r="C52" s="29">
        <v>64441556</v>
      </c>
      <c r="D52" s="29">
        <v>86932844012.990509</v>
      </c>
      <c r="E52" s="33">
        <f t="shared" ref="E52" si="20">C52/B52</f>
        <v>3.9470638265970064</v>
      </c>
      <c r="F52" s="45">
        <f t="shared" ref="F52" si="21">D52/B52</f>
        <v>5324.6616817706108</v>
      </c>
      <c r="G52" s="45">
        <f t="shared" ref="G52" si="22">F52/E52</f>
        <v>1349.018388274028</v>
      </c>
      <c r="H52" s="26">
        <v>0.46387058353558092</v>
      </c>
      <c r="I52" s="59">
        <f>(B52/('Consumidores Inadimplentes'!B88*1000000))</f>
        <v>0.23292567527842339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16308833</v>
      </c>
      <c r="C53" s="30">
        <v>64939749</v>
      </c>
      <c r="D53" s="30">
        <v>87143413626.702438</v>
      </c>
      <c r="E53" s="34">
        <f t="shared" ref="E53" si="23">C53/B53</f>
        <v>3.9818758951054316</v>
      </c>
      <c r="F53" s="43">
        <f t="shared" ref="F53" si="24">D53/B53</f>
        <v>5343.3261366219422</v>
      </c>
      <c r="G53" s="43">
        <f t="shared" ref="G53" si="25">F53/E53</f>
        <v>1341.911771582339</v>
      </c>
      <c r="H53" s="27">
        <v>0.46310461767935668</v>
      </c>
      <c r="I53" s="59">
        <f>(B53/('Consumidores Inadimplentes'!B89*1000000))</f>
        <v>0.23124258723020807</v>
      </c>
    </row>
    <row r="54" spans="1:16" x14ac:dyDescent="0.35">
      <c r="A54" s="5">
        <v>44986</v>
      </c>
      <c r="B54" s="30">
        <v>16357184</v>
      </c>
      <c r="C54" s="30">
        <v>66294252</v>
      </c>
      <c r="D54" s="30">
        <v>89382850109.59201</v>
      </c>
      <c r="E54" s="34">
        <f t="shared" ref="E54" si="26">C54/B54</f>
        <v>4.0529135088289037</v>
      </c>
      <c r="F54" s="43">
        <f t="shared" ref="F54" si="27">D54/B54</f>
        <v>5464.4399738727652</v>
      </c>
      <c r="G54" s="43">
        <f t="shared" ref="G54" si="28">F54/E54</f>
        <v>1348.2745096753185</v>
      </c>
      <c r="H54" s="27">
        <v>0.46421163521441416</v>
      </c>
      <c r="I54" s="59">
        <f>(B54/('Consumidores Inadimplentes'!B90*1000000))</f>
        <v>0.23133624902073541</v>
      </c>
    </row>
    <row r="55" spans="1:16" x14ac:dyDescent="0.35">
      <c r="A55" s="5">
        <v>45017</v>
      </c>
      <c r="B55" s="30">
        <v>16636740</v>
      </c>
      <c r="C55" s="30">
        <v>67598117</v>
      </c>
      <c r="D55" s="30">
        <v>90921482283.790298</v>
      </c>
      <c r="E55" s="34">
        <f t="shared" ref="E55" si="29">C55/B55</f>
        <v>4.0631828711634608</v>
      </c>
      <c r="F55" s="43">
        <f t="shared" ref="F55" si="30">D55/B55</f>
        <v>5465.1020743120525</v>
      </c>
      <c r="G55" s="43">
        <f t="shared" ref="G55" si="31">F55/E55</f>
        <v>1345.0298073212646</v>
      </c>
      <c r="H55" s="27">
        <v>0.47187500735676463</v>
      </c>
      <c r="I55" s="59">
        <f>(B55/('Consumidores Inadimplentes'!B91*1000000))</f>
        <v>0.23287848180957849</v>
      </c>
    </row>
    <row r="56" spans="1:16" x14ac:dyDescent="0.35">
      <c r="A56" s="5">
        <v>45047</v>
      </c>
      <c r="B56" s="30">
        <v>16751532</v>
      </c>
      <c r="C56" s="30">
        <v>68341816</v>
      </c>
      <c r="D56" s="30">
        <v>92417167051.442398</v>
      </c>
      <c r="E56" s="34">
        <f t="shared" ref="E56" si="32">C56/B56</f>
        <v>4.0797352743617719</v>
      </c>
      <c r="F56" s="43">
        <f t="shared" ref="F56" si="33">D56/B56</f>
        <v>5516.9382150505635</v>
      </c>
      <c r="G56" s="43">
        <f t="shared" ref="G56" si="34">F56/E56</f>
        <v>1352.2784798613252</v>
      </c>
      <c r="H56" s="27">
        <v>0.47485884942273499</v>
      </c>
      <c r="I56" s="59">
        <f>(B56/('Consumidores Inadimplentes'!B92*1000000))</f>
        <v>0.23297217465156878</v>
      </c>
    </row>
    <row r="57" spans="1:16" x14ac:dyDescent="0.35">
      <c r="A57" s="5">
        <v>45078</v>
      </c>
      <c r="B57" s="30">
        <v>16630061</v>
      </c>
      <c r="C57" s="30">
        <v>68400579</v>
      </c>
      <c r="D57" s="30">
        <v>92322216480.512512</v>
      </c>
      <c r="E57" s="34">
        <f t="shared" ref="E57" si="35">C57/B57</f>
        <v>4.1130684367303285</v>
      </c>
      <c r="F57" s="43">
        <f t="shared" ref="F57" si="36">D57/B57</f>
        <v>5551.5260275060036</v>
      </c>
      <c r="G57" s="43">
        <f t="shared" ref="G57" si="37">F57/E57</f>
        <v>1349.72858169099</v>
      </c>
      <c r="H57" s="27">
        <v>0.47114555689696347</v>
      </c>
      <c r="I57" s="59">
        <f>(B57/('Consumidores Inadimplentes'!B93*1000000))</f>
        <v>0.23273951712451341</v>
      </c>
    </row>
    <row r="58" spans="1:16" x14ac:dyDescent="0.35">
      <c r="A58" s="5">
        <v>45108</v>
      </c>
      <c r="B58" s="30">
        <v>16722846</v>
      </c>
      <c r="C58" s="30">
        <v>70944209</v>
      </c>
      <c r="D58" s="30">
        <v>93977875822.145325</v>
      </c>
      <c r="E58" s="34">
        <f t="shared" ref="E58" si="38">C58/B58</f>
        <v>4.2423525875918493</v>
      </c>
      <c r="F58" s="43">
        <f t="shared" ref="F58" si="39">D58/B58</f>
        <v>5619.7297889453339</v>
      </c>
      <c r="G58" s="43">
        <f t="shared" ref="G58" si="40">F58/E58</f>
        <v>1324.6729669245492</v>
      </c>
      <c r="H58" s="27">
        <v>0.47350297088121035</v>
      </c>
      <c r="I58" s="59">
        <f>(B58/('Consumidores Inadimplentes'!B94*1000000))</f>
        <v>0.23415109239988513</v>
      </c>
    </row>
    <row r="59" spans="1:16" x14ac:dyDescent="0.35">
      <c r="A59" s="5">
        <v>45139</v>
      </c>
      <c r="B59" s="30">
        <v>16914038</v>
      </c>
      <c r="C59" s="30">
        <v>73351527</v>
      </c>
      <c r="D59" s="30">
        <v>95283023112.805435</v>
      </c>
      <c r="E59" s="34">
        <f t="shared" ref="E59" si="41">C59/B59</f>
        <v>4.3367247371680255</v>
      </c>
      <c r="F59" s="43">
        <f t="shared" ref="F59" si="42">D59/B59</f>
        <v>5633.3693416560509</v>
      </c>
      <c r="G59" s="43">
        <f t="shared" ref="G59" si="43">F59/E59</f>
        <v>1298.991677607549</v>
      </c>
      <c r="H59" s="27">
        <v>0.4786340357499827</v>
      </c>
      <c r="I59" s="59">
        <f>(B59/('Consumidores Inadimplentes'!B95*1000000))</f>
        <v>0.235771643980655</v>
      </c>
    </row>
    <row r="60" spans="1:16" x14ac:dyDescent="0.35">
      <c r="A60" s="5">
        <v>45170</v>
      </c>
      <c r="B60" s="30">
        <v>16933746</v>
      </c>
      <c r="C60" s="30">
        <v>73613359</v>
      </c>
      <c r="D60" s="30">
        <v>97459360765.456177</v>
      </c>
      <c r="E60" s="34">
        <f t="shared" ref="E60" si="44">C60/B60</f>
        <v>4.3471396701001659</v>
      </c>
      <c r="F60" s="43">
        <f t="shared" ref="F60" si="45">D60/B60</f>
        <v>5755.3338030141813</v>
      </c>
      <c r="G60" s="43">
        <f t="shared" ref="G60" si="46">F60/E60</f>
        <v>1323.9357922174993</v>
      </c>
      <c r="H60" s="27">
        <v>0.47890908902709606</v>
      </c>
      <c r="I60" s="59">
        <f>(B60/('Consumidores Inadimplentes'!B96*1000000))</f>
        <v>0.23577331277013167</v>
      </c>
    </row>
    <row r="61" spans="1:16" x14ac:dyDescent="0.35">
      <c r="A61" s="5">
        <v>45200</v>
      </c>
      <c r="B61" s="30">
        <v>16977663</v>
      </c>
      <c r="C61" s="30">
        <v>73980006</v>
      </c>
      <c r="D61" s="30">
        <v>99521372063.054306</v>
      </c>
      <c r="E61" s="34">
        <f t="shared" ref="E61" si="47">C61/B61</f>
        <v>4.3574905450767867</v>
      </c>
      <c r="F61" s="43">
        <f t="shared" ref="F61" si="48">D61/B61</f>
        <v>5861.9005491541629</v>
      </c>
      <c r="G61" s="43">
        <f t="shared" ref="G61" si="49">F61/E61</f>
        <v>1345.2468774205604</v>
      </c>
      <c r="H61" s="27">
        <v>0.47986791470979812</v>
      </c>
      <c r="I61" s="59">
        <f>(B61/('Consumidores Inadimplentes'!B97*1000000))</f>
        <v>0.23595649486270903</v>
      </c>
    </row>
    <row r="62" spans="1:16" x14ac:dyDescent="0.35">
      <c r="A62" s="5">
        <v>45231</v>
      </c>
      <c r="B62" s="30">
        <v>16927445</v>
      </c>
      <c r="C62" s="30">
        <v>73293826</v>
      </c>
      <c r="D62" s="30">
        <v>99830683999.155441</v>
      </c>
      <c r="E62" s="34">
        <f t="shared" ref="E62:E63" si="50">C62/B62</f>
        <v>4.3298812077073654</v>
      </c>
      <c r="F62" s="43">
        <f t="shared" ref="F62:F63" si="51">D62/B62</f>
        <v>5897.5636310828622</v>
      </c>
      <c r="G62" s="43">
        <f t="shared" ref="G62:G63" si="52">F62/E62</f>
        <v>1362.06130103176</v>
      </c>
      <c r="H62" s="27">
        <v>0.47816630880228861</v>
      </c>
      <c r="I62" s="59">
        <f>(B62/('Consumidores Inadimplentes'!B98*1000000))</f>
        <v>0.2357290013552634</v>
      </c>
    </row>
    <row r="63" spans="1:16" ht="15" thickBot="1" x14ac:dyDescent="0.4">
      <c r="A63" s="12">
        <v>45261</v>
      </c>
      <c r="B63" s="31">
        <v>16826361</v>
      </c>
      <c r="C63" s="31">
        <v>73262192</v>
      </c>
      <c r="D63" s="31">
        <v>98726821169.22525</v>
      </c>
      <c r="E63" s="35">
        <f t="shared" si="50"/>
        <v>4.3540128492429231</v>
      </c>
      <c r="F63" s="46">
        <f t="shared" si="51"/>
        <v>5867.3899347116858</v>
      </c>
      <c r="G63" s="46">
        <f t="shared" si="52"/>
        <v>1347.5821358064916</v>
      </c>
      <c r="H63" s="28">
        <v>0.47503053288807257</v>
      </c>
      <c r="I63" s="59">
        <f>(B63/('Consumidores Inadimplentes'!B99*1000000))</f>
        <v>0.23664956134627113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16959494</v>
      </c>
      <c r="C64" s="29">
        <v>73901258</v>
      </c>
      <c r="D64" s="29">
        <v>100990496537.59454</v>
      </c>
      <c r="E64" s="33">
        <f t="shared" ref="E64" si="53">C64/B64</f>
        <v>4.3575155013469153</v>
      </c>
      <c r="F64" s="45">
        <f t="shared" ref="F64" si="54">D64/B64</f>
        <v>5954.8059946596604</v>
      </c>
      <c r="G64" s="45">
        <f t="shared" ref="G64" si="55">F64/E64</f>
        <v>1366.5599107608498</v>
      </c>
      <c r="H64" s="26">
        <v>0.47850665129982478</v>
      </c>
      <c r="I64" s="59">
        <f>(B64/('Consumidores Inadimplentes'!B100*1000000))</f>
        <v>0.23532034548277464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16833037</v>
      </c>
      <c r="C65" s="30">
        <v>73857448</v>
      </c>
      <c r="D65" s="30">
        <v>100634529468.16382</v>
      </c>
      <c r="E65" s="34">
        <f t="shared" ref="E65" si="56">C65/B65</f>
        <v>4.3876484083056431</v>
      </c>
      <c r="F65" s="43">
        <f t="shared" ref="F65" si="57">D65/B65</f>
        <v>5978.3941227102287</v>
      </c>
      <c r="G65" s="43">
        <f t="shared" ref="G65" si="58">F65/E65</f>
        <v>1362.5508624149027</v>
      </c>
      <c r="H65" s="27">
        <v>0.47465856691269642</v>
      </c>
      <c r="I65" s="59">
        <f>(B65/('Consumidores Inadimplentes'!B101*1000000))</f>
        <v>0.23366475861919908</v>
      </c>
    </row>
    <row r="66" spans="1:16" x14ac:dyDescent="0.35">
      <c r="A66" s="5">
        <v>45352</v>
      </c>
      <c r="B66" s="30">
        <v>17006071</v>
      </c>
      <c r="C66" s="30">
        <v>74493270</v>
      </c>
      <c r="D66" s="30">
        <v>101613742519.72334</v>
      </c>
      <c r="E66" s="34">
        <f t="shared" ref="E66" si="59">C66/B66</f>
        <v>4.3803927432738581</v>
      </c>
      <c r="F66" s="43">
        <f t="shared" ref="F66" si="60">D66/B66</f>
        <v>5975.1451419744953</v>
      </c>
      <c r="G66" s="43">
        <f t="shared" ref="G66" si="61">F66/E66</f>
        <v>1364.0660763008973</v>
      </c>
      <c r="H66" s="27">
        <v>0.47925493669132407</v>
      </c>
      <c r="I66" s="59">
        <f>(B66/('Consumidores Inadimplentes'!B102*1000000))</f>
        <v>0.2332960115232329</v>
      </c>
    </row>
    <row r="67" spans="1:16" x14ac:dyDescent="0.35">
      <c r="A67" s="5">
        <v>45383</v>
      </c>
      <c r="B67" s="30">
        <v>16986807</v>
      </c>
      <c r="C67" s="30">
        <v>72744235</v>
      </c>
      <c r="D67" s="30">
        <v>102807803033.3047</v>
      </c>
      <c r="E67" s="34">
        <f t="shared" ref="E67" si="62">C67/B67</f>
        <v>4.2823960382901864</v>
      </c>
      <c r="F67" s="43">
        <f t="shared" ref="F67" si="63">D67/B67</f>
        <v>6052.2147001084259</v>
      </c>
      <c r="G67" s="43">
        <f t="shared" ref="G67" si="64">F67/E67</f>
        <v>1413.2776711900908</v>
      </c>
      <c r="H67" s="27">
        <v>0.47842969293404236</v>
      </c>
      <c r="I67" s="59">
        <f>(B67/('Consumidores Inadimplentes'!B103*1000000))</f>
        <v>0.23136552676319505</v>
      </c>
    </row>
    <row r="68" spans="1:16" x14ac:dyDescent="0.35">
      <c r="A68" s="5">
        <v>45413</v>
      </c>
      <c r="B68" s="30">
        <v>16878698</v>
      </c>
      <c r="C68" s="30">
        <v>72711343</v>
      </c>
      <c r="D68" s="30">
        <v>103702848617.26306</v>
      </c>
      <c r="E68" s="34">
        <f t="shared" ref="E68" si="65">C68/B68</f>
        <v>4.3078762947236804</v>
      </c>
      <c r="F68" s="43">
        <f t="shared" ref="F68" si="66">D68/B68</f>
        <v>6144.0075897597708</v>
      </c>
      <c r="G68" s="43">
        <f t="shared" ref="G68" si="67">F68/E68</f>
        <v>1426.226560239206</v>
      </c>
      <c r="H68" s="27">
        <v>0.47510442336916059</v>
      </c>
      <c r="I68" s="59">
        <f>(B68/('Consumidores Inadimplentes'!B104*1000000))</f>
        <v>0.23269615852010811</v>
      </c>
    </row>
    <row r="69" spans="1:16" x14ac:dyDescent="0.35">
      <c r="A69" s="5">
        <v>45444</v>
      </c>
      <c r="B69" s="30">
        <v>16969948</v>
      </c>
      <c r="C69" s="30">
        <v>73506870</v>
      </c>
      <c r="D69" s="30">
        <v>105083665539.94</v>
      </c>
      <c r="E69" s="34">
        <f t="shared" ref="E69" si="68">C69/B69</f>
        <v>4.3315907626823602</v>
      </c>
      <c r="F69" s="43">
        <f t="shared" ref="F69" si="69">D69/B69</f>
        <v>6192.3386883648673</v>
      </c>
      <c r="G69" s="43">
        <f t="shared" ref="G69" si="70">F69/E69</f>
        <v>1429.5761136331885</v>
      </c>
      <c r="H69" s="27">
        <v>0.47739119568659838</v>
      </c>
      <c r="I69" s="59">
        <f>(B69/('Consumidores Inadimplentes'!B105*1000000))</f>
        <v>0.23406459363972412</v>
      </c>
    </row>
    <row r="70" spans="1:16" x14ac:dyDescent="0.35">
      <c r="A70" s="5">
        <v>45474</v>
      </c>
      <c r="B70" s="30">
        <v>16916950</v>
      </c>
      <c r="C70" s="30">
        <v>72844933</v>
      </c>
      <c r="D70" s="30">
        <v>102638223480.83</v>
      </c>
      <c r="E70" s="34">
        <f t="shared" ref="E70" si="71">C70/B70</f>
        <v>4.30603229305519</v>
      </c>
      <c r="F70" s="43">
        <f t="shared" ref="F70" si="72">D70/B70</f>
        <v>6067.182528814591</v>
      </c>
      <c r="G70" s="43">
        <f t="shared" ref="G70" si="73">F70/E70</f>
        <v>1408.9960585292872</v>
      </c>
      <c r="H70" s="27">
        <v>0.47561959496670009</v>
      </c>
      <c r="I70" s="59">
        <f>(B70/('Consumidores Inadimplentes'!B106*1000000))</f>
        <v>0.23281013995540525</v>
      </c>
    </row>
    <row r="71" spans="1:16" x14ac:dyDescent="0.35">
      <c r="A71" s="5">
        <v>45505</v>
      </c>
      <c r="B71" s="30">
        <v>16858720</v>
      </c>
      <c r="C71" s="30">
        <v>73185096</v>
      </c>
      <c r="D71" s="30">
        <v>103083130488.71657</v>
      </c>
      <c r="E71" s="34">
        <f t="shared" ref="E71" si="74">C71/B71</f>
        <v>4.3410825970180413</v>
      </c>
      <c r="F71" s="43">
        <f t="shared" ref="F71" si="75">D71/B71</f>
        <v>6114.5288900175437</v>
      </c>
      <c r="G71" s="43">
        <f t="shared" ref="G71" si="76">F71/E71</f>
        <v>1408.5262727361398</v>
      </c>
      <c r="H71" s="27">
        <v>0.47372190676922726</v>
      </c>
      <c r="I71" s="59">
        <f>(B71/('Consumidores Inadimplentes'!B107*1000000))</f>
        <v>0.23265427902472091</v>
      </c>
    </row>
    <row r="72" spans="1:16" x14ac:dyDescent="0.35">
      <c r="A72" s="5">
        <v>45536</v>
      </c>
      <c r="B72" s="30">
        <v>16914896</v>
      </c>
      <c r="C72" s="30">
        <v>73620081</v>
      </c>
      <c r="D72" s="30">
        <v>104053035297.37755</v>
      </c>
      <c r="E72" s="34">
        <f t="shared" ref="E72:E73" si="77">C72/B72</f>
        <v>4.3523815340041105</v>
      </c>
      <c r="F72" s="43">
        <f t="shared" ref="F72:F73" si="78">D72/B72</f>
        <v>6151.5622264173271</v>
      </c>
      <c r="G72" s="43">
        <f t="shared" ref="G72:G73" si="79">F72/E72</f>
        <v>1413.3784408275446</v>
      </c>
      <c r="H72" s="27">
        <v>0.47503914428059607</v>
      </c>
      <c r="I72" s="59">
        <f>(B72/('Consumidores Inadimplentes'!B108*1000000))</f>
        <v>0.23285307716097725</v>
      </c>
    </row>
    <row r="73" spans="1:16" x14ac:dyDescent="0.35">
      <c r="A73" s="5">
        <v>45566</v>
      </c>
      <c r="B73" s="30">
        <v>17024577</v>
      </c>
      <c r="C73" s="30">
        <v>74318846</v>
      </c>
      <c r="D73" s="30">
        <v>106032622347.02786</v>
      </c>
      <c r="E73" s="34">
        <f t="shared" si="77"/>
        <v>4.3653857596579346</v>
      </c>
      <c r="F73" s="43">
        <f t="shared" si="78"/>
        <v>6228.2089209633732</v>
      </c>
      <c r="G73" s="43">
        <f t="shared" si="79"/>
        <v>1426.7258986640866</v>
      </c>
      <c r="H73" s="27">
        <v>0.47785659948851095</v>
      </c>
      <c r="I73" s="59">
        <f>(B73/('Consumidores Inadimplentes'!B109*1000000))</f>
        <v>0.23288163888181754</v>
      </c>
    </row>
    <row r="74" spans="1:16" x14ac:dyDescent="0.35">
      <c r="A74" s="5">
        <v>45597</v>
      </c>
      <c r="B74" s="30">
        <v>17217921</v>
      </c>
      <c r="C74" s="30">
        <v>71632669</v>
      </c>
      <c r="D74" s="30">
        <v>108447130767.96924</v>
      </c>
      <c r="E74" s="34">
        <f t="shared" ref="E74:E75" si="80">C74/B74</f>
        <v>4.1603553065436882</v>
      </c>
      <c r="F74" s="43">
        <f t="shared" ref="F74:F75" si="81">D74/B74</f>
        <v>6298.5032146430012</v>
      </c>
      <c r="G74" s="43">
        <f t="shared" ref="G74:G75" si="82">F74/E74</f>
        <v>1513.9339673071406</v>
      </c>
      <c r="H74" s="27">
        <v>0.48301783906006285</v>
      </c>
      <c r="I74" s="59">
        <f>(B74/('Consumidores Inadimplentes'!B110*1000000))</f>
        <v>0.23334059369502638</v>
      </c>
    </row>
    <row r="75" spans="1:16" ht="15" thickBot="1" x14ac:dyDescent="0.4">
      <c r="A75" s="12">
        <v>45627</v>
      </c>
      <c r="B75" s="31">
        <v>17361517</v>
      </c>
      <c r="C75" s="31">
        <v>76046176</v>
      </c>
      <c r="D75" s="31">
        <v>107319352773.58786</v>
      </c>
      <c r="E75" s="35">
        <f t="shared" si="80"/>
        <v>4.3801573330256796</v>
      </c>
      <c r="F75" s="46">
        <f t="shared" si="81"/>
        <v>6181.4502023980885</v>
      </c>
      <c r="G75" s="46">
        <f t="shared" si="82"/>
        <v>1411.2393077278186</v>
      </c>
      <c r="H75" s="28">
        <v>0.48677843330424225</v>
      </c>
      <c r="I75" s="59">
        <f>(B75/('Consumidores Inadimplentes'!B111*1000000))</f>
        <v>0.2361717472619394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17477014</v>
      </c>
      <c r="C76" s="29">
        <v>77294458</v>
      </c>
      <c r="D76" s="29">
        <v>111547027151.04604</v>
      </c>
      <c r="E76" s="33">
        <f t="shared" ref="E76:E77" si="83">C76/B76</f>
        <v>4.422635239635329</v>
      </c>
      <c r="F76" s="45">
        <f t="shared" ref="F76:F77" si="84">D76/B76</f>
        <v>6382.499158668983</v>
      </c>
      <c r="G76" s="45">
        <f t="shared" ref="G76:G77" si="85">F76/E76</f>
        <v>1443.1439205000447</v>
      </c>
      <c r="H76" s="26">
        <v>0.48974734359146344</v>
      </c>
      <c r="I76" s="59">
        <f>(B76/('Consumidores Inadimplentes'!B112*1000000))</f>
        <v>0.23426717621244661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17604493</v>
      </c>
      <c r="C77" s="30">
        <v>78679262</v>
      </c>
      <c r="D77" s="30">
        <v>117067334749.58037</v>
      </c>
      <c r="E77" s="34">
        <f t="shared" si="83"/>
        <v>4.4692716796785907</v>
      </c>
      <c r="F77" s="43">
        <f t="shared" si="84"/>
        <v>6649.8555084534592</v>
      </c>
      <c r="G77" s="43">
        <f t="shared" si="85"/>
        <v>1487.9058569408082</v>
      </c>
      <c r="H77" s="27">
        <v>0.49304841922528031</v>
      </c>
      <c r="I77" s="59">
        <f>(B77/('Consumidores Inadimplentes'!B113*1000000))</f>
        <v>0.23471597355996737</v>
      </c>
    </row>
    <row r="78" spans="1:16" x14ac:dyDescent="0.35">
      <c r="A78" s="5">
        <v>45717</v>
      </c>
      <c r="B78" s="30">
        <v>17764457</v>
      </c>
      <c r="C78" s="30">
        <v>79327514</v>
      </c>
      <c r="D78" s="30">
        <v>118149480749.56845</v>
      </c>
      <c r="E78" s="34">
        <f t="shared" ref="E78" si="86">C78/B78</f>
        <v>4.4655186477132398</v>
      </c>
      <c r="F78" s="43">
        <f t="shared" ref="F78" si="87">D78/B78</f>
        <v>6650.8917637937629</v>
      </c>
      <c r="G78" s="43">
        <f t="shared" ref="G78" si="88">F78/E78</f>
        <v>1489.3884201333785</v>
      </c>
      <c r="H78" s="27">
        <v>0.49725503471766386</v>
      </c>
      <c r="I78" s="59">
        <f>(B78/('Consumidores Inadimplentes'!B114*1000000))</f>
        <v>0.23445383342810977</v>
      </c>
    </row>
    <row r="79" spans="1:16" x14ac:dyDescent="0.35">
      <c r="A79" s="5">
        <v>45748</v>
      </c>
      <c r="B79" s="30">
        <v>17977980</v>
      </c>
      <c r="C79" s="30">
        <v>81343760</v>
      </c>
      <c r="D79" s="30">
        <v>122939275758</v>
      </c>
      <c r="E79" s="34">
        <f t="shared" ref="E79" si="89">C79/B79</f>
        <v>4.5246329120401736</v>
      </c>
      <c r="F79" s="43">
        <f t="shared" ref="F79" si="90">D79/B79</f>
        <v>6838.3253156361279</v>
      </c>
      <c r="G79" s="43">
        <f t="shared" ref="G79" si="91">F79/E79</f>
        <v>1511.3547217143637</v>
      </c>
      <c r="H79" s="27">
        <v>0.50295525005377717</v>
      </c>
      <c r="I79" s="59">
        <f>(B79/('Consumidores Inadimplentes'!B115*1000000))</f>
        <v>0.23458147964762008</v>
      </c>
    </row>
    <row r="80" spans="1:16" x14ac:dyDescent="0.35">
      <c r="A80" s="5">
        <v>45778</v>
      </c>
      <c r="B80" s="30">
        <v>18167180</v>
      </c>
      <c r="C80" s="30">
        <v>82681182</v>
      </c>
      <c r="D80" s="30">
        <v>125128468758</v>
      </c>
      <c r="E80" s="34">
        <f t="shared" ref="E80" si="92">C80/B80</f>
        <v>4.5511291240577787</v>
      </c>
      <c r="F80" s="43">
        <f t="shared" ref="F80" si="93">D80/B80</f>
        <v>6887.6109973039293</v>
      </c>
      <c r="G80" s="43">
        <f t="shared" ref="G80" si="94">F80/E80</f>
        <v>1513.3850984133246</v>
      </c>
      <c r="H80" s="27">
        <v>0.50796895489589622</v>
      </c>
      <c r="I80" s="59">
        <f>(B80/('Consumidores Inadimplentes'!B116*1000000))</f>
        <v>0.23571613555483242</v>
      </c>
    </row>
    <row r="81" spans="1:16" x14ac:dyDescent="0.35">
      <c r="A81" s="5">
        <v>45809</v>
      </c>
      <c r="B81" s="30">
        <v>18386598</v>
      </c>
      <c r="C81" s="30">
        <v>85105934</v>
      </c>
      <c r="D81" s="30">
        <v>128671337133</v>
      </c>
      <c r="E81" s="34">
        <f t="shared" ref="E81" si="95">C81/B81</f>
        <v>4.6286938997632951</v>
      </c>
      <c r="F81" s="43">
        <f t="shared" ref="F81" si="96">D81/B81</f>
        <v>6998.1046593284955</v>
      </c>
      <c r="G81" s="43">
        <f t="shared" ref="G81" si="97">F81/E81</f>
        <v>1511.896187321086</v>
      </c>
      <c r="H81" s="27">
        <v>0.51382144801945406</v>
      </c>
      <c r="I81" s="59">
        <f>(B81/('Consumidores Inadimplentes'!B117*1000000))</f>
        <v>0.23610520293016213</v>
      </c>
    </row>
    <row r="82" spans="1:16" x14ac:dyDescent="0.35">
      <c r="A82" s="5">
        <v>45839</v>
      </c>
      <c r="B82" s="30">
        <v>18453196</v>
      </c>
      <c r="C82" s="30">
        <v>86306926</v>
      </c>
      <c r="D82" s="30">
        <v>130216940522</v>
      </c>
      <c r="E82" s="34">
        <f t="shared" ref="E82" si="98">C82/B82</f>
        <v>4.6770719825443789</v>
      </c>
      <c r="F82" s="43">
        <f t="shared" ref="F82" si="99">D82/B82</f>
        <v>7056.6063744188268</v>
      </c>
      <c r="G82" s="43">
        <f t="shared" ref="G82" si="100">F82/E82</f>
        <v>1508.7658263022829</v>
      </c>
      <c r="H82" s="27">
        <v>0.51539907714576128</v>
      </c>
      <c r="I82" s="59">
        <f>(B82/('Consumidores Inadimplentes'!B118*1000000))</f>
        <v>0.23609155874491924</v>
      </c>
    </row>
    <row r="83" spans="1:16" x14ac:dyDescent="0.35">
      <c r="A83" s="5">
        <v>45870</v>
      </c>
      <c r="B83" s="30">
        <v>18586488</v>
      </c>
      <c r="C83" s="30">
        <v>88500983</v>
      </c>
      <c r="D83" s="30">
        <v>133401598676</v>
      </c>
      <c r="E83" s="34">
        <f t="shared" ref="E83" si="101">C83/B83</f>
        <v>4.7615764204620046</v>
      </c>
      <c r="F83" s="43">
        <f t="shared" ref="F83" si="102">D83/B83</f>
        <v>7177.3429534401548</v>
      </c>
      <c r="G83" s="43">
        <f t="shared" ref="G83" si="103">F83/E83</f>
        <v>1507.3459542929595</v>
      </c>
      <c r="H83" s="27">
        <v>0.51884472676965554</v>
      </c>
      <c r="I83" s="59">
        <f>(B83/('Consumidores Inadimplentes'!B119*1000000))</f>
        <v>0.23572302766700076</v>
      </c>
    </row>
    <row r="84" spans="1:16" x14ac:dyDescent="0.35">
      <c r="A84" s="5">
        <v>45901</v>
      </c>
      <c r="B84" s="30">
        <v>18641968</v>
      </c>
      <c r="C84" s="30">
        <v>88384026</v>
      </c>
      <c r="D84" s="30">
        <v>133764738723</v>
      </c>
      <c r="E84" s="34">
        <f>IFERROR(C84/B84,"")</f>
        <v>4.7411317302980027</v>
      </c>
      <c r="F84" s="43">
        <f>IFERROR(D84/B84,"")</f>
        <v>7175.4623075739646</v>
      </c>
      <c r="G84" s="43">
        <f>IFERROR(F84/E84,"")</f>
        <v>1513.4492597451942</v>
      </c>
      <c r="H84" s="27">
        <v>0.52011557846203327</v>
      </c>
      <c r="I84" s="59">
        <f>(B84/('Consumidores Inadimplentes'!B120*1000000))</f>
        <v>0.23547664181892464</v>
      </c>
    </row>
    <row r="85" spans="1:16" x14ac:dyDescent="0.35">
      <c r="A85" s="5">
        <v>45931</v>
      </c>
      <c r="B85" s="30">
        <v>18876552</v>
      </c>
      <c r="C85" s="30">
        <v>90753312</v>
      </c>
      <c r="D85" s="30">
        <v>137338604409</v>
      </c>
      <c r="E85" s="34">
        <f t="shared" ref="E85:E87" si="104">IFERROR(C85/B85,"")</f>
        <v>4.8077271739033698</v>
      </c>
      <c r="F85" s="43">
        <f t="shared" ref="F85:F87" si="105">IFERROR(D85/B85,"")</f>
        <v>7275.6192131380776</v>
      </c>
      <c r="G85" s="43">
        <f t="shared" ref="G85:G87" si="106">IFERROR(F85/E85,"")</f>
        <v>1513.317821491738</v>
      </c>
      <c r="H85" s="27">
        <v>0.5263792917577983</v>
      </c>
      <c r="I85" s="59">
        <f>(B85/('Consumidores Inadimplentes'!B121*1000000))</f>
        <v>0.23467635327689165</v>
      </c>
    </row>
    <row r="86" spans="1:16" x14ac:dyDescent="0.35">
      <c r="A86" s="5">
        <v>45962</v>
      </c>
      <c r="B86" s="30">
        <v>19309886</v>
      </c>
      <c r="C86" s="30">
        <v>92334325</v>
      </c>
      <c r="D86" s="30">
        <v>138821043751</v>
      </c>
      <c r="E86" s="34">
        <f t="shared" si="104"/>
        <v>4.7817125901209359</v>
      </c>
      <c r="F86" s="43">
        <f t="shared" si="105"/>
        <v>7189.1177271062088</v>
      </c>
      <c r="G86" s="43">
        <f t="shared" si="106"/>
        <v>1503.4608608553754</v>
      </c>
      <c r="H86" s="27">
        <v>0.53817542459671863</v>
      </c>
      <c r="I86" s="59">
        <f>(B86/('Consumidores Inadimplentes'!B122*1000000))</f>
        <v>0.23954742711022495</v>
      </c>
    </row>
    <row r="87" spans="1:16" ht="15" thickBot="1" x14ac:dyDescent="0.4">
      <c r="A87" s="12">
        <v>45992</v>
      </c>
      <c r="B87" s="31">
        <v>19468780</v>
      </c>
      <c r="C87" s="31">
        <v>92923845</v>
      </c>
      <c r="D87" s="31">
        <v>140428878553</v>
      </c>
      <c r="E87" s="35">
        <f t="shared" si="104"/>
        <v>4.7729670272097175</v>
      </c>
      <c r="F87" s="46">
        <f t="shared" si="105"/>
        <v>7213.0291961283656</v>
      </c>
      <c r="G87" s="46">
        <f t="shared" si="106"/>
        <v>1511.2254400686927</v>
      </c>
      <c r="H87" s="28">
        <v>0.54231412780339938</v>
      </c>
      <c r="I87" s="59">
        <f>(B87/('Consumidores Inadimplentes'!B123*1000000))</f>
        <v>0.23962160503710023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19701978</v>
      </c>
      <c r="C88" s="29">
        <v>95682132</v>
      </c>
      <c r="D88" s="29">
        <v>144772848283</v>
      </c>
      <c r="E88" s="33">
        <f t="shared" ref="E88:E89" si="107">IFERROR(C88/B88,"")</f>
        <v>4.8564733957169173</v>
      </c>
      <c r="F88" s="45">
        <f t="shared" ref="F88:F89" si="108">IFERROR(D88/B88,"")</f>
        <v>7348.137749570119</v>
      </c>
      <c r="G88" s="45">
        <f t="shared" ref="G88:G89" si="109">IFERROR(F88/E88,"")</f>
        <v>1513.0604351813565</v>
      </c>
      <c r="H88" s="26">
        <v>0.54851693683656999</v>
      </c>
      <c r="I88" s="59">
        <f>(B88/('Consumidores Inadimplentes'!B124*1000000))</f>
        <v>0.24227913920543348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19788078</v>
      </c>
      <c r="C89" s="30">
        <v>97367810</v>
      </c>
      <c r="D89" s="30">
        <v>148667133006</v>
      </c>
      <c r="E89" s="34">
        <f t="shared" si="107"/>
        <v>4.9205289164516133</v>
      </c>
      <c r="F89" s="43">
        <f t="shared" si="108"/>
        <v>7512.9647763668609</v>
      </c>
      <c r="G89" s="43">
        <f t="shared" si="109"/>
        <v>1526.861218363646</v>
      </c>
      <c r="H89" s="27">
        <v>0.55061983025516037</v>
      </c>
      <c r="I89" s="59">
        <f>(B89/('Consumidores Inadimplentes'!B125*1000000))</f>
        <v>0.24210955729950095</v>
      </c>
    </row>
    <row r="90" spans="1:16" x14ac:dyDescent="0.35">
      <c r="A90" s="5">
        <v>46082</v>
      </c>
      <c r="B90" s="30">
        <v>19978502</v>
      </c>
      <c r="C90" s="30">
        <v>98276898</v>
      </c>
      <c r="D90" s="30">
        <v>152794110248</v>
      </c>
      <c r="E90" s="34">
        <f t="shared" ref="E90" si="110">IFERROR(C90/B90,"")</f>
        <v>4.9191324754979124</v>
      </c>
      <c r="F90" s="43">
        <f t="shared" ref="F90" si="111">IFERROR(D90/B90,"")</f>
        <v>7647.9262683458446</v>
      </c>
      <c r="G90" s="43">
        <f t="shared" ref="G90" si="112">IFERROR(F90/E90,"")</f>
        <v>1554.7306982359171</v>
      </c>
      <c r="H90" s="27">
        <v>0.55562167770057946</v>
      </c>
      <c r="I90" s="59">
        <f>(B90/('Consumidores Inadimplentes'!B126*1000000))</f>
        <v>0.24119161163461811</v>
      </c>
    </row>
    <row r="91" spans="1:16" x14ac:dyDescent="0.35">
      <c r="A91" s="5">
        <v>46113</v>
      </c>
      <c r="B91" s="30">
        <v>20092080</v>
      </c>
      <c r="C91" s="30">
        <v>99333012</v>
      </c>
      <c r="D91" s="30">
        <v>155912322657</v>
      </c>
      <c r="E91" s="34">
        <f t="shared" ref="E91" si="113">IFERROR(C91/B91,"")</f>
        <v>4.9438889353416871</v>
      </c>
      <c r="F91" s="43">
        <f t="shared" ref="F91" si="114">IFERROR(D91/B91,"")</f>
        <v>7759.8896011264142</v>
      </c>
      <c r="G91" s="43">
        <f t="shared" ref="G91" si="115">IFERROR(F91/E91,"")</f>
        <v>1569.5922183150956</v>
      </c>
      <c r="H91" s="27">
        <v>0.55848200902623635</v>
      </c>
      <c r="I91" s="59">
        <f>(B91/('Consumidores Inadimplentes'!B127*1000000))</f>
        <v>0.24094345463858194</v>
      </c>
    </row>
    <row r="92" spans="1:16" x14ac:dyDescent="0.35">
      <c r="A92" s="5">
        <v>46143</v>
      </c>
      <c r="B92" s="30">
        <v>20032058</v>
      </c>
      <c r="C92" s="30">
        <v>99333371</v>
      </c>
      <c r="D92" s="30">
        <v>157275686215</v>
      </c>
      <c r="E92" s="34">
        <f t="shared" ref="E92" si="116">IFERROR(C92/B92,"")</f>
        <v>4.958720217363588</v>
      </c>
      <c r="F92" s="43">
        <f t="shared" ref="F92" si="117">IFERROR(D92/B92,"")</f>
        <v>7851.1996228744947</v>
      </c>
      <c r="G92" s="43">
        <f t="shared" ref="G92" si="118">IFERROR(F92/E92,"")</f>
        <v>1583.3116769489279</v>
      </c>
      <c r="H92" s="27">
        <v>0.5565163002796798</v>
      </c>
      <c r="I92" s="59">
        <f>(B92/('Consumidores Inadimplentes'!B128*1000000))</f>
        <v>0.23989670962831613</v>
      </c>
    </row>
    <row r="93" spans="1:16" x14ac:dyDescent="0.35">
      <c r="A93" s="5">
        <v>46174</v>
      </c>
      <c r="B93" s="30">
        <v>20138031</v>
      </c>
      <c r="C93" s="30">
        <v>99964378</v>
      </c>
      <c r="D93" s="30">
        <v>158758298158</v>
      </c>
      <c r="E93" s="34">
        <f t="shared" ref="E93" si="119">IFERROR(C93/B93,"")</f>
        <v>4.9639598826717464</v>
      </c>
      <c r="F93" s="43">
        <f t="shared" ref="F93" si="120">IFERROR(D93/B93,"")</f>
        <v>7883.5064936586896</v>
      </c>
      <c r="G93" s="43">
        <f t="shared" ref="G93" si="121">IFERROR(F93/E93,"")</f>
        <v>1588.1487119141582</v>
      </c>
      <c r="H93" s="27">
        <v>0.55916161206227855</v>
      </c>
      <c r="I93" s="59">
        <f>(B93/('Consumidores Inadimplentes'!B129*1000000))</f>
        <v>0.24048972843057478</v>
      </c>
    </row>
    <row r="94" spans="1:16" x14ac:dyDescent="0.35">
      <c r="A94" s="5">
        <v>46204</v>
      </c>
      <c r="B94" s="30">
        <v>20194638</v>
      </c>
      <c r="C94" s="30">
        <v>100977522</v>
      </c>
      <c r="D94" s="30">
        <v>160562573473</v>
      </c>
      <c r="E94" s="34">
        <f t="shared" ref="E94" si="122">IFERROR(C94/B94,"")</f>
        <v>5.0002145123869015</v>
      </c>
      <c r="F94" s="43">
        <f t="shared" ref="F94" si="123">IFERROR(D94/B94,"")</f>
        <v>7950.7527430301052</v>
      </c>
      <c r="G94" s="43">
        <f t="shared" ref="G94" si="124">IFERROR(F94/E94,"")</f>
        <v>1590.0823301348196</v>
      </c>
      <c r="H94" s="27">
        <v>0.56043397321452237</v>
      </c>
      <c r="I94" s="59">
        <f>(B94/('Consumidores Inadimplentes'!B130*1000000))</f>
        <v>0.24060736941576863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DDCA-3F30-4EBF-93F1-A563F5EC37C9}">
  <sheetPr codeName="Planilha30"/>
  <dimension ref="A1:P99"/>
  <sheetViews>
    <sheetView zoomScale="90" zoomScaleNormal="90" workbookViewId="0">
      <pane xSplit="1" ySplit="3" topLeftCell="B84" activePane="bottomRight" state="frozen"/>
      <selection activeCell="J86" sqref="J86"/>
      <selection pane="topRight" activeCell="J86" sqref="J86"/>
      <selection pane="bottomLeft" activeCell="J86" sqref="J86"/>
      <selection pane="bottomRight" activeCell="I97" sqref="I97"/>
    </sheetView>
  </sheetViews>
  <sheetFormatPr defaultColWidth="9.1796875" defaultRowHeight="14.5" x14ac:dyDescent="0.35"/>
  <cols>
    <col min="1" max="7" width="16.26953125" style="1" customWidth="1"/>
    <col min="8" max="8" width="15.453125" style="1" bestFit="1" customWidth="1"/>
    <col min="9" max="9" width="15.453125" style="1" customWidth="1"/>
    <col min="10" max="11" width="9.1796875" style="1"/>
    <col min="12" max="13" width="11.54296875" style="1" bestFit="1" customWidth="1"/>
    <col min="14" max="14" width="10.54296875" style="1" bestFit="1" customWidth="1"/>
    <col min="15" max="16384" width="9.1796875" style="1"/>
  </cols>
  <sheetData>
    <row r="1" spans="1:16" ht="45.5" customHeight="1" x14ac:dyDescent="0.35"/>
    <row r="2" spans="1:16" ht="15" thickBot="1" x14ac:dyDescent="0.4">
      <c r="A2" s="50" t="s">
        <v>46</v>
      </c>
      <c r="B2" s="50"/>
      <c r="C2" s="50"/>
      <c r="D2" s="50"/>
      <c r="E2" s="50"/>
      <c r="F2" s="50"/>
      <c r="G2" s="50"/>
      <c r="H2" s="36"/>
    </row>
    <row r="3" spans="1:16" ht="51" customHeight="1" thickBot="1" x14ac:dyDescent="0.4">
      <c r="A3" s="24" t="s">
        <v>0</v>
      </c>
      <c r="B3" s="25" t="s">
        <v>18</v>
      </c>
      <c r="C3" s="25" t="s">
        <v>19</v>
      </c>
      <c r="D3" s="25" t="s">
        <v>47</v>
      </c>
      <c r="E3" s="25" t="s">
        <v>6</v>
      </c>
      <c r="F3" s="25" t="s">
        <v>8</v>
      </c>
      <c r="G3" s="25" t="s">
        <v>7</v>
      </c>
      <c r="H3" s="25" t="s">
        <v>54</v>
      </c>
      <c r="I3" s="25" t="s">
        <v>58</v>
      </c>
      <c r="J3" s="2"/>
      <c r="K3" s="2"/>
      <c r="L3" s="2"/>
      <c r="M3" s="2"/>
      <c r="N3" s="2"/>
      <c r="O3" s="2"/>
      <c r="P3" s="2"/>
    </row>
    <row r="4" spans="1:16" x14ac:dyDescent="0.35">
      <c r="A4" s="3">
        <v>43466</v>
      </c>
      <c r="B4" s="29">
        <v>499464</v>
      </c>
      <c r="C4" s="29">
        <v>2099926</v>
      </c>
      <c r="D4" s="29">
        <v>1890855712.4100051</v>
      </c>
      <c r="E4" s="33">
        <f t="shared" ref="E4:E33" si="0">C4/B4</f>
        <v>4.2043590729261773</v>
      </c>
      <c r="F4" s="45">
        <f>D4/B4</f>
        <v>3785.7697700134645</v>
      </c>
      <c r="G4" s="45">
        <f t="shared" ref="G4" si="1">F4/E4</f>
        <v>900.43921186270609</v>
      </c>
      <c r="H4" s="26">
        <v>0.46718939430904988</v>
      </c>
      <c r="I4" s="58">
        <f>(B4/('Consumidores Inadimplentes'!B40*1000000))</f>
        <v>8.0330171634766367E-3</v>
      </c>
      <c r="J4" s="2"/>
      <c r="K4" s="2"/>
      <c r="L4" s="16"/>
      <c r="M4" s="16"/>
      <c r="N4" s="17"/>
      <c r="O4" s="2"/>
      <c r="P4" s="2"/>
    </row>
    <row r="5" spans="1:16" x14ac:dyDescent="0.35">
      <c r="A5" s="5">
        <v>43497</v>
      </c>
      <c r="B5" s="30">
        <v>494532</v>
      </c>
      <c r="C5" s="30">
        <v>2075539</v>
      </c>
      <c r="D5" s="30">
        <v>1863705596.160007</v>
      </c>
      <c r="E5" s="34">
        <f t="shared" si="0"/>
        <v>4.1969761309682694</v>
      </c>
      <c r="F5" s="43">
        <f t="shared" ref="F5:F46" si="2">D5/B5</f>
        <v>3768.6248739414377</v>
      </c>
      <c r="G5" s="43">
        <f t="shared" ref="G5:G46" si="3">F5/E5</f>
        <v>897.93812410174269</v>
      </c>
      <c r="H5" s="27">
        <v>0.46190554287776053</v>
      </c>
      <c r="I5" s="59">
        <f>(B5/('Consumidores Inadimplentes'!B41*1000000))</f>
        <v>7.9541404074376255E-3</v>
      </c>
      <c r="J5" s="2"/>
      <c r="K5" s="2"/>
      <c r="L5" s="16"/>
      <c r="M5" s="16"/>
      <c r="N5" s="17"/>
      <c r="O5" s="2"/>
      <c r="P5" s="2"/>
    </row>
    <row r="6" spans="1:16" x14ac:dyDescent="0.35">
      <c r="A6" s="5">
        <v>43525</v>
      </c>
      <c r="B6" s="30">
        <v>500431</v>
      </c>
      <c r="C6" s="30">
        <v>2091956</v>
      </c>
      <c r="D6" s="30">
        <v>1892117656.2000048</v>
      </c>
      <c r="E6" s="34">
        <f t="shared" si="0"/>
        <v>4.1803085740092039</v>
      </c>
      <c r="F6" s="43">
        <f t="shared" si="2"/>
        <v>3780.9761109923343</v>
      </c>
      <c r="G6" s="43">
        <f t="shared" si="3"/>
        <v>904.4729698903825</v>
      </c>
      <c r="H6" s="27">
        <v>0.46655934107076003</v>
      </c>
      <c r="I6" s="59">
        <f>(B6/('Consumidores Inadimplentes'!B42*1000000))</f>
        <v>7.9483855810160084E-3</v>
      </c>
      <c r="J6" s="2"/>
      <c r="K6" s="18"/>
      <c r="L6" s="16"/>
      <c r="M6" s="16"/>
      <c r="N6" s="17"/>
      <c r="O6" s="2"/>
      <c r="P6" s="2"/>
    </row>
    <row r="7" spans="1:16" x14ac:dyDescent="0.35">
      <c r="A7" s="5">
        <v>43556</v>
      </c>
      <c r="B7" s="30">
        <v>497492</v>
      </c>
      <c r="C7" s="30">
        <v>2096764</v>
      </c>
      <c r="D7" s="30">
        <v>1944236620.1300054</v>
      </c>
      <c r="E7" s="34">
        <f t="shared" si="0"/>
        <v>4.2146687785934249</v>
      </c>
      <c r="F7" s="43">
        <f t="shared" si="2"/>
        <v>3908.0761502295622</v>
      </c>
      <c r="G7" s="43">
        <f t="shared" si="3"/>
        <v>927.25581902875342</v>
      </c>
      <c r="H7" s="27">
        <v>0.46287845078690842</v>
      </c>
      <c r="I7" s="59">
        <f>(B7/('Consumidores Inadimplentes'!B43*1000000))</f>
        <v>7.8710358373787152E-3</v>
      </c>
      <c r="J7" s="2"/>
      <c r="K7" s="2"/>
      <c r="L7" s="16"/>
      <c r="M7" s="16"/>
      <c r="N7" s="17"/>
      <c r="O7" s="2"/>
      <c r="P7" s="2"/>
    </row>
    <row r="8" spans="1:16" x14ac:dyDescent="0.35">
      <c r="A8" s="5">
        <v>43586</v>
      </c>
      <c r="B8" s="30">
        <v>501761</v>
      </c>
      <c r="C8" s="30">
        <v>2107911</v>
      </c>
      <c r="D8" s="30">
        <v>1958416478.7800055</v>
      </c>
      <c r="E8" s="34">
        <f t="shared" si="0"/>
        <v>4.2010259864756332</v>
      </c>
      <c r="F8" s="43">
        <f t="shared" si="2"/>
        <v>3903.0862876548904</v>
      </c>
      <c r="G8" s="43">
        <f t="shared" si="3"/>
        <v>929.07930115645547</v>
      </c>
      <c r="H8" s="27">
        <v>0.46373028454487569</v>
      </c>
      <c r="I8" s="59">
        <f>(B8/('Consumidores Inadimplentes'!B44*1000000))</f>
        <v>7.9173809313157362E-3</v>
      </c>
      <c r="J8" s="2"/>
      <c r="K8" s="2"/>
      <c r="L8" s="16"/>
      <c r="M8" s="16"/>
      <c r="N8" s="17"/>
      <c r="O8" s="2"/>
      <c r="P8" s="2"/>
    </row>
    <row r="9" spans="1:16" x14ac:dyDescent="0.35">
      <c r="A9" s="5">
        <v>43617</v>
      </c>
      <c r="B9" s="30">
        <v>495552</v>
      </c>
      <c r="C9" s="30">
        <v>2056814</v>
      </c>
      <c r="D9" s="30">
        <v>1961799870.4900036</v>
      </c>
      <c r="E9" s="34">
        <f t="shared" si="0"/>
        <v>4.1505513044039777</v>
      </c>
      <c r="F9" s="43">
        <f t="shared" si="2"/>
        <v>3958.8173803960099</v>
      </c>
      <c r="G9" s="43">
        <f t="shared" si="3"/>
        <v>953.80519117917493</v>
      </c>
      <c r="H9" s="27">
        <v>0.46052305230709556</v>
      </c>
      <c r="I9" s="59">
        <f>(B9/('Consumidores Inadimplentes'!B45*1000000))</f>
        <v>7.8100466881461652E-3</v>
      </c>
      <c r="J9" s="2"/>
      <c r="K9" s="2"/>
      <c r="L9" s="16"/>
      <c r="M9" s="16"/>
      <c r="N9" s="17"/>
      <c r="O9" s="2"/>
      <c r="P9" s="2"/>
    </row>
    <row r="10" spans="1:16" x14ac:dyDescent="0.35">
      <c r="A10" s="5">
        <v>43647</v>
      </c>
      <c r="B10" s="30">
        <v>501209</v>
      </c>
      <c r="C10" s="30">
        <v>2082144</v>
      </c>
      <c r="D10" s="30">
        <v>1964690934.6700058</v>
      </c>
      <c r="E10" s="34">
        <f t="shared" si="0"/>
        <v>4.1542430403284856</v>
      </c>
      <c r="F10" s="43">
        <f t="shared" si="2"/>
        <v>3919.9035425740676</v>
      </c>
      <c r="G10" s="43">
        <f t="shared" si="3"/>
        <v>943.59032548661662</v>
      </c>
      <c r="H10" s="27">
        <v>0.46438189816694542</v>
      </c>
      <c r="I10" s="59">
        <f>(B10/('Consumidores Inadimplentes'!B46*1000000))</f>
        <v>7.8976111069302222E-3</v>
      </c>
      <c r="J10" s="2"/>
      <c r="K10" s="2"/>
      <c r="L10" s="16"/>
      <c r="M10" s="16"/>
      <c r="N10" s="17"/>
      <c r="O10" s="2"/>
      <c r="P10" s="2"/>
    </row>
    <row r="11" spans="1:16" x14ac:dyDescent="0.35">
      <c r="A11" s="5">
        <v>43678</v>
      </c>
      <c r="B11" s="30">
        <v>500455</v>
      </c>
      <c r="C11" s="30">
        <v>2104277</v>
      </c>
      <c r="D11" s="30">
        <v>1973300915.8800027</v>
      </c>
      <c r="E11" s="34">
        <f t="shared" si="0"/>
        <v>4.2047276977950068</v>
      </c>
      <c r="F11" s="43">
        <f t="shared" si="2"/>
        <v>3943.0136893027402</v>
      </c>
      <c r="G11" s="43">
        <f t="shared" si="3"/>
        <v>937.7572039612669</v>
      </c>
      <c r="H11" s="27">
        <v>0.46548237797777386</v>
      </c>
      <c r="I11" s="59">
        <f>(B11/('Consumidores Inadimplentes'!B47*1000000))</f>
        <v>7.8901349766386068E-3</v>
      </c>
      <c r="J11" s="2"/>
      <c r="K11" s="2"/>
      <c r="L11" s="16"/>
      <c r="M11" s="16"/>
      <c r="N11" s="17"/>
      <c r="O11" s="2"/>
      <c r="P11" s="2"/>
    </row>
    <row r="12" spans="1:16" x14ac:dyDescent="0.35">
      <c r="A12" s="5">
        <v>43709</v>
      </c>
      <c r="B12" s="30">
        <v>505881</v>
      </c>
      <c r="C12" s="30">
        <v>2134707</v>
      </c>
      <c r="D12" s="30">
        <v>1959850318.270005</v>
      </c>
      <c r="E12" s="34">
        <f t="shared" si="0"/>
        <v>4.2197809366234349</v>
      </c>
      <c r="F12" s="43">
        <f t="shared" si="2"/>
        <v>3874.1330832152325</v>
      </c>
      <c r="G12" s="43">
        <f t="shared" si="3"/>
        <v>918.0886736540449</v>
      </c>
      <c r="H12" s="27">
        <v>0.46996225482591047</v>
      </c>
      <c r="I12" s="59">
        <f>(B12/('Consumidores Inadimplentes'!B48*1000000))</f>
        <v>8.0036092428245921E-3</v>
      </c>
      <c r="J12" s="2"/>
      <c r="K12" s="18"/>
      <c r="L12" s="2"/>
      <c r="M12" s="19"/>
      <c r="N12" s="2"/>
      <c r="O12" s="2"/>
      <c r="P12" s="2"/>
    </row>
    <row r="13" spans="1:16" x14ac:dyDescent="0.35">
      <c r="A13" s="5">
        <v>43739</v>
      </c>
      <c r="B13" s="30">
        <v>507527</v>
      </c>
      <c r="C13" s="30">
        <v>2140472</v>
      </c>
      <c r="D13" s="30">
        <v>1974845190.8700025</v>
      </c>
      <c r="E13" s="34">
        <f t="shared" si="0"/>
        <v>4.2174544408474821</v>
      </c>
      <c r="F13" s="43">
        <f t="shared" si="2"/>
        <v>3891.113558234345</v>
      </c>
      <c r="G13" s="43">
        <f t="shared" si="3"/>
        <v>922.62136148942955</v>
      </c>
      <c r="H13" s="27">
        <v>0.47092309005611804</v>
      </c>
      <c r="I13" s="59">
        <f>(B13/('Consumidores Inadimplentes'!B49*1000000))</f>
        <v>7.9485637043880467E-3</v>
      </c>
      <c r="J13" s="2"/>
      <c r="K13" s="18"/>
      <c r="L13" s="2"/>
      <c r="M13" s="19"/>
      <c r="N13" s="2"/>
      <c r="O13" s="2"/>
      <c r="P13" s="2"/>
    </row>
    <row r="14" spans="1:16" x14ac:dyDescent="0.35">
      <c r="A14" s="5">
        <v>43770</v>
      </c>
      <c r="B14" s="30">
        <v>511938</v>
      </c>
      <c r="C14" s="30">
        <v>2147354</v>
      </c>
      <c r="D14" s="30">
        <v>1955590905.5200033</v>
      </c>
      <c r="E14" s="34">
        <f t="shared" si="0"/>
        <v>4.1945587160945275</v>
      </c>
      <c r="F14" s="43">
        <f t="shared" si="2"/>
        <v>3819.9760625700833</v>
      </c>
      <c r="G14" s="43">
        <f t="shared" si="3"/>
        <v>910.69795921864909</v>
      </c>
      <c r="H14" s="27">
        <v>0.4744436659660361</v>
      </c>
      <c r="I14" s="59">
        <f>(B14/('Consumidores Inadimplentes'!B50*1000000))</f>
        <v>8.0189573566616344E-3</v>
      </c>
      <c r="J14" s="2"/>
      <c r="K14" s="2"/>
      <c r="L14" s="2"/>
      <c r="M14" s="2"/>
      <c r="N14" s="2"/>
      <c r="O14" s="2"/>
      <c r="P14" s="2"/>
    </row>
    <row r="15" spans="1:16" ht="15" thickBot="1" x14ac:dyDescent="0.4">
      <c r="A15" s="12">
        <v>43800</v>
      </c>
      <c r="B15" s="31">
        <v>503503</v>
      </c>
      <c r="C15" s="31">
        <v>2098052</v>
      </c>
      <c r="D15" s="31">
        <v>1958542821.6300051</v>
      </c>
      <c r="E15" s="35">
        <f t="shared" si="0"/>
        <v>4.1669106241670857</v>
      </c>
      <c r="F15" s="43">
        <f t="shared" si="2"/>
        <v>3889.8334699694046</v>
      </c>
      <c r="G15" s="43">
        <f t="shared" si="3"/>
        <v>933.50537623948549</v>
      </c>
      <c r="H15" s="27">
        <v>0.46606407301472697</v>
      </c>
      <c r="I15" s="59">
        <f>(B15/('Consumidores Inadimplentes'!B51*1000000))</f>
        <v>7.9533111980390654E-3</v>
      </c>
      <c r="J15" s="2"/>
      <c r="K15" s="2"/>
      <c r="L15" s="2"/>
      <c r="M15" s="2"/>
      <c r="N15" s="2"/>
      <c r="O15" s="2"/>
      <c r="P15" s="2"/>
    </row>
    <row r="16" spans="1:16" x14ac:dyDescent="0.35">
      <c r="A16" s="3">
        <v>43831</v>
      </c>
      <c r="B16" s="29">
        <v>504727</v>
      </c>
      <c r="C16" s="29">
        <v>2092127</v>
      </c>
      <c r="D16" s="29">
        <v>1951675947.6700046</v>
      </c>
      <c r="E16" s="33">
        <f t="shared" si="0"/>
        <v>4.1450665409221221</v>
      </c>
      <c r="F16" s="45">
        <f t="shared" si="2"/>
        <v>3866.7952133925955</v>
      </c>
      <c r="G16" s="45">
        <f t="shared" si="3"/>
        <v>932.86686117525596</v>
      </c>
      <c r="H16" s="26">
        <v>0.46663424655127939</v>
      </c>
      <c r="I16" s="59">
        <f>(B16/('Consumidores Inadimplentes'!B52*1000000))</f>
        <v>7.9132694368787854E-3</v>
      </c>
      <c r="J16" s="2"/>
      <c r="K16" s="2"/>
      <c r="L16" s="2"/>
      <c r="M16" s="2"/>
      <c r="N16" s="2"/>
      <c r="O16" s="2"/>
      <c r="P16" s="2"/>
    </row>
    <row r="17" spans="1:16" x14ac:dyDescent="0.35">
      <c r="A17" s="5">
        <v>43862</v>
      </c>
      <c r="B17" s="30">
        <v>499088</v>
      </c>
      <c r="C17" s="30">
        <v>2060101</v>
      </c>
      <c r="D17" s="30">
        <v>1902949051.6700056</v>
      </c>
      <c r="E17" s="34">
        <f t="shared" si="0"/>
        <v>4.1277309813099095</v>
      </c>
      <c r="F17" s="43">
        <f t="shared" si="2"/>
        <v>3812.8527467500835</v>
      </c>
      <c r="G17" s="43">
        <f t="shared" si="3"/>
        <v>923.71638656066159</v>
      </c>
      <c r="H17" s="27">
        <v>0.46086479558386539</v>
      </c>
      <c r="I17" s="59">
        <f>(B17/('Consumidores Inadimplentes'!B53*1000000))</f>
        <v>7.8117136104656629E-3</v>
      </c>
      <c r="J17" s="2"/>
      <c r="K17" s="2"/>
      <c r="L17" s="19"/>
      <c r="M17" s="19"/>
      <c r="N17" s="2"/>
      <c r="O17" s="2"/>
      <c r="P17" s="2"/>
    </row>
    <row r="18" spans="1:16" x14ac:dyDescent="0.35">
      <c r="A18" s="5">
        <v>43891</v>
      </c>
      <c r="B18" s="30">
        <v>500325</v>
      </c>
      <c r="C18" s="30">
        <v>2050753</v>
      </c>
      <c r="D18" s="30">
        <v>1905282205.5400038</v>
      </c>
      <c r="E18" s="34">
        <f t="shared" si="0"/>
        <v>4.0988417528606407</v>
      </c>
      <c r="F18" s="43">
        <f t="shared" si="2"/>
        <v>3808.0891531304728</v>
      </c>
      <c r="G18" s="43">
        <f t="shared" si="3"/>
        <v>929.06469259828157</v>
      </c>
      <c r="H18" s="27">
        <v>0.46145013350303665</v>
      </c>
      <c r="I18" s="59">
        <f>(B18/('Consumidores Inadimplentes'!B54*1000000))</f>
        <v>7.7195584287603133E-3</v>
      </c>
      <c r="J18" s="2"/>
      <c r="K18" s="2"/>
      <c r="L18" s="20"/>
      <c r="M18" s="2"/>
      <c r="N18" s="19"/>
      <c r="O18" s="2"/>
      <c r="P18" s="2"/>
    </row>
    <row r="19" spans="1:16" x14ac:dyDescent="0.35">
      <c r="A19" s="5">
        <v>43922</v>
      </c>
      <c r="B19" s="30">
        <v>502146</v>
      </c>
      <c r="C19" s="30">
        <v>2042016</v>
      </c>
      <c r="D19" s="30">
        <v>1880873723.1200039</v>
      </c>
      <c r="E19" s="34">
        <f t="shared" si="0"/>
        <v>4.0665782461674489</v>
      </c>
      <c r="F19" s="43">
        <f t="shared" si="2"/>
        <v>3745.6710261955764</v>
      </c>
      <c r="G19" s="43">
        <f t="shared" si="3"/>
        <v>921.08667273909907</v>
      </c>
      <c r="H19" s="27">
        <v>0.46257161096694493</v>
      </c>
      <c r="I19" s="59">
        <f>(B19/('Consumidores Inadimplentes'!B55*1000000))</f>
        <v>7.6188222564905466E-3</v>
      </c>
      <c r="J19" s="2"/>
      <c r="K19" s="2"/>
      <c r="L19" s="2"/>
      <c r="M19" s="2"/>
      <c r="N19" s="2"/>
      <c r="O19" s="2"/>
      <c r="P19" s="2"/>
    </row>
    <row r="20" spans="1:16" x14ac:dyDescent="0.35">
      <c r="A20" s="5">
        <v>43952</v>
      </c>
      <c r="B20" s="30">
        <v>497448</v>
      </c>
      <c r="C20" s="30">
        <v>2016905</v>
      </c>
      <c r="D20" s="30">
        <v>1844330791.1100056</v>
      </c>
      <c r="E20" s="34">
        <f t="shared" si="0"/>
        <v>4.0545041893826088</v>
      </c>
      <c r="F20" s="43">
        <f t="shared" si="2"/>
        <v>3707.5850965528166</v>
      </c>
      <c r="G20" s="43">
        <f t="shared" si="3"/>
        <v>914.43612421507487</v>
      </c>
      <c r="H20" s="27">
        <v>0.4576915397800827</v>
      </c>
      <c r="I20" s="59">
        <f>(B20/('Consumidores Inadimplentes'!B56*1000000))</f>
        <v>7.6258344780562488E-3</v>
      </c>
      <c r="J20" s="2"/>
      <c r="K20" s="2"/>
      <c r="L20" s="2"/>
      <c r="M20" s="2"/>
      <c r="N20" s="2"/>
      <c r="O20" s="2"/>
      <c r="P20" s="2"/>
    </row>
    <row r="21" spans="1:16" x14ac:dyDescent="0.35">
      <c r="A21" s="5">
        <v>43983</v>
      </c>
      <c r="B21" s="30">
        <v>493295</v>
      </c>
      <c r="C21" s="30">
        <v>1995300</v>
      </c>
      <c r="D21" s="30">
        <v>1808872999.4700048</v>
      </c>
      <c r="E21" s="34">
        <f t="shared" si="0"/>
        <v>4.0448413221297601</v>
      </c>
      <c r="F21" s="43">
        <f t="shared" si="2"/>
        <v>3666.9193879321801</v>
      </c>
      <c r="G21" s="43">
        <f t="shared" si="3"/>
        <v>906.56693202526174</v>
      </c>
      <c r="H21" s="27">
        <v>0.45277731629656892</v>
      </c>
      <c r="I21" s="59">
        <f>(B21/('Consumidores Inadimplentes'!B57*1000000))</f>
        <v>7.7076511564539204E-3</v>
      </c>
      <c r="J21" s="2"/>
      <c r="K21" s="2"/>
      <c r="L21" s="2"/>
      <c r="M21" s="2"/>
      <c r="N21" s="2"/>
      <c r="O21" s="2"/>
      <c r="P21" s="2"/>
    </row>
    <row r="22" spans="1:16" x14ac:dyDescent="0.35">
      <c r="A22" s="5">
        <v>44013</v>
      </c>
      <c r="B22" s="30">
        <v>489188</v>
      </c>
      <c r="C22" s="30">
        <v>1980975</v>
      </c>
      <c r="D22" s="30">
        <v>1823539511.0500047</v>
      </c>
      <c r="E22" s="34">
        <f t="shared" si="0"/>
        <v>4.0495167502064646</v>
      </c>
      <c r="F22" s="43">
        <f t="shared" si="2"/>
        <v>3727.686515307008</v>
      </c>
      <c r="G22" s="43">
        <f t="shared" si="3"/>
        <v>920.52626158836165</v>
      </c>
      <c r="H22" s="27">
        <v>0.44854818847921746</v>
      </c>
      <c r="I22" s="59">
        <f>(B22/('Consumidores Inadimplentes'!B58*1000000))</f>
        <v>7.7033686860806085E-3</v>
      </c>
      <c r="J22" s="2"/>
      <c r="K22" s="2"/>
      <c r="L22" s="2"/>
      <c r="M22" s="2"/>
      <c r="N22" s="2"/>
      <c r="O22" s="2"/>
      <c r="P22" s="2"/>
    </row>
    <row r="23" spans="1:16" x14ac:dyDescent="0.35">
      <c r="A23" s="5">
        <v>44044</v>
      </c>
      <c r="B23" s="30">
        <v>488511</v>
      </c>
      <c r="C23" s="30">
        <v>2004858</v>
      </c>
      <c r="D23" s="30">
        <v>1826024816.2300057</v>
      </c>
      <c r="E23" s="34">
        <f t="shared" si="0"/>
        <v>4.104018128558006</v>
      </c>
      <c r="F23" s="43">
        <f t="shared" si="2"/>
        <v>3737.9400181981691</v>
      </c>
      <c r="G23" s="43">
        <f t="shared" si="3"/>
        <v>910.8000747334753</v>
      </c>
      <c r="H23" s="27">
        <v>0.44746872140409499</v>
      </c>
      <c r="I23" s="59">
        <f>(B23/('Consumidores Inadimplentes'!B59*1000000))</f>
        <v>7.7479406921104159E-3</v>
      </c>
      <c r="J23" s="2"/>
      <c r="K23" s="2"/>
      <c r="L23" s="2"/>
      <c r="M23" s="2"/>
      <c r="N23" s="2"/>
      <c r="O23" s="2"/>
      <c r="P23" s="2"/>
    </row>
    <row r="24" spans="1:16" x14ac:dyDescent="0.35">
      <c r="A24" s="5">
        <v>44075</v>
      </c>
      <c r="B24" s="30">
        <v>489240</v>
      </c>
      <c r="C24" s="30">
        <v>1993291</v>
      </c>
      <c r="D24" s="30">
        <v>1816973567.3500044</v>
      </c>
      <c r="E24" s="34">
        <f t="shared" si="0"/>
        <v>4.0742600768538955</v>
      </c>
      <c r="F24" s="43">
        <f t="shared" si="2"/>
        <v>3713.8696086787763</v>
      </c>
      <c r="G24" s="43">
        <f t="shared" si="3"/>
        <v>911.54455990119095</v>
      </c>
      <c r="H24" s="27">
        <v>0.44767761062918632</v>
      </c>
      <c r="I24" s="59">
        <f>(B24/('Consumidores Inadimplentes'!B60*1000000))</f>
        <v>7.7950022124397174E-3</v>
      </c>
      <c r="J24" s="2"/>
      <c r="K24" s="2"/>
      <c r="L24" s="2"/>
      <c r="M24" s="2"/>
      <c r="N24" s="2"/>
      <c r="O24" s="2"/>
      <c r="P24" s="2"/>
    </row>
    <row r="25" spans="1:16" x14ac:dyDescent="0.35">
      <c r="A25" s="5">
        <v>44105</v>
      </c>
      <c r="B25" s="30">
        <v>485493</v>
      </c>
      <c r="C25" s="30">
        <v>1943479</v>
      </c>
      <c r="D25" s="30">
        <v>1770735217.970005</v>
      </c>
      <c r="E25" s="34">
        <f t="shared" si="0"/>
        <v>4.0031040612326025</v>
      </c>
      <c r="F25" s="43">
        <f t="shared" si="2"/>
        <v>3647.2929948938604</v>
      </c>
      <c r="G25" s="43">
        <f t="shared" si="3"/>
        <v>911.11620859808886</v>
      </c>
      <c r="H25" s="27">
        <v>0.44379410581739737</v>
      </c>
      <c r="I25" s="59">
        <f>(B25/('Consumidores Inadimplentes'!B61*1000000))</f>
        <v>7.7953543385650042E-3</v>
      </c>
      <c r="J25" s="2"/>
      <c r="K25" s="2"/>
      <c r="L25" s="2"/>
      <c r="M25" s="2"/>
      <c r="N25" s="2"/>
      <c r="O25" s="2"/>
      <c r="P25" s="2"/>
    </row>
    <row r="26" spans="1:16" x14ac:dyDescent="0.35">
      <c r="A26" s="5">
        <v>44136</v>
      </c>
      <c r="B26" s="32">
        <v>481164</v>
      </c>
      <c r="C26" s="30">
        <v>1893370</v>
      </c>
      <c r="D26" s="30">
        <v>1687644382.5600028</v>
      </c>
      <c r="E26" s="34">
        <f t="shared" si="0"/>
        <v>3.9349785104455028</v>
      </c>
      <c r="F26" s="43">
        <f t="shared" si="2"/>
        <v>3507.4203027657986</v>
      </c>
      <c r="G26" s="43">
        <f t="shared" si="3"/>
        <v>891.3442077142887</v>
      </c>
      <c r="H26" s="27">
        <v>0.43938667550619542</v>
      </c>
      <c r="I26" s="59">
        <f>(B26/('Consumidores Inadimplentes'!B62*1000000))</f>
        <v>7.7671367325127111E-3</v>
      </c>
      <c r="J26" s="2"/>
      <c r="K26" s="2"/>
      <c r="L26" s="2"/>
      <c r="M26" s="2"/>
      <c r="N26" s="2"/>
      <c r="O26" s="2"/>
      <c r="P26" s="2"/>
    </row>
    <row r="27" spans="1:16" ht="15" thickBot="1" x14ac:dyDescent="0.4">
      <c r="A27" s="12">
        <v>44166</v>
      </c>
      <c r="B27" s="31">
        <v>479971</v>
      </c>
      <c r="C27" s="31">
        <v>1878357</v>
      </c>
      <c r="D27" s="31">
        <v>1662091854.4200034</v>
      </c>
      <c r="E27" s="35">
        <f t="shared" si="0"/>
        <v>3.9134801894281113</v>
      </c>
      <c r="F27" s="46">
        <f t="shared" si="2"/>
        <v>3462.9005802850661</v>
      </c>
      <c r="G27" s="46">
        <f t="shared" si="3"/>
        <v>884.86472721639359</v>
      </c>
      <c r="H27" s="28">
        <v>0.43784864664665213</v>
      </c>
      <c r="I27" s="59">
        <f>(B27/('Consumidores Inadimplentes'!B63*1000000))</f>
        <v>7.8220496139234895E-3</v>
      </c>
      <c r="J27" s="2"/>
      <c r="K27" s="2"/>
      <c r="L27" s="2"/>
      <c r="M27" s="2"/>
      <c r="N27" s="2"/>
      <c r="O27" s="2"/>
      <c r="P27" s="2"/>
    </row>
    <row r="28" spans="1:16" x14ac:dyDescent="0.35">
      <c r="A28" s="3">
        <v>44197</v>
      </c>
      <c r="B28" s="29">
        <v>481651</v>
      </c>
      <c r="C28" s="29">
        <v>1867261</v>
      </c>
      <c r="D28" s="29">
        <v>1677088845.1500034</v>
      </c>
      <c r="E28" s="33">
        <f t="shared" si="0"/>
        <v>3.8767925323522632</v>
      </c>
      <c r="F28" s="45">
        <f t="shared" si="2"/>
        <v>3481.9586072695861</v>
      </c>
      <c r="G28" s="45">
        <f t="shared" si="3"/>
        <v>898.15448678572704</v>
      </c>
      <c r="H28" s="26">
        <v>0.43893154814521845</v>
      </c>
      <c r="I28" s="59">
        <f>(B28/('Consumidores Inadimplentes'!B64*1000000))</f>
        <v>7.8102170334244971E-3</v>
      </c>
      <c r="J28" s="2"/>
      <c r="K28" s="2"/>
      <c r="L28" s="20"/>
      <c r="M28" s="20"/>
      <c r="N28" s="22"/>
      <c r="O28" s="22"/>
      <c r="P28" s="23"/>
    </row>
    <row r="29" spans="1:16" x14ac:dyDescent="0.35">
      <c r="A29" s="5">
        <v>44228</v>
      </c>
      <c r="B29" s="30">
        <v>479507</v>
      </c>
      <c r="C29" s="30">
        <v>1841794</v>
      </c>
      <c r="D29" s="30">
        <v>1685379425.3200018</v>
      </c>
      <c r="E29" s="34">
        <f t="shared" si="0"/>
        <v>3.8410158767233846</v>
      </c>
      <c r="F29" s="43">
        <f t="shared" si="2"/>
        <v>3514.8171461939073</v>
      </c>
      <c r="G29" s="43">
        <f t="shared" si="3"/>
        <v>915.07488096931684</v>
      </c>
      <c r="H29" s="27">
        <v>0.4365305657972598</v>
      </c>
      <c r="I29" s="59">
        <f>(B29/('Consumidores Inadimplentes'!B65*1000000))</f>
        <v>7.789892558074182E-3</v>
      </c>
      <c r="J29" s="2"/>
      <c r="K29" s="20"/>
      <c r="L29" s="20"/>
      <c r="M29" s="19"/>
      <c r="N29" s="19"/>
      <c r="O29" s="2"/>
      <c r="P29" s="2"/>
    </row>
    <row r="30" spans="1:16" x14ac:dyDescent="0.35">
      <c r="A30" s="5">
        <v>44256</v>
      </c>
      <c r="B30" s="30">
        <v>479518</v>
      </c>
      <c r="C30" s="30">
        <v>1821409</v>
      </c>
      <c r="D30" s="30">
        <v>1681909429.4000025</v>
      </c>
      <c r="E30" s="34">
        <f t="shared" si="0"/>
        <v>3.7984163263944213</v>
      </c>
      <c r="F30" s="43">
        <f t="shared" si="2"/>
        <v>3507.5000925929839</v>
      </c>
      <c r="G30" s="43">
        <f t="shared" si="3"/>
        <v>923.41117750049682</v>
      </c>
      <c r="H30" s="27">
        <v>0.43609354878607753</v>
      </c>
      <c r="I30" s="59">
        <f>(B30/('Consumidores Inadimplentes'!B66*1000000))</f>
        <v>7.6652564456352384E-3</v>
      </c>
      <c r="J30" s="2"/>
      <c r="K30" s="2"/>
      <c r="L30" s="2"/>
      <c r="M30" s="2"/>
      <c r="N30" s="2"/>
      <c r="O30" s="2"/>
      <c r="P30" s="2"/>
    </row>
    <row r="31" spans="1:16" x14ac:dyDescent="0.35">
      <c r="A31" s="5">
        <v>44287</v>
      </c>
      <c r="B31" s="30">
        <v>479277</v>
      </c>
      <c r="C31" s="30">
        <v>1794578</v>
      </c>
      <c r="D31" s="30">
        <v>1683354988.6700025</v>
      </c>
      <c r="E31" s="34">
        <f t="shared" si="0"/>
        <v>3.7443440849446143</v>
      </c>
      <c r="F31" s="43">
        <f t="shared" si="2"/>
        <v>3512.2799313758064</v>
      </c>
      <c r="G31" s="43">
        <f t="shared" si="3"/>
        <v>938.0227488969565</v>
      </c>
      <c r="H31" s="27">
        <v>0.43542808550535428</v>
      </c>
      <c r="I31" s="59">
        <f>(B31/('Consumidores Inadimplentes'!B67*1000000))</f>
        <v>7.6097973546928937E-3</v>
      </c>
      <c r="J31" s="2"/>
      <c r="K31" s="2"/>
      <c r="L31" s="2"/>
      <c r="M31" s="2"/>
      <c r="N31" s="2"/>
      <c r="O31" s="2"/>
      <c r="P31" s="2"/>
    </row>
    <row r="32" spans="1:16" x14ac:dyDescent="0.35">
      <c r="A32" s="5">
        <v>44317</v>
      </c>
      <c r="B32" s="30">
        <v>473850</v>
      </c>
      <c r="C32" s="30">
        <v>1766347</v>
      </c>
      <c r="D32" s="30">
        <v>1672998645.4000013</v>
      </c>
      <c r="E32" s="34">
        <f t="shared" si="0"/>
        <v>3.7276501002426929</v>
      </c>
      <c r="F32" s="43">
        <f t="shared" si="2"/>
        <v>3530.6503015722301</v>
      </c>
      <c r="G32" s="43">
        <f t="shared" si="3"/>
        <v>947.15174617444995</v>
      </c>
      <c r="H32" s="27">
        <v>0.43005687805117121</v>
      </c>
      <c r="I32" s="59">
        <f>(B32/('Consumidores Inadimplentes'!B68*1000000))</f>
        <v>7.5744733295337085E-3</v>
      </c>
      <c r="J32" s="2"/>
      <c r="K32" s="2"/>
      <c r="L32" s="2"/>
      <c r="M32" s="2"/>
      <c r="N32" s="2"/>
      <c r="O32" s="2"/>
      <c r="P32" s="2"/>
    </row>
    <row r="33" spans="1:16" x14ac:dyDescent="0.35">
      <c r="A33" s="5">
        <v>44348</v>
      </c>
      <c r="B33" s="30">
        <v>469925</v>
      </c>
      <c r="C33" s="30">
        <v>1730247</v>
      </c>
      <c r="D33" s="30">
        <v>1624186311.7300019</v>
      </c>
      <c r="E33" s="34">
        <f t="shared" si="0"/>
        <v>3.6819641432143428</v>
      </c>
      <c r="F33" s="43">
        <f t="shared" si="2"/>
        <v>3456.2670888546086</v>
      </c>
      <c r="G33" s="43">
        <f t="shared" si="3"/>
        <v>938.70199557057572</v>
      </c>
      <c r="H33" s="27">
        <v>0.42605806194240953</v>
      </c>
      <c r="I33" s="59">
        <f>(B33/('Consumidores Inadimplentes'!B69*1000000))</f>
        <v>7.5176654940649597E-3</v>
      </c>
      <c r="J33" s="2"/>
      <c r="K33" s="2"/>
      <c r="L33" s="2"/>
      <c r="M33" s="2"/>
      <c r="N33" s="2"/>
      <c r="O33" s="2"/>
      <c r="P33" s="2"/>
    </row>
    <row r="34" spans="1:16" x14ac:dyDescent="0.35">
      <c r="A34" s="5">
        <v>44378</v>
      </c>
      <c r="B34" s="30">
        <v>469091</v>
      </c>
      <c r="C34" s="30">
        <v>1702342</v>
      </c>
      <c r="D34" s="30">
        <v>1613683249.8700013</v>
      </c>
      <c r="E34" s="34">
        <f>C34/B34</f>
        <v>3.6290229401118332</v>
      </c>
      <c r="F34" s="43">
        <f t="shared" si="2"/>
        <v>3440.0217652225288</v>
      </c>
      <c r="G34" s="43">
        <f t="shared" si="3"/>
        <v>947.91954253023266</v>
      </c>
      <c r="H34" s="27">
        <v>0.42530191484731994</v>
      </c>
      <c r="I34" s="59">
        <f>(B34/('Consumidores Inadimplentes'!B70*1000000))</f>
        <v>7.5387783653384265E-3</v>
      </c>
      <c r="J34" s="2"/>
      <c r="K34" s="2"/>
      <c r="L34" s="2"/>
      <c r="M34" s="2"/>
      <c r="N34" s="2"/>
      <c r="O34" s="2"/>
      <c r="P34" s="2"/>
    </row>
    <row r="35" spans="1:16" x14ac:dyDescent="0.35">
      <c r="A35" s="5">
        <v>44409</v>
      </c>
      <c r="B35" s="30">
        <v>488171</v>
      </c>
      <c r="C35" s="30">
        <v>1828976</v>
      </c>
      <c r="D35" s="30">
        <v>1650419886.2800002</v>
      </c>
      <c r="E35" s="34">
        <f>C35/B35</f>
        <v>3.7465887977778278</v>
      </c>
      <c r="F35" s="43">
        <f t="shared" si="2"/>
        <v>3380.8232899537256</v>
      </c>
      <c r="G35" s="43">
        <f t="shared" si="3"/>
        <v>902.37372512269167</v>
      </c>
      <c r="H35" s="27">
        <v>0.4421898848263337</v>
      </c>
      <c r="I35" s="59">
        <f>(B35/('Consumidores Inadimplentes'!B71*1000000))</f>
        <v>7.8422612628959408E-3</v>
      </c>
      <c r="J35" s="2"/>
      <c r="K35" s="2"/>
      <c r="L35" s="2"/>
      <c r="M35" s="2"/>
      <c r="N35" s="2"/>
      <c r="O35" s="2"/>
      <c r="P35" s="2"/>
    </row>
    <row r="36" spans="1:16" x14ac:dyDescent="0.35">
      <c r="A36" s="5">
        <v>44440</v>
      </c>
      <c r="B36" s="30">
        <v>482665</v>
      </c>
      <c r="C36" s="30">
        <v>1803567</v>
      </c>
      <c r="D36" s="30">
        <v>1648378980.6099994</v>
      </c>
      <c r="E36" s="34">
        <f>C36/B36</f>
        <v>3.7366848642433159</v>
      </c>
      <c r="F36" s="43">
        <f t="shared" si="2"/>
        <v>3415.1616143909323</v>
      </c>
      <c r="G36" s="43">
        <f t="shared" si="3"/>
        <v>913.95494628699646</v>
      </c>
      <c r="H36" s="27">
        <v>0.43679655677635787</v>
      </c>
      <c r="I36" s="59">
        <f>(B36/('Consumidores Inadimplentes'!B72*1000000))</f>
        <v>7.7586064165932733E-3</v>
      </c>
      <c r="J36" s="2"/>
      <c r="K36" s="2"/>
      <c r="L36" s="2"/>
      <c r="M36" s="2"/>
      <c r="N36" s="2"/>
      <c r="O36" s="2"/>
      <c r="P36" s="2"/>
    </row>
    <row r="37" spans="1:16" x14ac:dyDescent="0.35">
      <c r="A37" s="5">
        <v>44470</v>
      </c>
      <c r="B37" s="30">
        <v>482828</v>
      </c>
      <c r="C37" s="30">
        <v>1814425</v>
      </c>
      <c r="D37" s="30">
        <v>1681006344.3599989</v>
      </c>
      <c r="E37" s="34">
        <f>C37/B37</f>
        <v>3.757911720115652</v>
      </c>
      <c r="F37" s="43">
        <f t="shared" si="2"/>
        <v>3481.5842170710871</v>
      </c>
      <c r="G37" s="43">
        <f t="shared" si="3"/>
        <v>926.46780349697497</v>
      </c>
      <c r="H37" s="27">
        <v>0.4365383467837452</v>
      </c>
      <c r="I37" s="59">
        <f>(B37/('Consumidores Inadimplentes'!B73*1000000))</f>
        <v>7.6149778811757923E-3</v>
      </c>
      <c r="J37" s="2"/>
      <c r="K37" s="2"/>
      <c r="L37" s="2"/>
      <c r="M37" s="2"/>
      <c r="N37" s="2"/>
      <c r="O37" s="2"/>
      <c r="P37" s="2"/>
    </row>
    <row r="38" spans="1:16" x14ac:dyDescent="0.35">
      <c r="A38" s="5">
        <v>44501</v>
      </c>
      <c r="B38" s="30">
        <v>482307</v>
      </c>
      <c r="C38" s="30">
        <v>1799748</v>
      </c>
      <c r="D38" s="30">
        <v>1698708032.5099976</v>
      </c>
      <c r="E38" s="34">
        <f t="shared" ref="E38:E46" si="4">C38/B38</f>
        <v>3.7315402845075853</v>
      </c>
      <c r="F38" s="43">
        <f t="shared" si="2"/>
        <v>3522.0472282384408</v>
      </c>
      <c r="G38" s="43">
        <f t="shared" si="3"/>
        <v>943.85882496327133</v>
      </c>
      <c r="H38" s="27">
        <v>0.43566237243307987</v>
      </c>
      <c r="I38" s="59">
        <f>(B38/('Consumidores Inadimplentes'!B74*1000000))</f>
        <v>7.5044262713656372E-3</v>
      </c>
      <c r="J38" s="2"/>
      <c r="K38" s="2"/>
      <c r="L38" s="2"/>
      <c r="M38" s="2"/>
      <c r="N38" s="2"/>
      <c r="O38" s="2"/>
      <c r="P38" s="2"/>
    </row>
    <row r="39" spans="1:16" ht="15" thickBot="1" x14ac:dyDescent="0.4">
      <c r="A39" s="12">
        <v>44531</v>
      </c>
      <c r="B39" s="31">
        <v>481894</v>
      </c>
      <c r="C39" s="31">
        <v>1746346</v>
      </c>
      <c r="D39" s="31">
        <v>1646105844.7899978</v>
      </c>
      <c r="E39" s="35">
        <f t="shared" si="4"/>
        <v>3.6239214433049591</v>
      </c>
      <c r="F39" s="46">
        <f t="shared" si="2"/>
        <v>3415.9085707437689</v>
      </c>
      <c r="G39" s="46">
        <f t="shared" si="3"/>
        <v>942.60006023433948</v>
      </c>
      <c r="H39" s="28">
        <v>0.43488509559198446</v>
      </c>
      <c r="I39" s="59">
        <f>(B39/('Consumidores Inadimplentes'!B75*1000000))</f>
        <v>7.5330243363641823E-3</v>
      </c>
      <c r="J39" s="2"/>
      <c r="K39" s="2"/>
      <c r="L39" s="2"/>
      <c r="M39" s="2"/>
      <c r="N39" s="2"/>
      <c r="O39" s="2"/>
      <c r="P39" s="2"/>
    </row>
    <row r="40" spans="1:16" x14ac:dyDescent="0.35">
      <c r="A40" s="3">
        <v>44562</v>
      </c>
      <c r="B40" s="29">
        <v>485166</v>
      </c>
      <c r="C40" s="29">
        <v>1751384</v>
      </c>
      <c r="D40" s="29">
        <v>1699758656.169997</v>
      </c>
      <c r="E40" s="33">
        <f t="shared" si="4"/>
        <v>3.60986548933767</v>
      </c>
      <c r="F40" s="45">
        <f t="shared" si="2"/>
        <v>3503.4579013574671</v>
      </c>
      <c r="G40" s="45">
        <f t="shared" si="3"/>
        <v>970.52311553034451</v>
      </c>
      <c r="H40" s="26">
        <v>0.43743130846387918</v>
      </c>
      <c r="I40" s="59">
        <f>(B40/('Consumidores Inadimplentes'!B76*1000000))</f>
        <v>7.4851148862060922E-3</v>
      </c>
      <c r="J40" s="2"/>
      <c r="K40" s="2"/>
      <c r="L40" s="2"/>
      <c r="M40" s="2"/>
      <c r="N40" s="2"/>
      <c r="O40" s="2"/>
      <c r="P40" s="2"/>
    </row>
    <row r="41" spans="1:16" x14ac:dyDescent="0.35">
      <c r="A41" s="5">
        <v>44593</v>
      </c>
      <c r="B41" s="30">
        <v>482447</v>
      </c>
      <c r="C41" s="30">
        <v>1734128</v>
      </c>
      <c r="D41" s="30">
        <v>1695289501.7099953</v>
      </c>
      <c r="E41" s="34">
        <f t="shared" si="4"/>
        <v>3.5944424983469685</v>
      </c>
      <c r="F41" s="43">
        <f t="shared" si="2"/>
        <v>3513.9393585409284</v>
      </c>
      <c r="G41" s="43">
        <f t="shared" si="3"/>
        <v>977.6034420238849</v>
      </c>
      <c r="H41" s="27">
        <v>0.43457586141046844</v>
      </c>
      <c r="I41" s="59">
        <f>(B41/('Consumidores Inadimplentes'!B77*1000000))</f>
        <v>7.4029971176851079E-3</v>
      </c>
      <c r="J41" s="2"/>
      <c r="K41" s="2"/>
      <c r="L41" s="2"/>
      <c r="M41" s="2"/>
      <c r="N41" s="2"/>
      <c r="O41" s="2"/>
      <c r="P41" s="2"/>
    </row>
    <row r="42" spans="1:16" x14ac:dyDescent="0.35">
      <c r="A42" s="5">
        <v>44621</v>
      </c>
      <c r="B42" s="30">
        <v>485548</v>
      </c>
      <c r="C42" s="30">
        <v>1748798</v>
      </c>
      <c r="D42" s="30">
        <v>1724299239.3899984</v>
      </c>
      <c r="E42" s="34">
        <f t="shared" si="4"/>
        <v>3.6016995230131728</v>
      </c>
      <c r="F42" s="43">
        <f t="shared" si="2"/>
        <v>3551.2436245026206</v>
      </c>
      <c r="G42" s="43">
        <f t="shared" si="3"/>
        <v>985.99108610028054</v>
      </c>
      <c r="H42" s="27">
        <v>0.43696296216301833</v>
      </c>
      <c r="I42" s="59">
        <f>(B42/('Consumidores Inadimplentes'!B78*1000000))</f>
        <v>7.3910575248734341E-3</v>
      </c>
    </row>
    <row r="43" spans="1:16" x14ac:dyDescent="0.35">
      <c r="A43" s="5">
        <v>44652</v>
      </c>
      <c r="B43" s="30">
        <v>484979</v>
      </c>
      <c r="C43" s="30">
        <v>1743036</v>
      </c>
      <c r="D43" s="30">
        <v>1727669238.1399994</v>
      </c>
      <c r="E43" s="34">
        <f t="shared" si="4"/>
        <v>3.5940442782058604</v>
      </c>
      <c r="F43" s="43">
        <f t="shared" si="2"/>
        <v>3562.3588611878026</v>
      </c>
      <c r="G43" s="43">
        <f t="shared" si="3"/>
        <v>991.18391022331116</v>
      </c>
      <c r="H43" s="27">
        <v>0.43604553411597158</v>
      </c>
      <c r="I43" s="59">
        <f>(B43/('Consumidores Inadimplentes'!B79*1000000))</f>
        <v>7.3334253705468104E-3</v>
      </c>
    </row>
    <row r="44" spans="1:16" x14ac:dyDescent="0.35">
      <c r="A44" s="5">
        <v>44682</v>
      </c>
      <c r="B44" s="30">
        <v>489467</v>
      </c>
      <c r="C44" s="30">
        <v>1823019</v>
      </c>
      <c r="D44" s="30">
        <v>1762724566.0399945</v>
      </c>
      <c r="E44" s="34">
        <f t="shared" si="4"/>
        <v>3.7244982807829743</v>
      </c>
      <c r="F44" s="43">
        <f t="shared" si="2"/>
        <v>3601.3144216872524</v>
      </c>
      <c r="G44" s="43">
        <f t="shared" si="3"/>
        <v>966.92605290454696</v>
      </c>
      <c r="H44" s="27">
        <v>0.43967195296675066</v>
      </c>
      <c r="I44" s="59">
        <f>(B44/('Consumidores Inadimplentes'!B80*1000000))</f>
        <v>7.351582126583764E-3</v>
      </c>
    </row>
    <row r="45" spans="1:16" x14ac:dyDescent="0.35">
      <c r="A45" s="5">
        <v>44713</v>
      </c>
      <c r="B45" s="30">
        <v>488839</v>
      </c>
      <c r="C45" s="30">
        <v>1815070</v>
      </c>
      <c r="D45" s="30">
        <v>1764106993.5</v>
      </c>
      <c r="E45" s="34">
        <f t="shared" si="4"/>
        <v>3.713022078843955</v>
      </c>
      <c r="F45" s="43">
        <f t="shared" si="2"/>
        <v>3608.7689269882312</v>
      </c>
      <c r="G45" s="43">
        <f t="shared" si="3"/>
        <v>971.92229142677684</v>
      </c>
      <c r="H45" s="27">
        <v>0.43869997935905375</v>
      </c>
      <c r="I45" s="59">
        <f>(B45/('Consumidores Inadimplentes'!B81*1000000))</f>
        <v>7.3159092992410423E-3</v>
      </c>
    </row>
    <row r="46" spans="1:16" x14ac:dyDescent="0.35">
      <c r="A46" s="5">
        <v>44743</v>
      </c>
      <c r="B46" s="30">
        <v>499241</v>
      </c>
      <c r="C46" s="30">
        <v>1886450</v>
      </c>
      <c r="D46" s="30">
        <v>1807077759.8400023</v>
      </c>
      <c r="E46" s="34">
        <f t="shared" si="4"/>
        <v>3.7786359694015514</v>
      </c>
      <c r="F46" s="43">
        <f t="shared" si="2"/>
        <v>3619.6501486055877</v>
      </c>
      <c r="G46" s="43">
        <f t="shared" si="3"/>
        <v>957.92507611651638</v>
      </c>
      <c r="H46" s="27">
        <v>0.44761769845489535</v>
      </c>
      <c r="I46" s="59">
        <f>(B46/('Consumidores Inadimplentes'!B82*1000000))</f>
        <v>7.3816960416643596E-3</v>
      </c>
    </row>
    <row r="47" spans="1:16" x14ac:dyDescent="0.35">
      <c r="A47" s="5">
        <v>44774</v>
      </c>
      <c r="B47" s="30">
        <v>498686</v>
      </c>
      <c r="C47" s="30">
        <v>1883453</v>
      </c>
      <c r="D47" s="30">
        <v>1797925632.8699901</v>
      </c>
      <c r="E47" s="34">
        <f t="shared" ref="E47" si="5">C47/B47</f>
        <v>3.7768315132167336</v>
      </c>
      <c r="F47" s="43">
        <f t="shared" ref="F47" si="6">D47/B47</f>
        <v>3605.3260626325787</v>
      </c>
      <c r="G47" s="43">
        <f t="shared" ref="G47" si="7">F47/E47</f>
        <v>954.59012402751227</v>
      </c>
      <c r="H47" s="27">
        <v>0.44668554855098558</v>
      </c>
      <c r="I47" s="59">
        <f>(B47/('Consumidores Inadimplentes'!B83*1000000))</f>
        <v>7.3361808870837679E-3</v>
      </c>
    </row>
    <row r="48" spans="1:16" x14ac:dyDescent="0.35">
      <c r="A48" s="5">
        <v>44805</v>
      </c>
      <c r="B48" s="30">
        <v>501485</v>
      </c>
      <c r="C48" s="30">
        <v>1886607</v>
      </c>
      <c r="D48" s="30">
        <v>1827059576.2999914</v>
      </c>
      <c r="E48" s="34">
        <f t="shared" ref="E48" si="8">C48/B48</f>
        <v>3.7620407390051547</v>
      </c>
      <c r="F48" s="43">
        <f t="shared" ref="F48" si="9">D48/B48</f>
        <v>3643.2985558889923</v>
      </c>
      <c r="G48" s="43">
        <f t="shared" ref="G48" si="10">F48/E48</f>
        <v>968.43676308843931</v>
      </c>
      <c r="H48" s="27">
        <v>0.44875615212527964</v>
      </c>
      <c r="I48" s="59">
        <f>(B48/('Consumidores Inadimplentes'!B84*1000000))</f>
        <v>7.3329332731805232E-3</v>
      </c>
    </row>
    <row r="49" spans="1:16" x14ac:dyDescent="0.35">
      <c r="A49" s="5">
        <v>44835</v>
      </c>
      <c r="B49" s="30">
        <v>527957</v>
      </c>
      <c r="C49" s="30">
        <v>2118239</v>
      </c>
      <c r="D49" s="30">
        <v>1914468097.8399963</v>
      </c>
      <c r="E49" s="34">
        <f t="shared" ref="E49" si="11">C49/B49</f>
        <v>4.0121430343759057</v>
      </c>
      <c r="F49" s="43">
        <f t="shared" ref="F49" si="12">D49/B49</f>
        <v>3626.1818629926233</v>
      </c>
      <c r="G49" s="43">
        <f t="shared" ref="G49" si="13">F49/E49</f>
        <v>903.80174184310476</v>
      </c>
      <c r="H49" s="27">
        <v>0.47198563902494844</v>
      </c>
      <c r="I49" s="59">
        <f>(B49/('Consumidores Inadimplentes'!B85*1000000))</f>
        <v>7.6452749511125937E-3</v>
      </c>
    </row>
    <row r="50" spans="1:16" x14ac:dyDescent="0.35">
      <c r="A50" s="5">
        <v>44866</v>
      </c>
      <c r="B50" s="30">
        <v>542591</v>
      </c>
      <c r="C50" s="30">
        <v>2155500</v>
      </c>
      <c r="D50" s="30">
        <v>1954304112.9899945</v>
      </c>
      <c r="E50" s="34">
        <f t="shared" ref="E50" si="14">C50/B50</f>
        <v>3.9726055168626093</v>
      </c>
      <c r="F50" s="43">
        <f t="shared" ref="F50" si="15">D50/B50</f>
        <v>3601.7997220558295</v>
      </c>
      <c r="G50" s="43">
        <f t="shared" ref="G50" si="16">F50/E50</f>
        <v>906.65929621433293</v>
      </c>
      <c r="H50" s="27">
        <v>0.48459686962734722</v>
      </c>
      <c r="I50" s="59">
        <f>(B50/('Consumidores Inadimplentes'!B86*1000000))</f>
        <v>7.7696417933816363E-3</v>
      </c>
    </row>
    <row r="51" spans="1:16" ht="15" thickBot="1" x14ac:dyDescent="0.4">
      <c r="A51" s="12">
        <v>44896</v>
      </c>
      <c r="B51" s="31">
        <v>540034</v>
      </c>
      <c r="C51" s="31">
        <v>2157125</v>
      </c>
      <c r="D51" s="31">
        <v>1960873084.4599965</v>
      </c>
      <c r="E51" s="35">
        <f t="shared" ref="E51" si="17">C51/B51</f>
        <v>3.9944244251287881</v>
      </c>
      <c r="F51" s="46">
        <f t="shared" ref="F51" si="18">D51/B51</f>
        <v>3631.0178330623562</v>
      </c>
      <c r="G51" s="46">
        <f t="shared" ref="G51" si="19">F51/E51</f>
        <v>909.02153767630364</v>
      </c>
      <c r="H51" s="28">
        <v>0.48184452748303835</v>
      </c>
      <c r="I51" s="59">
        <f>(B51/('Consumidores Inadimplentes'!B87*1000000))</f>
        <v>7.7781840742893104E-3</v>
      </c>
      <c r="J51" s="2"/>
      <c r="K51" s="2"/>
      <c r="L51" s="2"/>
      <c r="M51" s="2"/>
      <c r="N51" s="2"/>
      <c r="O51" s="2"/>
      <c r="P51" s="2"/>
    </row>
    <row r="52" spans="1:16" x14ac:dyDescent="0.35">
      <c r="A52" s="3">
        <v>44927</v>
      </c>
      <c r="B52" s="29">
        <v>532377</v>
      </c>
      <c r="C52" s="29">
        <v>2067978</v>
      </c>
      <c r="D52" s="29">
        <v>1987135244.3299937</v>
      </c>
      <c r="E52" s="33">
        <f t="shared" ref="E52" si="20">C52/B52</f>
        <v>3.8844240077989847</v>
      </c>
      <c r="F52" s="45">
        <f t="shared" ref="F52" si="21">D52/B52</f>
        <v>3732.5715504801929</v>
      </c>
      <c r="G52" s="45">
        <f t="shared" ref="G52" si="22">F52/E52</f>
        <v>960.90734250073922</v>
      </c>
      <c r="H52" s="26">
        <v>0.47455105566321465</v>
      </c>
      <c r="I52" s="59">
        <f>(B52/('Consumidores Inadimplentes'!B88*1000000))</f>
        <v>7.5952973148793491E-3</v>
      </c>
      <c r="J52" s="2"/>
      <c r="K52" s="2"/>
      <c r="L52" s="2"/>
      <c r="M52" s="2"/>
      <c r="N52" s="2"/>
      <c r="O52" s="2"/>
      <c r="P52" s="2"/>
    </row>
    <row r="53" spans="1:16" x14ac:dyDescent="0.35">
      <c r="A53" s="5">
        <v>44958</v>
      </c>
      <c r="B53" s="30">
        <v>533881</v>
      </c>
      <c r="C53" s="30">
        <v>2077229</v>
      </c>
      <c r="D53" s="30">
        <v>2014995798.9499958</v>
      </c>
      <c r="E53" s="34">
        <f t="shared" ref="E53" si="23">C53/B53</f>
        <v>3.8908090005076037</v>
      </c>
      <c r="F53" s="43">
        <f t="shared" ref="F53" si="24">D53/B53</f>
        <v>3774.2414488434611</v>
      </c>
      <c r="G53" s="43">
        <f t="shared" ref="G53" si="25">F53/E53</f>
        <v>970.04027911703326</v>
      </c>
      <c r="H53" s="27">
        <v>0.47542933981628666</v>
      </c>
      <c r="I53" s="59">
        <f>(B53/('Consumidores Inadimplentes'!B89*1000000))</f>
        <v>7.5698870491255083E-3</v>
      </c>
    </row>
    <row r="54" spans="1:16" x14ac:dyDescent="0.35">
      <c r="A54" s="5">
        <v>44986</v>
      </c>
      <c r="B54" s="30">
        <v>537789</v>
      </c>
      <c r="C54" s="30">
        <v>2120592</v>
      </c>
      <c r="D54" s="30">
        <v>2067734062.4399931</v>
      </c>
      <c r="E54" s="34">
        <f t="shared" ref="E54" si="26">C54/B54</f>
        <v>3.9431673016740767</v>
      </c>
      <c r="F54" s="43">
        <f t="shared" ref="F54" si="27">D54/B54</f>
        <v>3844.8797994008673</v>
      </c>
      <c r="G54" s="43">
        <f t="shared" ref="G54" si="28">F54/E54</f>
        <v>975.07397106090798</v>
      </c>
      <c r="H54" s="27">
        <v>0.47844421491463357</v>
      </c>
      <c r="I54" s="59">
        <f>(B54/('Consumidores Inadimplentes'!B90*1000000))</f>
        <v>7.6058379012311824E-3</v>
      </c>
    </row>
    <row r="55" spans="1:16" x14ac:dyDescent="0.35">
      <c r="A55" s="5">
        <v>45017</v>
      </c>
      <c r="B55" s="30">
        <v>543923</v>
      </c>
      <c r="C55" s="30">
        <v>2142642</v>
      </c>
      <c r="D55" s="30">
        <v>2131155286.4299943</v>
      </c>
      <c r="E55" s="34">
        <f t="shared" ref="E55:E56" si="29">C55/B55</f>
        <v>3.9392377229865256</v>
      </c>
      <c r="F55" s="43">
        <f t="shared" ref="F55:F56" si="30">D55/B55</f>
        <v>3918.1194515216202</v>
      </c>
      <c r="G55" s="43">
        <f t="shared" ref="G55:G56" si="31">F55/E55</f>
        <v>994.63899542247111</v>
      </c>
      <c r="H55" s="27">
        <v>0.48343124794468195</v>
      </c>
      <c r="I55" s="59">
        <f>(B55/('Consumidores Inadimplentes'!B91*1000000))</f>
        <v>7.6137489953747766E-3</v>
      </c>
    </row>
    <row r="56" spans="1:16" x14ac:dyDescent="0.35">
      <c r="A56" s="5">
        <v>45047</v>
      </c>
      <c r="B56" s="30">
        <v>540266</v>
      </c>
      <c r="C56" s="30">
        <v>2118497</v>
      </c>
      <c r="D56" s="30">
        <v>2130014496.9199967</v>
      </c>
      <c r="E56" s="34">
        <f t="shared" si="29"/>
        <v>3.9212110330837033</v>
      </c>
      <c r="F56" s="43">
        <f t="shared" si="30"/>
        <v>3942.5292298978593</v>
      </c>
      <c r="G56" s="43">
        <f t="shared" si="31"/>
        <v>1005.4366359357585</v>
      </c>
      <c r="H56" s="27">
        <v>0.47971408910297675</v>
      </c>
      <c r="I56" s="59">
        <f>(B56/('Consumidores Inadimplentes'!B92*1000000))</f>
        <v>7.5137572438332481E-3</v>
      </c>
    </row>
    <row r="57" spans="1:16" x14ac:dyDescent="0.35">
      <c r="A57" s="5">
        <v>45078</v>
      </c>
      <c r="B57" s="30">
        <v>536968</v>
      </c>
      <c r="C57" s="30">
        <v>2092469</v>
      </c>
      <c r="D57" s="30">
        <v>2123270572.5799947</v>
      </c>
      <c r="E57" s="34">
        <f t="shared" ref="E57" si="32">C57/B57</f>
        <v>3.8968225294617183</v>
      </c>
      <c r="F57" s="43">
        <f t="shared" ref="F57" si="33">D57/B57</f>
        <v>3954.1845558394443</v>
      </c>
      <c r="G57" s="43">
        <f t="shared" ref="G57" si="34">F57/E57</f>
        <v>1014.7202049731656</v>
      </c>
      <c r="H57" s="27">
        <v>0.47632218330005383</v>
      </c>
      <c r="I57" s="59">
        <f>(B57/('Consumidores Inadimplentes'!B93*1000000))</f>
        <v>7.5149257138212369E-3</v>
      </c>
    </row>
    <row r="58" spans="1:16" x14ac:dyDescent="0.35">
      <c r="A58" s="5">
        <v>45108</v>
      </c>
      <c r="B58" s="30">
        <v>529872</v>
      </c>
      <c r="C58" s="30">
        <v>2062273</v>
      </c>
      <c r="D58" s="30">
        <v>2156118164.5100002</v>
      </c>
      <c r="E58" s="34">
        <f t="shared" ref="E58" si="35">C58/B58</f>
        <v>3.8920210918863423</v>
      </c>
      <c r="F58" s="43">
        <f t="shared" ref="F58" si="36">D58/B58</f>
        <v>4069.1302135421388</v>
      </c>
      <c r="G58" s="43">
        <f t="shared" ref="G58" si="37">F58/E58</f>
        <v>1045.505694207314</v>
      </c>
      <c r="H58" s="27">
        <v>0.46957025714738942</v>
      </c>
      <c r="I58" s="59">
        <f>(B58/('Consumidores Inadimplentes'!B94*1000000))</f>
        <v>7.4191981216661287E-3</v>
      </c>
    </row>
    <row r="59" spans="1:16" x14ac:dyDescent="0.35">
      <c r="A59" s="5">
        <v>45139</v>
      </c>
      <c r="B59" s="30">
        <v>530134</v>
      </c>
      <c r="C59" s="30">
        <v>2046930</v>
      </c>
      <c r="D59" s="30">
        <v>2172223363.6700029</v>
      </c>
      <c r="E59" s="34">
        <f t="shared" ref="E59" si="38">C59/B59</f>
        <v>3.8611558587074213</v>
      </c>
      <c r="F59" s="43">
        <f t="shared" ref="F59" si="39">D59/B59</f>
        <v>4097.4986770703308</v>
      </c>
      <c r="G59" s="43">
        <f t="shared" ref="G59" si="40">F59/E59</f>
        <v>1061.21038026215</v>
      </c>
      <c r="H59" s="27">
        <v>0.46929921239628231</v>
      </c>
      <c r="I59" s="59">
        <f>(B59/('Consumidores Inadimplentes'!B95*1000000))</f>
        <v>7.3897530979911809E-3</v>
      </c>
    </row>
    <row r="60" spans="1:16" x14ac:dyDescent="0.35">
      <c r="A60" s="5">
        <v>45170</v>
      </c>
      <c r="B60" s="30">
        <v>538169</v>
      </c>
      <c r="C60" s="30">
        <v>2066355</v>
      </c>
      <c r="D60" s="30">
        <v>2203349324.2099991</v>
      </c>
      <c r="E60" s="34">
        <f t="shared" ref="E60" si="41">C60/B60</f>
        <v>3.8396024297200322</v>
      </c>
      <c r="F60" s="43">
        <f t="shared" ref="F60" si="42">D60/B60</f>
        <v>4094.158757211952</v>
      </c>
      <c r="G60" s="43">
        <f t="shared" ref="G60" si="43">F60/E60</f>
        <v>1066.2975743325803</v>
      </c>
      <c r="H60" s="27">
        <v>0.47590198436560432</v>
      </c>
      <c r="I60" s="59">
        <f>(B60/('Consumidores Inadimplentes'!B96*1000000))</f>
        <v>7.4930784930982777E-3</v>
      </c>
    </row>
    <row r="61" spans="1:16" x14ac:dyDescent="0.35">
      <c r="A61" s="5">
        <v>45200</v>
      </c>
      <c r="B61" s="30">
        <v>545281</v>
      </c>
      <c r="C61" s="30">
        <v>2089547</v>
      </c>
      <c r="D61" s="30">
        <v>2279453954.8000021</v>
      </c>
      <c r="E61" s="34">
        <f t="shared" ref="E61" si="44">C61/B61</f>
        <v>3.8320553989594357</v>
      </c>
      <c r="F61" s="43">
        <f t="shared" ref="F61" si="45">D61/B61</f>
        <v>4180.3289584636213</v>
      </c>
      <c r="G61" s="43">
        <f t="shared" ref="G61" si="46">F61/E61</f>
        <v>1090.8842705141362</v>
      </c>
      <c r="H61" s="27">
        <v>0.48167487005897258</v>
      </c>
      <c r="I61" s="59">
        <f>(B61/('Consumidores Inadimplentes'!B97*1000000))</f>
        <v>7.5783453514911238E-3</v>
      </c>
    </row>
    <row r="62" spans="1:16" x14ac:dyDescent="0.35">
      <c r="A62" s="5">
        <v>45231</v>
      </c>
      <c r="B62" s="30">
        <v>555592</v>
      </c>
      <c r="C62" s="30">
        <v>2114718</v>
      </c>
      <c r="D62" s="30">
        <v>2316192248.690002</v>
      </c>
      <c r="E62" s="34">
        <f t="shared" ref="E62" si="47">C62/B62</f>
        <v>3.8062427104781928</v>
      </c>
      <c r="F62" s="43">
        <f t="shared" ref="F62" si="48">D62/B62</f>
        <v>4168.872569601438</v>
      </c>
      <c r="G62" s="43">
        <f t="shared" ref="G62" si="49">F62/E62</f>
        <v>1095.2723950380155</v>
      </c>
      <c r="H62" s="27">
        <v>0.49025736234917489</v>
      </c>
      <c r="I62" s="59">
        <f>(B62/('Consumidores Inadimplentes'!B98*1000000))</f>
        <v>7.7370889298989595E-3</v>
      </c>
    </row>
    <row r="63" spans="1:16" ht="15" thickBot="1" x14ac:dyDescent="0.4">
      <c r="A63" s="12">
        <v>45261</v>
      </c>
      <c r="B63" s="31">
        <v>542809</v>
      </c>
      <c r="C63" s="31">
        <v>2078746</v>
      </c>
      <c r="D63" s="31">
        <v>2269782563.4900022</v>
      </c>
      <c r="E63" s="35">
        <f t="shared" ref="E63" si="50">C63/B63</f>
        <v>3.8296085731813583</v>
      </c>
      <c r="F63" s="46">
        <f t="shared" ref="F63" si="51">D63/B63</f>
        <v>4181.5492438224164</v>
      </c>
      <c r="G63" s="46">
        <f t="shared" ref="G63" si="52">F63/E63</f>
        <v>1091.8999067178011</v>
      </c>
      <c r="H63" s="28">
        <v>0.47846460187521872</v>
      </c>
      <c r="I63" s="59">
        <f>(B63/('Consumidores Inadimplentes'!B99*1000000))</f>
        <v>7.6341825629919671E-3</v>
      </c>
      <c r="J63" s="2"/>
      <c r="K63" s="2"/>
      <c r="L63" s="2"/>
      <c r="M63" s="2"/>
      <c r="N63" s="2"/>
      <c r="O63" s="2"/>
      <c r="P63" s="2"/>
    </row>
    <row r="64" spans="1:16" x14ac:dyDescent="0.35">
      <c r="A64" s="3">
        <v>45292</v>
      </c>
      <c r="B64" s="29">
        <v>543716</v>
      </c>
      <c r="C64" s="29">
        <v>2069242</v>
      </c>
      <c r="D64" s="29">
        <v>2347520491.7100019</v>
      </c>
      <c r="E64" s="33">
        <f t="shared" ref="E64" si="53">C64/B64</f>
        <v>3.8057404968770463</v>
      </c>
      <c r="F64" s="45">
        <f t="shared" ref="F64" si="54">D64/B64</f>
        <v>4317.5490360960539</v>
      </c>
      <c r="G64" s="45">
        <f t="shared" ref="G64" si="55">F64/E64</f>
        <v>1134.4832995415723</v>
      </c>
      <c r="H64" s="26">
        <v>0.47875093444818467</v>
      </c>
      <c r="I64" s="59">
        <f>(B64/('Consumidores Inadimplentes'!B100*1000000))</f>
        <v>7.5442956590870162E-3</v>
      </c>
      <c r="J64" s="2"/>
      <c r="K64" s="2"/>
      <c r="L64" s="2"/>
      <c r="M64" s="2"/>
      <c r="N64" s="2"/>
      <c r="O64" s="2"/>
      <c r="P64" s="2"/>
    </row>
    <row r="65" spans="1:16" x14ac:dyDescent="0.35">
      <c r="A65" s="5">
        <v>45323</v>
      </c>
      <c r="B65" s="30">
        <v>540006</v>
      </c>
      <c r="C65" s="30">
        <v>2041503</v>
      </c>
      <c r="D65" s="30">
        <v>2342567592.7400002</v>
      </c>
      <c r="E65" s="34">
        <f t="shared" ref="E65" si="56">C65/B65</f>
        <v>3.7805191053432741</v>
      </c>
      <c r="F65" s="43">
        <f t="shared" ref="F65" si="57">D65/B65</f>
        <v>4338.0399342599903</v>
      </c>
      <c r="G65" s="43">
        <f t="shared" ref="G65" si="58">F65/E65</f>
        <v>1147.4720305284882</v>
      </c>
      <c r="H65" s="27">
        <v>0.47497482221626069</v>
      </c>
      <c r="I65" s="59">
        <f>(B65/('Consumidores Inadimplentes'!B101*1000000))</f>
        <v>7.4959956211656416E-3</v>
      </c>
    </row>
    <row r="66" spans="1:16" x14ac:dyDescent="0.35">
      <c r="A66" s="5">
        <v>45352</v>
      </c>
      <c r="B66" s="30">
        <v>544789</v>
      </c>
      <c r="C66" s="30">
        <v>2057942</v>
      </c>
      <c r="D66" s="30">
        <v>2411165568.3399997</v>
      </c>
      <c r="E66" s="34">
        <f t="shared" ref="E66" si="59">C66/B66</f>
        <v>3.7775028497271421</v>
      </c>
      <c r="F66" s="43">
        <f t="shared" ref="F66" si="60">D66/B66</f>
        <v>4425.8705082885299</v>
      </c>
      <c r="G66" s="43">
        <f t="shared" ref="G66" si="61">F66/E66</f>
        <v>1171.6392242055413</v>
      </c>
      <c r="H66" s="27">
        <v>0.47866859262617584</v>
      </c>
      <c r="I66" s="59">
        <f>(B66/('Consumidores Inadimplentes'!B102*1000000))</f>
        <v>7.4736310827898181E-3</v>
      </c>
    </row>
    <row r="67" spans="1:16" x14ac:dyDescent="0.35">
      <c r="A67" s="5">
        <v>45383</v>
      </c>
      <c r="B67" s="30">
        <v>540687</v>
      </c>
      <c r="C67" s="30">
        <v>2050562</v>
      </c>
      <c r="D67" s="30">
        <v>2463383890.1899958</v>
      </c>
      <c r="E67" s="34">
        <f t="shared" ref="E67" si="62">C67/B67</f>
        <v>3.7925121188413997</v>
      </c>
      <c r="F67" s="43">
        <f t="shared" ref="F67" si="63">D67/B67</f>
        <v>4556.0257416767845</v>
      </c>
      <c r="G67" s="43">
        <f t="shared" ref="G67" si="64">F67/E67</f>
        <v>1201.3213402910985</v>
      </c>
      <c r="H67" s="27">
        <v>0.47455575703424924</v>
      </c>
      <c r="I67" s="59">
        <f>(B67/('Consumidores Inadimplentes'!B103*1000000))</f>
        <v>7.364322945978702E-3</v>
      </c>
    </row>
    <row r="68" spans="1:16" x14ac:dyDescent="0.35">
      <c r="A68" s="5">
        <v>45413</v>
      </c>
      <c r="B68" s="30">
        <v>545114</v>
      </c>
      <c r="C68" s="30">
        <v>2080168</v>
      </c>
      <c r="D68" s="30">
        <v>2486123576.3700047</v>
      </c>
      <c r="E68" s="34">
        <f t="shared" ref="E68" si="65">C68/B68</f>
        <v>3.8160238041950856</v>
      </c>
      <c r="F68" s="43">
        <f t="shared" ref="F68" si="66">D68/B68</f>
        <v>4560.7406457548414</v>
      </c>
      <c r="G68" s="43">
        <f t="shared" ref="G68" si="67">F68/E68</f>
        <v>1195.1551876435003</v>
      </c>
      <c r="H68" s="27">
        <v>0.47792869567657043</v>
      </c>
      <c r="I68" s="59">
        <f>(B68/('Consumidores Inadimplentes'!B104*1000000))</f>
        <v>7.5151491990395362E-3</v>
      </c>
    </row>
    <row r="69" spans="1:16" x14ac:dyDescent="0.35">
      <c r="A69" s="5">
        <v>45444</v>
      </c>
      <c r="B69" s="30">
        <v>547740</v>
      </c>
      <c r="C69" s="30">
        <v>2053288</v>
      </c>
      <c r="D69" s="30">
        <v>2533236678.0300002</v>
      </c>
      <c r="E69" s="34">
        <f t="shared" ref="E69" si="68">C69/B69</f>
        <v>3.7486544710994267</v>
      </c>
      <c r="F69" s="43">
        <f t="shared" ref="F69" si="69">D69/B69</f>
        <v>4624.8889583196415</v>
      </c>
      <c r="G69" s="43">
        <f t="shared" ref="G69" si="70">F69/E69</f>
        <v>1233.7463999351287</v>
      </c>
      <c r="H69" s="27">
        <v>0.47971665766041133</v>
      </c>
      <c r="I69" s="59">
        <f>(B69/('Consumidores Inadimplentes'!B105*1000000))</f>
        <v>7.5549165218551347E-3</v>
      </c>
    </row>
    <row r="70" spans="1:16" x14ac:dyDescent="0.35">
      <c r="A70" s="5">
        <v>45474</v>
      </c>
      <c r="B70" s="30">
        <v>547590</v>
      </c>
      <c r="C70" s="30">
        <v>2054348</v>
      </c>
      <c r="D70" s="30">
        <v>2528548652.77</v>
      </c>
      <c r="E70" s="34">
        <f t="shared" ref="E70" si="71">C70/B70</f>
        <v>3.7516170857758544</v>
      </c>
      <c r="F70" s="43">
        <f t="shared" ref="F70" si="72">D70/B70</f>
        <v>4617.594647035191</v>
      </c>
      <c r="G70" s="43">
        <f t="shared" ref="G70" si="73">F70/E70</f>
        <v>1230.8278114370107</v>
      </c>
      <c r="H70" s="27">
        <v>0.47907172471595061</v>
      </c>
      <c r="I70" s="59">
        <f>(B70/('Consumidores Inadimplentes'!B106*1000000))</f>
        <v>7.535903607812304E-3</v>
      </c>
    </row>
    <row r="71" spans="1:16" x14ac:dyDescent="0.35">
      <c r="A71" s="5">
        <v>45505</v>
      </c>
      <c r="B71" s="30">
        <v>555218</v>
      </c>
      <c r="C71" s="30">
        <v>2083971</v>
      </c>
      <c r="D71" s="30">
        <v>2564766710.2799993</v>
      </c>
      <c r="E71" s="34">
        <f t="shared" ref="E71" si="74">C71/B71</f>
        <v>3.7534283830855628</v>
      </c>
      <c r="F71" s="43">
        <f t="shared" ref="F71" si="75">D71/B71</f>
        <v>4619.3868179345754</v>
      </c>
      <c r="G71" s="43">
        <f t="shared" ref="G71" si="76">F71/E71</f>
        <v>1230.7113248121011</v>
      </c>
      <c r="H71" s="27">
        <v>0.4852629748138152</v>
      </c>
      <c r="I71" s="59">
        <f>(B71/('Consumidores Inadimplentes'!B107*1000000))</f>
        <v>7.6621382579191953E-3</v>
      </c>
    </row>
    <row r="72" spans="1:16" x14ac:dyDescent="0.35">
      <c r="A72" s="5">
        <v>45536</v>
      </c>
      <c r="B72" s="30">
        <v>556806</v>
      </c>
      <c r="C72" s="30">
        <v>2089594</v>
      </c>
      <c r="D72" s="30">
        <v>2621566926.7700005</v>
      </c>
      <c r="E72" s="34">
        <f t="shared" ref="E72" si="77">C72/B72</f>
        <v>3.7528223474603362</v>
      </c>
      <c r="F72" s="43">
        <f t="shared" ref="F72" si="78">D72/B72</f>
        <v>4708.2231994087715</v>
      </c>
      <c r="G72" s="43">
        <f t="shared" ref="G72" si="79">F72/E72</f>
        <v>1254.5819555234177</v>
      </c>
      <c r="H72" s="27">
        <v>0.486167767983124</v>
      </c>
      <c r="I72" s="59">
        <f>(B72/('Consumidores Inadimplentes'!B108*1000000))</f>
        <v>7.665077602705633E-3</v>
      </c>
    </row>
    <row r="73" spans="1:16" x14ac:dyDescent="0.35">
      <c r="A73" s="5">
        <v>45566</v>
      </c>
      <c r="B73" s="30">
        <v>567418</v>
      </c>
      <c r="C73" s="30">
        <v>2173452</v>
      </c>
      <c r="D73" s="30">
        <v>2731780099.630003</v>
      </c>
      <c r="E73" s="34">
        <f t="shared" ref="E73" si="80">C73/B73</f>
        <v>3.8304248367164946</v>
      </c>
      <c r="F73" s="43">
        <f t="shared" ref="F73" si="81">D73/B73</f>
        <v>4814.4050763810856</v>
      </c>
      <c r="G73" s="43">
        <f t="shared" ref="G73" si="82">F73/E73</f>
        <v>1256.8854060867243</v>
      </c>
      <c r="H73" s="27">
        <v>0.49494170619503608</v>
      </c>
      <c r="I73" s="59">
        <f>(B73/('Consumidores Inadimplentes'!B109*1000000))</f>
        <v>7.761792482188729E-3</v>
      </c>
    </row>
    <row r="74" spans="1:16" x14ac:dyDescent="0.35">
      <c r="A74" s="5">
        <v>45597</v>
      </c>
      <c r="B74" s="30">
        <v>574927</v>
      </c>
      <c r="C74" s="30">
        <v>2214082</v>
      </c>
      <c r="D74" s="30">
        <v>2805419103.3100109</v>
      </c>
      <c r="E74" s="34">
        <f t="shared" ref="E74" si="83">C74/B74</f>
        <v>3.8510663092879618</v>
      </c>
      <c r="F74" s="43">
        <f t="shared" ref="F74" si="84">D74/B74</f>
        <v>4879.609243103926</v>
      </c>
      <c r="G74" s="43">
        <f t="shared" ref="G74" si="85">F74/E74</f>
        <v>1267.0800373744112</v>
      </c>
      <c r="H74" s="27">
        <v>0.50099383655767438</v>
      </c>
      <c r="I74" s="59">
        <f>(B74/('Consumidores Inadimplentes'!B110*1000000))</f>
        <v>7.7915218400235681E-3</v>
      </c>
    </row>
    <row r="75" spans="1:16" ht="15" thickBot="1" x14ac:dyDescent="0.4">
      <c r="A75" s="12">
        <v>45627</v>
      </c>
      <c r="B75" s="31">
        <v>582523</v>
      </c>
      <c r="C75" s="31">
        <v>2253403</v>
      </c>
      <c r="D75" s="31">
        <v>2823240007.1699939</v>
      </c>
      <c r="E75" s="35">
        <f t="shared" ref="E75" si="86">C75/B75</f>
        <v>3.8683502625647401</v>
      </c>
      <c r="F75" s="46">
        <f t="shared" ref="F75" si="87">D75/B75</f>
        <v>4846.5725939919867</v>
      </c>
      <c r="G75" s="46">
        <f t="shared" ref="G75" si="88">F75/E75</f>
        <v>1252.8784275027565</v>
      </c>
      <c r="H75" s="28">
        <v>0.50710881907942273</v>
      </c>
      <c r="I75" s="59">
        <f>(B75/('Consumidores Inadimplentes'!B111*1000000))</f>
        <v>7.9241620838931721E-3</v>
      </c>
      <c r="J75" s="2"/>
      <c r="K75" s="2"/>
      <c r="L75" s="2"/>
      <c r="M75" s="2"/>
      <c r="N75" s="2"/>
      <c r="O75" s="2"/>
      <c r="P75" s="2"/>
    </row>
    <row r="76" spans="1:16" x14ac:dyDescent="0.35">
      <c r="A76" s="3">
        <v>45658</v>
      </c>
      <c r="B76" s="29">
        <v>587901</v>
      </c>
      <c r="C76" s="29">
        <v>2280218</v>
      </c>
      <c r="D76" s="29">
        <v>2876577201.0200009</v>
      </c>
      <c r="E76" s="33">
        <f t="shared" ref="E76:E77" si="89">C76/B76</f>
        <v>3.8785747940554618</v>
      </c>
      <c r="F76" s="45">
        <f t="shared" ref="F76:F77" si="90">D76/B76</f>
        <v>4892.9619119885847</v>
      </c>
      <c r="G76" s="45">
        <f t="shared" ref="G76:G77" si="91">F76/E76</f>
        <v>1261.536046562215</v>
      </c>
      <c r="H76" s="26">
        <v>0.51128228230317541</v>
      </c>
      <c r="I76" s="59">
        <f>(B76/('Consumidores Inadimplentes'!B112*1000000))</f>
        <v>7.8804026341383927E-3</v>
      </c>
      <c r="J76" s="2"/>
      <c r="K76" s="2"/>
      <c r="L76" s="2"/>
      <c r="M76" s="2"/>
      <c r="N76" s="2"/>
      <c r="O76" s="2"/>
      <c r="P76" s="2"/>
    </row>
    <row r="77" spans="1:16" x14ac:dyDescent="0.35">
      <c r="A77" s="5">
        <v>45689</v>
      </c>
      <c r="B77" s="30">
        <v>586751</v>
      </c>
      <c r="C77" s="30">
        <v>2295844</v>
      </c>
      <c r="D77" s="30">
        <v>2997891355.570004</v>
      </c>
      <c r="E77" s="34">
        <f t="shared" si="89"/>
        <v>3.9128079883971223</v>
      </c>
      <c r="F77" s="43">
        <f t="shared" si="90"/>
        <v>5109.3076203875307</v>
      </c>
      <c r="G77" s="43">
        <f t="shared" si="91"/>
        <v>1305.7905308766642</v>
      </c>
      <c r="H77" s="27">
        <v>0.50977542117760311</v>
      </c>
      <c r="I77" s="59">
        <f>(B77/('Consumidores Inadimplentes'!B113*1000000))</f>
        <v>7.8229933802856123E-3</v>
      </c>
    </row>
    <row r="78" spans="1:16" x14ac:dyDescent="0.35">
      <c r="A78" s="5">
        <v>45717</v>
      </c>
      <c r="B78" s="30">
        <v>589807</v>
      </c>
      <c r="C78" s="30">
        <v>2298800</v>
      </c>
      <c r="D78" s="30">
        <v>3023855371.7900023</v>
      </c>
      <c r="E78" s="34">
        <f t="shared" ref="E78" si="92">C78/B78</f>
        <v>3.8975461464512966</v>
      </c>
      <c r="F78" s="43">
        <f t="shared" ref="F78" si="93">D78/B78</f>
        <v>5126.8556863346867</v>
      </c>
      <c r="G78" s="43">
        <f t="shared" ref="G78" si="94">F78/E78</f>
        <v>1315.4060256612156</v>
      </c>
      <c r="H78" s="27">
        <v>0.51192169721987635</v>
      </c>
      <c r="I78" s="59">
        <f>(B78/('Consumidores Inadimplentes'!B114*1000000))</f>
        <v>7.7842239778414361E-3</v>
      </c>
    </row>
    <row r="79" spans="1:16" x14ac:dyDescent="0.35">
      <c r="A79" s="5">
        <v>45748</v>
      </c>
      <c r="B79" s="30">
        <v>588644</v>
      </c>
      <c r="C79" s="30">
        <v>2329050</v>
      </c>
      <c r="D79" s="30">
        <v>3188275602</v>
      </c>
      <c r="E79" s="34">
        <f t="shared" ref="E79" si="95">C79/B79</f>
        <v>3.9566359293562834</v>
      </c>
      <c r="F79" s="43">
        <f t="shared" ref="F79" si="96">D79/B79</f>
        <v>5416.3052744952811</v>
      </c>
      <c r="G79" s="43">
        <f t="shared" ref="G79" si="97">F79/E79</f>
        <v>1368.9167694982934</v>
      </c>
      <c r="H79" s="27">
        <v>0.51040503326142295</v>
      </c>
      <c r="I79" s="59">
        <f>(B79/('Consumidores Inadimplentes'!B115*1000000))</f>
        <v>7.6807839649222923E-3</v>
      </c>
    </row>
    <row r="80" spans="1:16" x14ac:dyDescent="0.35">
      <c r="A80" s="5">
        <v>45778</v>
      </c>
      <c r="B80" s="30">
        <v>594453</v>
      </c>
      <c r="C80" s="30">
        <v>2298806</v>
      </c>
      <c r="D80" s="30">
        <v>3207548775</v>
      </c>
      <c r="E80" s="34">
        <f t="shared" ref="E80" si="98">C80/B80</f>
        <v>3.8670946231241157</v>
      </c>
      <c r="F80" s="43">
        <f t="shared" ref="F80" si="99">D80/B80</f>
        <v>5395.7987847651539</v>
      </c>
      <c r="G80" s="43">
        <f t="shared" ref="G80" si="100">F80/E80</f>
        <v>1395.3107722008731</v>
      </c>
      <c r="H80" s="27">
        <v>0.51493026019677179</v>
      </c>
      <c r="I80" s="59">
        <f>(B80/('Consumidores Inadimplentes'!B116*1000000))</f>
        <v>7.7129286949860574E-3</v>
      </c>
    </row>
    <row r="81" spans="1:16" x14ac:dyDescent="0.35">
      <c r="A81" s="5">
        <v>45809</v>
      </c>
      <c r="B81" s="30">
        <v>596132</v>
      </c>
      <c r="C81" s="30">
        <v>2314924</v>
      </c>
      <c r="D81" s="30">
        <v>3275708773</v>
      </c>
      <c r="E81" s="34">
        <f t="shared" ref="E81" si="101">C81/B81</f>
        <v>3.8832406245596611</v>
      </c>
      <c r="F81" s="43">
        <f t="shared" ref="F81" si="102">D81/B81</f>
        <v>5494.9386595586211</v>
      </c>
      <c r="G81" s="43">
        <f t="shared" ref="G81" si="103">F81/E81</f>
        <v>1415.0394453554416</v>
      </c>
      <c r="H81" s="27">
        <v>0.51587210243159065</v>
      </c>
      <c r="I81" s="59">
        <f>(B81/('Consumidores Inadimplentes'!B117*1000000))</f>
        <v>7.6550249716213631E-3</v>
      </c>
    </row>
    <row r="82" spans="1:16" x14ac:dyDescent="0.35">
      <c r="A82" s="5">
        <v>45839</v>
      </c>
      <c r="B82" s="30">
        <v>600347</v>
      </c>
      <c r="C82" s="30">
        <v>2349776</v>
      </c>
      <c r="D82" s="30">
        <v>3386033471</v>
      </c>
      <c r="E82" s="34">
        <f t="shared" ref="E82" si="104">C82/B82</f>
        <v>3.9140297194789015</v>
      </c>
      <c r="F82" s="43">
        <f t="shared" ref="F82" si="105">D82/B82</f>
        <v>5640.1272447434567</v>
      </c>
      <c r="G82" s="43">
        <f t="shared" ref="G82" si="106">F82/E82</f>
        <v>1441.002661955863</v>
      </c>
      <c r="H82" s="27">
        <v>0.51900312172838803</v>
      </c>
      <c r="I82" s="59">
        <f>(B82/('Consumidores Inadimplentes'!B118*1000000))</f>
        <v>7.6808840602915632E-3</v>
      </c>
    </row>
    <row r="83" spans="1:16" x14ac:dyDescent="0.35">
      <c r="A83" s="5">
        <v>45870</v>
      </c>
      <c r="B83" s="30">
        <v>602241</v>
      </c>
      <c r="C83" s="30">
        <v>2373057</v>
      </c>
      <c r="D83" s="30">
        <v>3518476778</v>
      </c>
      <c r="E83" s="34">
        <f t="shared" ref="E83" si="107">C83/B83</f>
        <v>3.9403776893303513</v>
      </c>
      <c r="F83" s="43">
        <f t="shared" ref="F83" si="108">D83/B83</f>
        <v>5842.3069468867116</v>
      </c>
      <c r="G83" s="43">
        <f t="shared" ref="G83" si="109">F83/E83</f>
        <v>1482.6768922954652</v>
      </c>
      <c r="H83" s="27">
        <v>0.5201467574227282</v>
      </c>
      <c r="I83" s="59">
        <f>(B83/('Consumidores Inadimplentes'!B119*1000000))</f>
        <v>7.6379180351447895E-3</v>
      </c>
    </row>
    <row r="84" spans="1:16" x14ac:dyDescent="0.35">
      <c r="A84" s="5">
        <v>45901</v>
      </c>
      <c r="B84" s="30">
        <v>606158</v>
      </c>
      <c r="C84" s="30">
        <v>2379231</v>
      </c>
      <c r="D84" s="30">
        <v>3551038856</v>
      </c>
      <c r="E84" s="34">
        <f>IFERROR(C84/B84,"")</f>
        <v>3.9251003863679106</v>
      </c>
      <c r="F84" s="43">
        <f>IFERROR(D84/B84,"")</f>
        <v>5858.2726879790416</v>
      </c>
      <c r="G84" s="43">
        <f>IFERROR(F84/E84,"")</f>
        <v>1492.5153782881948</v>
      </c>
      <c r="H84" s="27">
        <v>0.52303335496251713</v>
      </c>
      <c r="I84" s="59">
        <f>(B84/('Consumidores Inadimplentes'!B120*1000000))</f>
        <v>7.6567050352020624E-3</v>
      </c>
    </row>
    <row r="85" spans="1:16" x14ac:dyDescent="0.35">
      <c r="A85" s="5">
        <v>45931</v>
      </c>
      <c r="B85" s="30">
        <v>615020</v>
      </c>
      <c r="C85" s="30">
        <v>2449919</v>
      </c>
      <c r="D85" s="30">
        <v>3631210311</v>
      </c>
      <c r="E85" s="34">
        <f t="shared" ref="E85:E87" si="110">IFERROR(C85/B85,"")</f>
        <v>3.9834785860622417</v>
      </c>
      <c r="F85" s="43">
        <f t="shared" ref="F85:F87" si="111">IFERROR(D85/B85,"")</f>
        <v>5904.2150027641374</v>
      </c>
      <c r="G85" s="43">
        <f t="shared" ref="G85:G87" si="112">IFERROR(F85/E85,"")</f>
        <v>1482.175660093252</v>
      </c>
      <c r="H85" s="27">
        <v>0.53017685779998414</v>
      </c>
      <c r="I85" s="59">
        <f>(B85/('Consumidores Inadimplentes'!B121*1000000))</f>
        <v>7.6460282996785589E-3</v>
      </c>
    </row>
    <row r="86" spans="1:16" x14ac:dyDescent="0.35">
      <c r="A86" s="5">
        <v>45962</v>
      </c>
      <c r="B86" s="30">
        <v>626995</v>
      </c>
      <c r="C86" s="30">
        <v>2572209</v>
      </c>
      <c r="D86" s="30">
        <v>3736553762</v>
      </c>
      <c r="E86" s="34">
        <f t="shared" si="110"/>
        <v>4.1024394133924513</v>
      </c>
      <c r="F86" s="43">
        <f t="shared" si="111"/>
        <v>5959.4634119889315</v>
      </c>
      <c r="G86" s="43">
        <f t="shared" si="112"/>
        <v>1452.6633574487921</v>
      </c>
      <c r="H86" s="27">
        <v>0.5399873743571989</v>
      </c>
      <c r="I86" s="59">
        <f>(B86/('Consumidores Inadimplentes'!B122*1000000))</f>
        <v>7.7781421941577229E-3</v>
      </c>
    </row>
    <row r="87" spans="1:16" ht="15" thickBot="1" x14ac:dyDescent="0.4">
      <c r="A87" s="12">
        <v>45992</v>
      </c>
      <c r="B87" s="31">
        <v>632545</v>
      </c>
      <c r="C87" s="31">
        <v>2629215</v>
      </c>
      <c r="D87" s="31">
        <v>3797223496</v>
      </c>
      <c r="E87" s="35">
        <f t="shared" si="110"/>
        <v>4.1565659360203622</v>
      </c>
      <c r="F87" s="46">
        <f t="shared" si="111"/>
        <v>6003.0883115035294</v>
      </c>
      <c r="G87" s="46">
        <f t="shared" si="112"/>
        <v>1444.2422913303021</v>
      </c>
      <c r="H87" s="28">
        <v>0.54425066961731361</v>
      </c>
      <c r="I87" s="59">
        <f>(B87/('Consumidores Inadimplentes'!B123*1000000))</f>
        <v>7.7853593372667713E-3</v>
      </c>
      <c r="J87" s="2"/>
      <c r="K87" s="2"/>
      <c r="L87" s="2"/>
      <c r="M87" s="2"/>
      <c r="N87" s="2"/>
      <c r="O87" s="2"/>
      <c r="P87" s="2"/>
    </row>
    <row r="88" spans="1:16" x14ac:dyDescent="0.35">
      <c r="A88" s="3">
        <v>46023</v>
      </c>
      <c r="B88" s="29">
        <v>639686</v>
      </c>
      <c r="C88" s="29">
        <v>2668521</v>
      </c>
      <c r="D88" s="29">
        <v>3869523891</v>
      </c>
      <c r="E88" s="33">
        <f t="shared" ref="E88:E89" si="113">IFERROR(C88/B88,"")</f>
        <v>4.1716107590286482</v>
      </c>
      <c r="F88" s="45">
        <f t="shared" ref="F88:F89" si="114">IFERROR(D88/B88,"")</f>
        <v>6049.0989188445583</v>
      </c>
      <c r="G88" s="45">
        <f t="shared" ref="G88:G89" si="115">IFERROR(F88/E88,"")</f>
        <v>1450.0631214818995</v>
      </c>
      <c r="H88" s="26">
        <v>0.54987303732204162</v>
      </c>
      <c r="I88" s="59">
        <f>(B88/('Consumidores Inadimplentes'!B124*1000000))</f>
        <v>7.8663458786608596E-3</v>
      </c>
      <c r="J88" s="2"/>
      <c r="K88" s="2"/>
      <c r="L88" s="2"/>
      <c r="M88" s="2"/>
      <c r="N88" s="2"/>
      <c r="O88" s="2"/>
      <c r="P88" s="2"/>
    </row>
    <row r="89" spans="1:16" x14ac:dyDescent="0.35">
      <c r="A89" s="5">
        <v>46054</v>
      </c>
      <c r="B89" s="30">
        <v>641545</v>
      </c>
      <c r="C89" s="30">
        <v>2636740</v>
      </c>
      <c r="D89" s="30">
        <v>3950142231</v>
      </c>
      <c r="E89" s="34">
        <f t="shared" si="113"/>
        <v>4.1099844905657434</v>
      </c>
      <c r="F89" s="43">
        <f t="shared" si="114"/>
        <v>6157.2332899484836</v>
      </c>
      <c r="G89" s="43">
        <f t="shared" si="115"/>
        <v>1498.1159427929945</v>
      </c>
      <c r="H89" s="27">
        <v>0.55094818272849222</v>
      </c>
      <c r="I89" s="59">
        <f>(B89/('Consumidores Inadimplentes'!B125*1000000))</f>
        <v>7.8493816295705093E-3</v>
      </c>
    </row>
    <row r="90" spans="1:16" x14ac:dyDescent="0.35">
      <c r="A90" s="5">
        <v>46082</v>
      </c>
      <c r="B90" s="30">
        <v>651433</v>
      </c>
      <c r="C90" s="30">
        <v>2711664</v>
      </c>
      <c r="D90" s="30">
        <v>4134086837</v>
      </c>
      <c r="E90" s="34">
        <f t="shared" ref="E90" si="116">IFERROR(C90/B90,"")</f>
        <v>4.1626138067921028</v>
      </c>
      <c r="F90" s="43">
        <f t="shared" ref="F90" si="117">IFERROR(D90/B90,"")</f>
        <v>6346.1427913538309</v>
      </c>
      <c r="G90" s="43">
        <f t="shared" ref="G90" si="118">IFERROR(F90/E90,"")</f>
        <v>1524.5571859197896</v>
      </c>
      <c r="H90" s="27">
        <v>0.55890945250411184</v>
      </c>
      <c r="I90" s="59">
        <f>(B90/('Consumidores Inadimplentes'!B126*1000000))</f>
        <v>7.8644622675901419E-3</v>
      </c>
    </row>
    <row r="91" spans="1:16" x14ac:dyDescent="0.35">
      <c r="A91" s="5">
        <v>46113</v>
      </c>
      <c r="B91" s="30">
        <v>656428</v>
      </c>
      <c r="C91" s="30">
        <v>2775802</v>
      </c>
      <c r="D91" s="30">
        <v>4266542235</v>
      </c>
      <c r="E91" s="34">
        <f t="shared" ref="E91" si="119">IFERROR(C91/B91,"")</f>
        <v>4.228646553772843</v>
      </c>
      <c r="F91" s="43">
        <f t="shared" ref="F91" si="120">IFERROR(D91/B91,"")</f>
        <v>6499.6347428811687</v>
      </c>
      <c r="G91" s="43">
        <f t="shared" ref="G91" si="121">IFERROR(F91/E91,"")</f>
        <v>1537.0484764403225</v>
      </c>
      <c r="H91" s="27">
        <v>0.56266060943727769</v>
      </c>
      <c r="I91" s="59">
        <f>(B91/('Consumidores Inadimplentes'!B127*1000000))</f>
        <v>7.8718594611157759E-3</v>
      </c>
    </row>
    <row r="92" spans="1:16" x14ac:dyDescent="0.35">
      <c r="A92" s="5">
        <v>46143</v>
      </c>
      <c r="B92" s="30">
        <v>657476</v>
      </c>
      <c r="C92" s="30">
        <v>2831044</v>
      </c>
      <c r="D92" s="30">
        <v>4341649984</v>
      </c>
      <c r="E92" s="34">
        <f t="shared" ref="E92" si="122">IFERROR(C92/B92,"")</f>
        <v>4.3059275167458582</v>
      </c>
      <c r="F92" s="43">
        <f t="shared" ref="F92" si="123">IFERROR(D92/B92,"")</f>
        <v>6603.5109783474982</v>
      </c>
      <c r="G92" s="43">
        <f t="shared" ref="G92" si="124">IFERROR(F92/E92,"")</f>
        <v>1533.5861908186521</v>
      </c>
      <c r="H92" s="27">
        <v>0.56302418823078071</v>
      </c>
      <c r="I92" s="59">
        <f>(B92/('Consumidores Inadimplentes'!B128*1000000))</f>
        <v>7.873695706131981E-3</v>
      </c>
    </row>
    <row r="93" spans="1:16" x14ac:dyDescent="0.35">
      <c r="A93" s="5">
        <v>46174</v>
      </c>
      <c r="B93" s="30">
        <v>661098</v>
      </c>
      <c r="C93" s="30">
        <v>2892186</v>
      </c>
      <c r="D93" s="30">
        <v>4469166398</v>
      </c>
      <c r="E93" s="34">
        <f t="shared" ref="E93" si="125">IFERROR(C93/B93,"")</f>
        <v>4.3748218872239821</v>
      </c>
      <c r="F93" s="43">
        <f t="shared" ref="F93" si="126">IFERROR(D93/B93,"")</f>
        <v>6760.2176954097577</v>
      </c>
      <c r="G93" s="43">
        <f t="shared" ref="G93" si="127">IFERROR(F93/E93,"")</f>
        <v>1545.2555257511099</v>
      </c>
      <c r="H93" s="27">
        <v>0.56558872822998685</v>
      </c>
      <c r="I93" s="59">
        <f>(B93/('Consumidores Inadimplentes'!B129*1000000))</f>
        <v>7.8948770356941124E-3</v>
      </c>
    </row>
    <row r="94" spans="1:16" x14ac:dyDescent="0.35">
      <c r="A94" s="5">
        <v>46204</v>
      </c>
      <c r="B94" s="30">
        <v>662268</v>
      </c>
      <c r="C94" s="30">
        <v>2946224</v>
      </c>
      <c r="D94" s="30">
        <v>4568869832</v>
      </c>
      <c r="E94" s="34">
        <f t="shared" ref="E94" si="128">IFERROR(C94/B94,"")</f>
        <v>4.4486884463691432</v>
      </c>
      <c r="F94" s="43">
        <f t="shared" ref="F94" si="129">IFERROR(D94/B94,"")</f>
        <v>6898.8231833638347</v>
      </c>
      <c r="G94" s="43">
        <f t="shared" ref="G94" si="130">IFERROR(F94/E94,"")</f>
        <v>1550.7544002085383</v>
      </c>
      <c r="H94" s="27">
        <v>0.56605166934762874</v>
      </c>
      <c r="I94" s="59">
        <f>(B94/('Consumidores Inadimplentes'!B130*1000000))</f>
        <v>7.8905381383039524E-3</v>
      </c>
    </row>
    <row r="95" spans="1:16" x14ac:dyDescent="0.35">
      <c r="A95" s="5">
        <v>46235</v>
      </c>
      <c r="B95" s="30"/>
      <c r="C95" s="30"/>
      <c r="D95" s="30"/>
      <c r="E95" s="34"/>
      <c r="F95" s="7"/>
      <c r="G95" s="7"/>
      <c r="H95" s="27"/>
      <c r="I95" s="63"/>
    </row>
    <row r="96" spans="1:16" x14ac:dyDescent="0.35">
      <c r="A96" s="5">
        <v>46266</v>
      </c>
      <c r="B96" s="30"/>
      <c r="C96" s="30"/>
      <c r="D96" s="30"/>
      <c r="E96" s="34"/>
      <c r="F96" s="7"/>
      <c r="G96" s="7"/>
      <c r="H96" s="27"/>
      <c r="I96" s="63"/>
    </row>
    <row r="97" spans="1:16" x14ac:dyDescent="0.35">
      <c r="A97" s="5">
        <v>46296</v>
      </c>
      <c r="B97" s="30"/>
      <c r="C97" s="30"/>
      <c r="D97" s="30"/>
      <c r="E97" s="34"/>
      <c r="F97" s="7"/>
      <c r="G97" s="7"/>
      <c r="H97" s="27"/>
      <c r="I97" s="63"/>
    </row>
    <row r="98" spans="1:16" x14ac:dyDescent="0.35">
      <c r="A98" s="5">
        <v>46327</v>
      </c>
      <c r="B98" s="30"/>
      <c r="C98" s="30"/>
      <c r="D98" s="30"/>
      <c r="E98" s="34"/>
      <c r="F98" s="7"/>
      <c r="G98" s="7"/>
      <c r="H98" s="27"/>
      <c r="I98" s="63"/>
    </row>
    <row r="99" spans="1:16" ht="15" thickBot="1" x14ac:dyDescent="0.4">
      <c r="A99" s="12">
        <v>46357</v>
      </c>
      <c r="B99" s="31"/>
      <c r="C99" s="31"/>
      <c r="D99" s="31"/>
      <c r="E99" s="35"/>
      <c r="F99" s="14"/>
      <c r="G99" s="14"/>
      <c r="H99" s="28"/>
      <c r="I99" s="62"/>
      <c r="J99" s="2"/>
      <c r="K99" s="2"/>
      <c r="L99" s="2"/>
      <c r="M99" s="2"/>
      <c r="N99" s="2"/>
      <c r="O99" s="2"/>
      <c r="P99" s="2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29</vt:i4>
      </vt:variant>
    </vt:vector>
  </HeadingPairs>
  <TitlesOfParts>
    <vt:vector size="29" baseType="lpstr">
      <vt:lpstr>Consumidores Inadimplentes</vt:lpstr>
      <vt:lpstr>Setores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</vt:vector>
  </TitlesOfParts>
  <Company>Serasa Experian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sqb9610</dc:creator>
  <cp:lastModifiedBy>CARLOS HENRIQUE AMORIM DE AZEVEDO COSTA</cp:lastModifiedBy>
  <dcterms:created xsi:type="dcterms:W3CDTF">2009-03-27T14:10:37Z</dcterms:created>
  <dcterms:modified xsi:type="dcterms:W3CDTF">2026-08-17T15:28:20Z</dcterms:modified>
</cp:coreProperties>
</file>