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Projetos V - Macro\Base de dados\"/>
    </mc:Choice>
  </mc:AlternateContent>
  <xr:revisionPtr revIDLastSave="0" documentId="13_ncr:1_{0BA5E954-D58A-46C8-94B4-EB9842AB1133}" xr6:coauthVersionLast="47" xr6:coauthVersionMax="47" xr10:uidLastSave="{00000000-0000-0000-0000-000000000000}"/>
  <bookViews>
    <workbookView xWindow="-110" yWindow="-110" windowWidth="19420" windowHeight="11500" xr2:uid="{5C2206B1-3AB1-4097-8C6D-27C4014EC3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</calcChain>
</file>

<file path=xl/sharedStrings.xml><?xml version="1.0" encoding="utf-8"?>
<sst xmlns="http://schemas.openxmlformats.org/spreadsheetml/2006/main" count="8" uniqueCount="8">
  <si>
    <t>Casas de apostas têm projeções de crescimento constante nos próximos anos</t>
  </si>
  <si>
    <t>IBIA projeta que o gross gambling revenue (GGR) total das bets brasileiras deve atingir R$ 28.8 bilhões até 2030</t>
  </si>
  <si>
    <t>FONTE: INTERNATIONAL BETTING INTEGRITY ASSOCIATION</t>
  </si>
  <si>
    <t>Dados de 2026 a 2030 são apenas estimativas</t>
  </si>
  <si>
    <t>GGR Operações Offshore</t>
  </si>
  <si>
    <t>GGR Operações Nacionais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</si>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</sst>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333333"/>
      <name val="Flama"/>
    </font>
    <font>
      <sz val="9"/>
      <color rgb="FF777777"/>
      <name val="Flama"/>
    </font>
    <font>
      <sz val="6"/>
      <color rgb="FF4D4D4D"/>
      <name val="Canva Sans Variable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Planilha1!$A$2</c:f>
              <c:strCache>
                <c:ptCount val="1"/>
                <c:pt idx="0">
                  <c:v>GGR Operações Offshore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Planilha1!$B$1:$K$1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Planilha1!$B$2:$K$2</c:f>
              <c:numCache>
                <c:formatCode>General</c:formatCode>
                <c:ptCount val="10"/>
                <c:pt idx="0">
                  <c:v>5</c:v>
                </c:pt>
                <c:pt idx="1">
                  <c:v>7.6</c:v>
                </c:pt>
                <c:pt idx="2">
                  <c:v>11.1</c:v>
                </c:pt>
                <c:pt idx="3">
                  <c:v>17.899999999999999</c:v>
                </c:pt>
                <c:pt idx="4">
                  <c:v>4</c:v>
                </c:pt>
                <c:pt idx="5">
                  <c:v>4.5999999999999996</c:v>
                </c:pt>
                <c:pt idx="6">
                  <c:v>4.7</c:v>
                </c:pt>
                <c:pt idx="7">
                  <c:v>4.8</c:v>
                </c:pt>
                <c:pt idx="8">
                  <c:v>4.8</c:v>
                </c:pt>
                <c:pt idx="9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5-4C38-B905-149B003D13B8}"/>
            </c:ext>
          </c:extLst>
        </c:ser>
        <c:ser>
          <c:idx val="1"/>
          <c:order val="1"/>
          <c:tx>
            <c:strRef>
              <c:f>Planilha1!$A$3</c:f>
              <c:strCache>
                <c:ptCount val="1"/>
                <c:pt idx="0">
                  <c:v>GGR Operações Nacionais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75-4C38-B905-149B003D13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75-4C38-B905-149B003D13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75-4C38-B905-149B003D13B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75-4C38-B905-149B003D13B8}"/>
                </c:ext>
              </c:extLst>
            </c:dLbl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Planilha1!$B$1:$K$1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Planilha1!$B$3:$K$3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16.7</c:v>
                </c:pt>
                <c:pt idx="5">
                  <c:v>17.2</c:v>
                </c:pt>
                <c:pt idx="6">
                  <c:v>17.3</c:v>
                </c:pt>
                <c:pt idx="7">
                  <c:v>19.399999999999999</c:v>
                </c:pt>
                <c:pt idx="8">
                  <c:v>20</c:v>
                </c:pt>
                <c:pt idx="9">
                  <c:v>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5-4C38-B905-149B003D1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031487"/>
        <c:axId val="113595727"/>
      </c:barChart>
      <c:catAx>
        <c:axId val="13303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595727"/>
        <c:crosses val="autoZero"/>
        <c:auto val="1"/>
        <c:lblAlgn val="ctr"/>
        <c:lblOffset val="100"/>
        <c:noMultiLvlLbl val="0"/>
      </c:catAx>
      <c:valAx>
        <c:axId val="113595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03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12</xdr:row>
      <xdr:rowOff>12700</xdr:rowOff>
    </xdr:from>
    <xdr:to>
      <xdr:col>4</xdr:col>
      <xdr:colOff>241300</xdr:colOff>
      <xdr:row>23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20230E-7C89-86D6-477C-18E0A47D8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E579-9516-4BA0-B51C-D83D0ABF99EA}">
  <dimension ref="A1:K11"/>
  <sheetViews>
    <sheetView tabSelected="1" topLeftCell="A7" workbookViewId="0">
      <selection activeCell="F23" sqref="F23"/>
    </sheetView>
  </sheetViews>
  <sheetFormatPr defaultRowHeight="14.5"/>
  <cols>
    <col min="1" max="1" width="26.26953125" customWidth="1"/>
  </cols>
  <sheetData>
    <row r="1" spans="1:1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</row>
    <row r="2" spans="1:11">
      <c r="A2" t="s">
        <v>4</v>
      </c>
      <c r="B2">
        <v>5</v>
      </c>
      <c r="C2">
        <v>7.6</v>
      </c>
      <c r="D2">
        <v>11.1</v>
      </c>
      <c r="E2">
        <v>17.899999999999999</v>
      </c>
      <c r="F2">
        <v>4</v>
      </c>
      <c r="G2">
        <v>4.5999999999999996</v>
      </c>
      <c r="H2">
        <v>4.7</v>
      </c>
      <c r="I2">
        <v>4.8</v>
      </c>
      <c r="J2">
        <v>4.8</v>
      </c>
      <c r="K2">
        <v>5.0999999999999996</v>
      </c>
    </row>
    <row r="3" spans="1:11">
      <c r="A3" t="s">
        <v>5</v>
      </c>
      <c r="B3">
        <v>0</v>
      </c>
      <c r="C3">
        <v>0</v>
      </c>
      <c r="D3">
        <v>0</v>
      </c>
      <c r="E3">
        <v>0</v>
      </c>
      <c r="F3">
        <v>16.7</v>
      </c>
      <c r="G3">
        <v>17.2</v>
      </c>
      <c r="H3">
        <v>17.3</v>
      </c>
      <c r="I3">
        <v>19.399999999999999</v>
      </c>
      <c r="J3">
        <v>20</v>
      </c>
      <c r="K3">
        <v>23.7</v>
      </c>
    </row>
    <row r="4" spans="1:11">
      <c r="A4" s="4" t="s">
        <v>6</v>
      </c>
      <c r="B4">
        <f>SUM(B2:B3)</f>
        <v>5</v>
      </c>
      <c r="C4">
        <f t="shared" ref="C4:K4" si="0">SUM(C2:C3)</f>
        <v>7.6</v>
      </c>
      <c r="D4">
        <f t="shared" si="0"/>
        <v>11.1</v>
      </c>
      <c r="E4">
        <f t="shared" si="0"/>
        <v>17.899999999999999</v>
      </c>
      <c r="F4">
        <f>SUM(F2:F3)</f>
        <v>20.7</v>
      </c>
      <c r="G4">
        <f t="shared" si="0"/>
        <v>21.799999999999997</v>
      </c>
      <c r="H4">
        <f t="shared" si="0"/>
        <v>22</v>
      </c>
      <c r="I4">
        <f t="shared" si="0"/>
        <v>24.2</v>
      </c>
      <c r="J4">
        <f t="shared" si="0"/>
        <v>24.8</v>
      </c>
      <c r="K4">
        <f t="shared" si="0"/>
        <v>28.799999999999997</v>
      </c>
    </row>
    <row r="7" spans="1:11" ht="15.5">
      <c r="A7" s="1" t="s">
        <v>0</v>
      </c>
    </row>
    <row r="8" spans="1:11">
      <c r="A8" s="2" t="s">
        <v>1</v>
      </c>
    </row>
    <row r="9" spans="1:11" ht="16">
      <c r="A9" s="3" t="s">
        <v>2</v>
      </c>
    </row>
    <row r="10" spans="1:11">
      <c r="I10" t="s">
        <v>7</v>
      </c>
    </row>
    <row r="11" spans="1:11">
      <c r="A11" s="3" t="s">
        <v>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AMORIM DE AZEVEDO COSTA</dc:creator>
  <cp:lastModifiedBy>CARLOS HENRIQUE AMORIM DE AZEVEDO COSTA</cp:lastModifiedBy>
  <dcterms:created xsi:type="dcterms:W3CDTF">2026-08-12T15:28:21Z</dcterms:created>
  <dcterms:modified xsi:type="dcterms:W3CDTF">2026-08-21T15:47:02Z</dcterms:modified>
</cp:coreProperties>
</file>